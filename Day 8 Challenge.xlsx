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esktop/Entri/21 days challenge/"/>
    </mc:Choice>
  </mc:AlternateContent>
  <xr:revisionPtr revIDLastSave="43" documentId="8_{E4512A40-0DB3-4262-BE6A-B701A20EBC9C}" xr6:coauthVersionLast="47" xr6:coauthVersionMax="47" xr10:uidLastSave="{3D4E47A9-108B-4EE9-82B1-8AE2D0BA6E32}"/>
  <bookViews>
    <workbookView xWindow="-108" yWindow="-108" windowWidth="23256" windowHeight="12456" xr2:uid="{31062DB9-BE89-4EC6-9994-70B5D72E11EB}"/>
  </bookViews>
  <sheets>
    <sheet name="Raw Data Snitch_Fashion_Sales" sheetId="1" r:id="rId1"/>
    <sheet name="Process" sheetId="2" r:id="rId2"/>
    <sheet name="Cleaned" sheetId="3" r:id="rId3"/>
  </sheets>
  <calcPr calcId="191029"/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G7" i="2"/>
  <c r="G43" i="2"/>
  <c r="G2" i="2"/>
  <c r="G3" i="2"/>
  <c r="G4" i="2"/>
  <c r="G5" i="2"/>
  <c r="G6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K32" i="2" l="1"/>
  <c r="K20" i="2"/>
  <c r="K68" i="2"/>
  <c r="K56" i="2"/>
  <c r="K44" i="2"/>
  <c r="K468" i="2"/>
  <c r="K456" i="2"/>
  <c r="K444" i="2"/>
  <c r="K420" i="2"/>
  <c r="K408" i="2"/>
  <c r="K396" i="2"/>
  <c r="K384" i="2"/>
  <c r="K372" i="2"/>
  <c r="K360" i="2"/>
  <c r="K348" i="2"/>
  <c r="K336" i="2"/>
  <c r="K324" i="2"/>
  <c r="K432" i="2"/>
  <c r="K379" i="2"/>
  <c r="K367" i="2"/>
  <c r="K355" i="2"/>
  <c r="K343" i="2"/>
  <c r="K474" i="2"/>
  <c r="K462" i="2"/>
  <c r="K450" i="2"/>
  <c r="K438" i="2"/>
  <c r="K426" i="2"/>
  <c r="K390" i="2"/>
  <c r="K378" i="2"/>
  <c r="K414" i="2"/>
  <c r="K300" i="2"/>
  <c r="K288" i="2"/>
  <c r="K228" i="2"/>
  <c r="K216" i="2"/>
  <c r="K156" i="2"/>
  <c r="K144" i="2"/>
  <c r="K84" i="2"/>
  <c r="K72" i="2"/>
  <c r="K465" i="2"/>
  <c r="K453" i="2"/>
  <c r="K441" i="2"/>
  <c r="K429" i="2"/>
  <c r="K417" i="2"/>
  <c r="K405" i="2"/>
  <c r="K393" i="2"/>
  <c r="K381" i="2"/>
  <c r="K369" i="2"/>
  <c r="K357" i="2"/>
  <c r="K345" i="2"/>
  <c r="K333" i="2"/>
  <c r="K321" i="2"/>
  <c r="K331" i="2"/>
  <c r="K319" i="2"/>
  <c r="K307" i="2"/>
  <c r="K366" i="2"/>
  <c r="K354" i="2"/>
  <c r="K342" i="2"/>
  <c r="K330" i="2"/>
  <c r="K318" i="2"/>
  <c r="K306" i="2"/>
  <c r="K294" i="2"/>
  <c r="K312" i="2"/>
  <c r="K276" i="2"/>
  <c r="K264" i="2"/>
  <c r="K252" i="2"/>
  <c r="K240" i="2"/>
  <c r="K204" i="2"/>
  <c r="K192" i="2"/>
  <c r="K180" i="2"/>
  <c r="K168" i="2"/>
  <c r="K132" i="2"/>
  <c r="K120" i="2"/>
  <c r="K108" i="2"/>
  <c r="K96" i="2"/>
  <c r="K60" i="2"/>
  <c r="K48" i="2"/>
  <c r="K36" i="2"/>
  <c r="K24" i="2"/>
  <c r="K402" i="2"/>
  <c r="K467" i="2"/>
  <c r="K455" i="2"/>
  <c r="K443" i="2"/>
  <c r="K431" i="2"/>
  <c r="K419" i="2"/>
  <c r="K407" i="2"/>
  <c r="K395" i="2"/>
  <c r="K383" i="2"/>
  <c r="K371" i="2"/>
  <c r="K359" i="2"/>
  <c r="K347" i="2"/>
  <c r="K335" i="2"/>
  <c r="K323" i="2"/>
  <c r="K311" i="2"/>
  <c r="K299" i="2"/>
  <c r="K287" i="2"/>
  <c r="K275" i="2"/>
  <c r="K263" i="2"/>
  <c r="K251" i="2"/>
  <c r="K239" i="2"/>
  <c r="K227" i="2"/>
  <c r="K215" i="2"/>
  <c r="K203" i="2"/>
  <c r="K191" i="2"/>
  <c r="K179" i="2"/>
  <c r="K167" i="2"/>
  <c r="K155" i="2"/>
  <c r="K143" i="2"/>
  <c r="K131" i="2"/>
  <c r="K119" i="2"/>
  <c r="K107" i="2"/>
  <c r="K95" i="2"/>
  <c r="K83" i="2"/>
  <c r="K71" i="2"/>
  <c r="K466" i="2"/>
  <c r="K454" i="2"/>
  <c r="K442" i="2"/>
  <c r="K430" i="2"/>
  <c r="K418" i="2"/>
  <c r="K406" i="2"/>
  <c r="K394" i="2"/>
  <c r="K382" i="2"/>
  <c r="K370" i="2"/>
  <c r="K358" i="2"/>
  <c r="K346" i="2"/>
  <c r="K334" i="2"/>
  <c r="K322" i="2"/>
  <c r="K310" i="2"/>
  <c r="K298" i="2"/>
  <c r="K286" i="2"/>
  <c r="K274" i="2"/>
  <c r="K262" i="2"/>
  <c r="K250" i="2"/>
  <c r="K238" i="2"/>
  <c r="K226" i="2"/>
  <c r="K214" i="2"/>
  <c r="K202" i="2"/>
  <c r="K190" i="2"/>
  <c r="K178" i="2"/>
  <c r="K166" i="2"/>
  <c r="K154" i="2"/>
  <c r="K142" i="2"/>
  <c r="K130" i="2"/>
  <c r="K94" i="2"/>
  <c r="K309" i="2"/>
  <c r="K297" i="2"/>
  <c r="K285" i="2"/>
  <c r="K273" i="2"/>
  <c r="K261" i="2"/>
  <c r="K249" i="2"/>
  <c r="K237" i="2"/>
  <c r="K225" i="2"/>
  <c r="K213" i="2"/>
  <c r="K201" i="2"/>
  <c r="K189" i="2"/>
  <c r="K177" i="2"/>
  <c r="K165" i="2"/>
  <c r="K153" i="2"/>
  <c r="K141" i="2"/>
  <c r="K129" i="2"/>
  <c r="K117" i="2"/>
  <c r="K105" i="2"/>
  <c r="K93" i="2"/>
  <c r="K81" i="2"/>
  <c r="K69" i="2"/>
  <c r="K57" i="2"/>
  <c r="K45" i="2"/>
  <c r="K33" i="2"/>
  <c r="K21" i="2"/>
  <c r="K9" i="2"/>
  <c r="K464" i="2"/>
  <c r="K452" i="2"/>
  <c r="K440" i="2"/>
  <c r="K428" i="2"/>
  <c r="K416" i="2"/>
  <c r="K404" i="2"/>
  <c r="K392" i="2"/>
  <c r="K380" i="2"/>
  <c r="K368" i="2"/>
  <c r="K356" i="2"/>
  <c r="K344" i="2"/>
  <c r="K332" i="2"/>
  <c r="K320" i="2"/>
  <c r="K308" i="2"/>
  <c r="K296" i="2"/>
  <c r="K284" i="2"/>
  <c r="K272" i="2"/>
  <c r="K260" i="2"/>
  <c r="K248" i="2"/>
  <c r="K236" i="2"/>
  <c r="K224" i="2"/>
  <c r="K212" i="2"/>
  <c r="K200" i="2"/>
  <c r="K188" i="2"/>
  <c r="K176" i="2"/>
  <c r="K164" i="2"/>
  <c r="K152" i="2"/>
  <c r="K140" i="2"/>
  <c r="K128" i="2"/>
  <c r="K116" i="2"/>
  <c r="K104" i="2"/>
  <c r="K92" i="2"/>
  <c r="K295" i="2"/>
  <c r="K283" i="2"/>
  <c r="K271" i="2"/>
  <c r="K259" i="2"/>
  <c r="K247" i="2"/>
  <c r="K235" i="2"/>
  <c r="K223" i="2"/>
  <c r="K211" i="2"/>
  <c r="K199" i="2"/>
  <c r="K187" i="2"/>
  <c r="K175" i="2"/>
  <c r="K163" i="2"/>
  <c r="K151" i="2"/>
  <c r="K139" i="2"/>
  <c r="K127" i="2"/>
  <c r="K115" i="2"/>
  <c r="K103" i="2"/>
  <c r="K91" i="2"/>
  <c r="K79" i="2"/>
  <c r="K67" i="2"/>
  <c r="K55" i="2"/>
  <c r="K31" i="2"/>
  <c r="K19" i="2"/>
  <c r="K282" i="2"/>
  <c r="K270" i="2"/>
  <c r="K258" i="2"/>
  <c r="K246" i="2"/>
  <c r="K234" i="2"/>
  <c r="K222" i="2"/>
  <c r="K210" i="2"/>
  <c r="K198" i="2"/>
  <c r="K186" i="2"/>
  <c r="K174" i="2"/>
  <c r="K162" i="2"/>
  <c r="K150" i="2"/>
  <c r="K138" i="2"/>
  <c r="K126" i="2"/>
  <c r="K114" i="2"/>
  <c r="K102" i="2"/>
  <c r="K90" i="2"/>
  <c r="K78" i="2"/>
  <c r="K66" i="2"/>
  <c r="K54" i="2"/>
  <c r="K42" i="2"/>
  <c r="K30" i="2"/>
  <c r="K18" i="2"/>
  <c r="K80" i="2"/>
  <c r="K8" i="2"/>
  <c r="K451" i="2"/>
  <c r="K6" i="2"/>
  <c r="K439" i="2"/>
  <c r="K427" i="2"/>
  <c r="K403" i="2"/>
  <c r="K391" i="2"/>
  <c r="K43" i="2"/>
  <c r="K473" i="2"/>
  <c r="K461" i="2"/>
  <c r="K449" i="2"/>
  <c r="K437" i="2"/>
  <c r="K425" i="2"/>
  <c r="K413" i="2"/>
  <c r="K401" i="2"/>
  <c r="K389" i="2"/>
  <c r="K377" i="2"/>
  <c r="K365" i="2"/>
  <c r="K353" i="2"/>
  <c r="K341" i="2"/>
  <c r="K329" i="2"/>
  <c r="K317" i="2"/>
  <c r="K305" i="2"/>
  <c r="K293" i="2"/>
  <c r="K281" i="2"/>
  <c r="K269" i="2"/>
  <c r="K257" i="2"/>
  <c r="K245" i="2"/>
  <c r="K233" i="2"/>
  <c r="K221" i="2"/>
  <c r="K209" i="2"/>
  <c r="K197" i="2"/>
  <c r="K185" i="2"/>
  <c r="K173" i="2"/>
  <c r="K161" i="2"/>
  <c r="K149" i="2"/>
  <c r="K137" i="2"/>
  <c r="K125" i="2"/>
  <c r="K113" i="2"/>
  <c r="K101" i="2"/>
  <c r="K89" i="2"/>
  <c r="K77" i="2"/>
  <c r="K65" i="2"/>
  <c r="K53" i="2"/>
  <c r="K41" i="2"/>
  <c r="K29" i="2"/>
  <c r="K17" i="2"/>
  <c r="K5" i="2"/>
  <c r="K7" i="2"/>
  <c r="K472" i="2"/>
  <c r="K460" i="2"/>
  <c r="K448" i="2"/>
  <c r="K436" i="2"/>
  <c r="K424" i="2"/>
  <c r="K412" i="2"/>
  <c r="K400" i="2"/>
  <c r="K388" i="2"/>
  <c r="K376" i="2"/>
  <c r="K364" i="2"/>
  <c r="K352" i="2"/>
  <c r="K340" i="2"/>
  <c r="K328" i="2"/>
  <c r="K316" i="2"/>
  <c r="K304" i="2"/>
  <c r="K292" i="2"/>
  <c r="K280" i="2"/>
  <c r="K268" i="2"/>
  <c r="K256" i="2"/>
  <c r="K244" i="2"/>
  <c r="K232" i="2"/>
  <c r="K220" i="2"/>
  <c r="K208" i="2"/>
  <c r="K196" i="2"/>
  <c r="K184" i="2"/>
  <c r="K172" i="2"/>
  <c r="K160" i="2"/>
  <c r="K148" i="2"/>
  <c r="K136" i="2"/>
  <c r="K124" i="2"/>
  <c r="K112" i="2"/>
  <c r="K100" i="2"/>
  <c r="K88" i="2"/>
  <c r="K76" i="2"/>
  <c r="K64" i="2"/>
  <c r="K52" i="2"/>
  <c r="K40" i="2"/>
  <c r="K28" i="2"/>
  <c r="K16" i="2"/>
  <c r="K4" i="2"/>
  <c r="K463" i="2"/>
  <c r="K415" i="2"/>
  <c r="K471" i="2"/>
  <c r="K459" i="2"/>
  <c r="K447" i="2"/>
  <c r="K435" i="2"/>
  <c r="K423" i="2"/>
  <c r="K411" i="2"/>
  <c r="K399" i="2"/>
  <c r="K387" i="2"/>
  <c r="K375" i="2"/>
  <c r="K363" i="2"/>
  <c r="K351" i="2"/>
  <c r="K339" i="2"/>
  <c r="K327" i="2"/>
  <c r="K315" i="2"/>
  <c r="K303" i="2"/>
  <c r="K291" i="2"/>
  <c r="K279" i="2"/>
  <c r="K267" i="2"/>
  <c r="K255" i="2"/>
  <c r="K243" i="2"/>
  <c r="K231" i="2"/>
  <c r="K219" i="2"/>
  <c r="K207" i="2"/>
  <c r="K195" i="2"/>
  <c r="K183" i="2"/>
  <c r="K171" i="2"/>
  <c r="K159" i="2"/>
  <c r="K147" i="2"/>
  <c r="K135" i="2"/>
  <c r="K123" i="2"/>
  <c r="K111" i="2"/>
  <c r="K99" i="2"/>
  <c r="K87" i="2"/>
  <c r="K75" i="2"/>
  <c r="K63" i="2"/>
  <c r="K51" i="2"/>
  <c r="K39" i="2"/>
  <c r="K27" i="2"/>
  <c r="K15" i="2"/>
  <c r="K3" i="2"/>
  <c r="K470" i="2"/>
  <c r="K458" i="2"/>
  <c r="K446" i="2"/>
  <c r="K434" i="2"/>
  <c r="K422" i="2"/>
  <c r="K410" i="2"/>
  <c r="K398" i="2"/>
  <c r="K386" i="2"/>
  <c r="K374" i="2"/>
  <c r="K362" i="2"/>
  <c r="K350" i="2"/>
  <c r="K338" i="2"/>
  <c r="K326" i="2"/>
  <c r="K314" i="2"/>
  <c r="K302" i="2"/>
  <c r="K290" i="2"/>
  <c r="K278" i="2"/>
  <c r="K266" i="2"/>
  <c r="K254" i="2"/>
  <c r="K242" i="2"/>
  <c r="K230" i="2"/>
  <c r="K218" i="2"/>
  <c r="K206" i="2"/>
  <c r="K194" i="2"/>
  <c r="K182" i="2"/>
  <c r="K170" i="2"/>
  <c r="K158" i="2"/>
  <c r="K146" i="2"/>
  <c r="K134" i="2"/>
  <c r="K122" i="2"/>
  <c r="K110" i="2"/>
  <c r="K98" i="2"/>
  <c r="K86" i="2"/>
  <c r="K74" i="2"/>
  <c r="K62" i="2"/>
  <c r="K50" i="2"/>
  <c r="K38" i="2"/>
  <c r="K26" i="2"/>
  <c r="K14" i="2"/>
  <c r="K2" i="2"/>
  <c r="K469" i="2"/>
  <c r="K457" i="2"/>
  <c r="K445" i="2"/>
  <c r="K433" i="2"/>
  <c r="K421" i="2"/>
  <c r="K409" i="2"/>
  <c r="K397" i="2"/>
  <c r="K385" i="2"/>
  <c r="K373" i="2"/>
  <c r="K361" i="2"/>
  <c r="K349" i="2"/>
  <c r="K337" i="2"/>
  <c r="K325" i="2"/>
  <c r="K313" i="2"/>
  <c r="K301" i="2"/>
  <c r="K289" i="2"/>
  <c r="K277" i="2"/>
  <c r="K265" i="2"/>
  <c r="K253" i="2"/>
  <c r="K241" i="2"/>
  <c r="K229" i="2"/>
  <c r="K217" i="2"/>
  <c r="K205" i="2"/>
  <c r="K193" i="2"/>
  <c r="K181" i="2"/>
  <c r="K169" i="2"/>
  <c r="K157" i="2"/>
  <c r="K145" i="2"/>
  <c r="K133" i="2"/>
  <c r="K121" i="2"/>
  <c r="K109" i="2"/>
  <c r="K97" i="2"/>
  <c r="K85" i="2"/>
  <c r="K73" i="2"/>
  <c r="K61" i="2"/>
  <c r="K49" i="2"/>
  <c r="K37" i="2"/>
  <c r="K25" i="2"/>
  <c r="K13" i="2"/>
  <c r="K12" i="2"/>
  <c r="K59" i="2"/>
  <c r="K47" i="2"/>
  <c r="K35" i="2"/>
  <c r="K23" i="2"/>
  <c r="K11" i="2"/>
  <c r="K118" i="2"/>
  <c r="K106" i="2"/>
  <c r="K82" i="2"/>
  <c r="K70" i="2"/>
  <c r="K58" i="2"/>
  <c r="K46" i="2"/>
  <c r="K34" i="2"/>
  <c r="K22" i="2"/>
  <c r="K10" i="2"/>
</calcChain>
</file>

<file path=xl/sharedStrings.xml><?xml version="1.0" encoding="utf-8"?>
<sst xmlns="http://schemas.openxmlformats.org/spreadsheetml/2006/main" count="6482" uniqueCount="590">
  <si>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</si>
  <si>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</si>
  <si>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</si>
  <si>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</si>
  <si>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</si>
  <si>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</si>
  <si>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</si>
  <si>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</si>
  <si>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</si>
  <si>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</si>
  <si>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</si>
  <si>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</si>
  <si>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</si>
  <si>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</si>
  <si>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</si>
  <si>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</si>
  <si>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</si>
  <si>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</si>
  <si>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</si>
  <si>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</si>
  <si>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</si>
  <si>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</si>
  <si>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</si>
  <si>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</si>
  <si>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</si>
  <si>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</si>
  <si>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</si>
  <si>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</si>
  <si>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</si>
  <si>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</si>
  <si>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</si>
  <si>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</si>
  <si>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</si>
  <si>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</si>
  <si>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</si>
  <si>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</si>
  <si>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</si>
  <si>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</si>
  <si>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</si>
  <si>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</si>
  <si>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</si>
  <si>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</si>
  <si>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</si>
  <si>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</si>
  <si>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</si>
  <si>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</si>
  <si>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</si>
  <si>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</si>
  <si>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</si>
  <si>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</si>
  <si>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</si>
  <si>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</si>
  <si>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</si>
  <si>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</si>
  <si>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</si>
  <si>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</si>
  <si>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</si>
  <si>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</si>
  <si>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</si>
  <si>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</si>
  <si>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</si>
  <si>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</si>
  <si>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</si>
  <si>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</si>
  <si>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</si>
  <si>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</si>
  <si>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</si>
  <si>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</si>
  <si>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</si>
  <si>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</si>
  <si>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</si>
  <si>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</si>
  <si>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</si>
  <si>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</si>
  <si>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</si>
  <si>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</si>
  <si>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</si>
  <si>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</si>
  <si>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</si>
  <si>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</si>
  <si>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</si>
  <si>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</si>
  <si>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</si>
  <si>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</si>
  <si>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</si>
  <si>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</si>
  <si>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</si>
  <si>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</si>
  <si>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</si>
  <si>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</si>
  <si>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</si>
  <si>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</si>
  <si>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</si>
  <si>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</si>
  <si>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</si>
  <si>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</si>
  <si>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</si>
  <si>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</si>
  <si>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</si>
  <si>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</si>
  <si>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</si>
  <si>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</si>
  <si>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</si>
  <si>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</si>
  <si>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</si>
  <si>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</si>
  <si>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</si>
  <si>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</si>
  <si>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</si>
  <si>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</si>
  <si>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</si>
  <si>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</si>
  <si>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</si>
  <si>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</si>
  <si>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</si>
  <si>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</si>
  <si>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</si>
  <si>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</si>
  <si>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</si>
  <si>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</si>
  <si>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</si>
  <si>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</si>
  <si>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</si>
  <si>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</si>
  <si>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</si>
  <si>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</si>
  <si>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</si>
  <si>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</si>
  <si>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</si>
  <si>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</si>
  <si>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</si>
  <si>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</si>
  <si>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</si>
  <si>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</si>
  <si>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</si>
  <si>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</si>
  <si>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</si>
  <si>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</si>
  <si>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</si>
  <si>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</si>
  <si>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</si>
  <si>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</si>
  <si>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</si>
  <si>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</si>
  <si>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</si>
  <si>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</si>
  <si>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</si>
  <si>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</si>
  <si>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</si>
  <si>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</si>
  <si>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</si>
  <si>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</si>
  <si>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</si>
  <si>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</si>
  <si>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</si>
  <si>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</si>
  <si>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</si>
  <si>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</si>
  <si>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</si>
  <si>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</si>
  <si>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</si>
  <si>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</si>
  <si>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</si>
  <si>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</si>
  <si>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</si>
  <si>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</si>
  <si>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</si>
  <si>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</si>
  <si>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</si>
  <si>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</si>
  <si>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</si>
  <si>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</si>
  <si>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</si>
  <si>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</si>
  <si>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</si>
  <si>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</si>
  <si>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</si>
  <si>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</si>
  <si>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</si>
  <si>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</si>
  <si>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</si>
  <si>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</si>
  <si>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</si>
  <si>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</si>
  <si>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</si>
  <si>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</si>
  <si>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</si>
  <si>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</si>
  <si>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</si>
  <si>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</si>
  <si>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</si>
  <si>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</si>
  <si>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</si>
  <si>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</si>
  <si>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</si>
  <si>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</si>
  <si>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</si>
  <si>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</si>
  <si>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</si>
  <si>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</si>
  <si>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</si>
  <si>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</si>
  <si>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</si>
  <si>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</si>
  <si>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</si>
  <si>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</si>
  <si>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</si>
  <si>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</si>
  <si>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</si>
  <si>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</si>
  <si>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</si>
  <si>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</si>
  <si>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</si>
  <si>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</si>
  <si>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</si>
  <si>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</si>
  <si>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</si>
  <si>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</si>
  <si>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</si>
  <si>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</si>
  <si>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</si>
  <si>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</si>
  <si>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</si>
  <si>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</si>
  <si>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</si>
  <si>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</si>
  <si>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</si>
  <si>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</si>
  <si>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</si>
  <si>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</si>
  <si>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</si>
  <si>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</si>
  <si>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</si>
  <si>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</si>
  <si>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</si>
  <si>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</si>
  <si>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</si>
  <si>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</si>
  <si>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</si>
  <si>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</si>
  <si>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</si>
  <si>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</si>
  <si>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</si>
  <si>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</si>
  <si>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</si>
  <si>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</si>
  <si>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</si>
  <si>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</si>
  <si>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</si>
  <si>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</si>
  <si>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</si>
  <si>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</si>
  <si>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</si>
  <si>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</si>
  <si>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</si>
  <si>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</si>
  <si>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</si>
  <si>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</si>
  <si>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</si>
  <si>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</si>
  <si>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</si>
  <si>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</si>
  <si>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</si>
  <si>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</si>
  <si>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</si>
  <si>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</si>
  <si>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</si>
  <si>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</si>
  <si>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</si>
  <si>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</si>
  <si>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</si>
  <si>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</si>
  <si>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</si>
  <si>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</si>
  <si>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</si>
  <si>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</si>
  <si>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</si>
  <si>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</si>
  <si>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</si>
  <si>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</si>
  <si>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</si>
  <si>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</si>
  <si>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</si>
  <si>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</si>
  <si>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</si>
  <si>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</si>
  <si>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</si>
  <si>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</si>
  <si>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</si>
  <si>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</si>
  <si>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</si>
  <si>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</si>
  <si>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</si>
  <si>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</si>
  <si>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</si>
  <si>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</si>
  <si>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</si>
  <si>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</si>
  <si>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</si>
  <si>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</si>
  <si>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</si>
  <si>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</si>
  <si>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</si>
  <si>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</si>
  <si>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</si>
  <si>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</si>
  <si>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</si>
  <si>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</si>
  <si>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</si>
  <si>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</si>
  <si>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</si>
  <si>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</si>
  <si>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</si>
  <si>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</si>
  <si>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</si>
  <si>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</si>
  <si>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</si>
  <si>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</si>
  <si>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</si>
  <si>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</si>
  <si>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</si>
  <si>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</si>
  <si>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</si>
  <si>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</si>
  <si>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</si>
  <si>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</si>
  <si>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</si>
  <si>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</si>
  <si>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</si>
  <si>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</si>
  <si>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</si>
  <si>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</si>
  <si>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</si>
  <si>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</si>
  <si>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</si>
  <si>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</si>
  <si>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</si>
  <si>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</si>
  <si>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</si>
  <si>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</si>
  <si>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</si>
  <si>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</si>
  <si>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</si>
  <si>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</si>
  <si>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</si>
  <si>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</si>
  <si>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</si>
  <si>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</si>
  <si>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</si>
  <si>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</si>
  <si>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</si>
  <si>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</si>
  <si>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</si>
  <si>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</si>
  <si>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</si>
  <si>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</si>
  <si>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</si>
  <si>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</si>
  <si>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</si>
  <si>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</si>
  <si>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</si>
  <si>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</si>
  <si>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</si>
  <si>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</si>
  <si>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</si>
  <si>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</si>
  <si>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</si>
  <si>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</si>
  <si>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</si>
  <si>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</si>
  <si>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</si>
  <si>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</si>
  <si>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</si>
  <si>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</si>
  <si>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</si>
  <si>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</si>
  <si>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</si>
  <si>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</si>
  <si>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</si>
  <si>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</si>
  <si>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</si>
  <si>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</si>
  <si>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</si>
  <si>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</si>
  <si>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</si>
  <si>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</si>
  <si>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</si>
  <si>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</si>
  <si>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</si>
  <si>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</si>
  <si>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</si>
  <si>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</si>
  <si>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</si>
  <si>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</si>
  <si>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</si>
  <si>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</si>
  <si>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</si>
  <si>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</si>
  <si>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</si>
  <si>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</si>
  <si>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</si>
  <si>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</si>
  <si>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</si>
  <si>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</si>
  <si>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</si>
  <si>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</si>
  <si>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</si>
  <si>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</si>
  <si>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</si>
  <si>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</si>
  <si>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</si>
  <si>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</si>
  <si>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</si>
  <si>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</si>
  <si>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</si>
  <si>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</si>
  <si>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</si>
  <si>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</si>
  <si>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</si>
  <si>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</si>
  <si>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</si>
  <si>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</si>
  <si>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</si>
  <si>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</si>
  <si>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</si>
  <si>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</si>
  <si>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</si>
  <si>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</si>
  <si>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</si>
  <si>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</si>
  <si>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</si>
  <si>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</si>
  <si>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</si>
  <si>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</si>
  <si>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</si>
  <si>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</si>
  <si>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</si>
  <si>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</si>
  <si>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</si>
  <si>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</si>
  <si>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</si>
  <si>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</si>
  <si>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</si>
  <si>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</si>
  <si>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</si>
  <si>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</si>
  <si>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</si>
  <si>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</si>
  <si>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</si>
  <si>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</si>
  <si>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</si>
  <si>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</si>
  <si>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</si>
  <si>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</si>
  <si>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</si>
  <si>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</si>
  <si>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</si>
  <si>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</si>
  <si>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</si>
  <si>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</si>
  <si>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</si>
  <si>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</si>
  <si>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</si>
  <si>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</si>
  <si>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</si>
  <si>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</si>
  <si>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</si>
  <si>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</si>
  <si>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</si>
  <si>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</si>
  <si>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</si>
  <si>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</si>
  <si>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</si>
  <si>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</si>
  <si>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</si>
  <si>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</si>
  <si>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</si>
  <si>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</si>
  <si>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</si>
  <si>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</si>
  <si>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</si>
  <si>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</si>
  <si>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</si>
  <si>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</si>
  <si>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</si>
  <si>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</si>
  <si>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</si>
  <si>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</si>
  <si>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</si>
  <si>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</si>
  <si>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</si>
  <si>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</si>
  <si>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</si>
  <si>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</si>
  <si>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</si>
  <si>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</si>
  <si>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</si>
  <si>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</si>
  <si>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</si>
  <si>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</si>
  <si>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</si>
  <si>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</si>
  <si>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</si>
  <si>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</si>
  <si>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</si>
  <si>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</si>
  <si>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</si>
  <si>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</si>
  <si>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</si>
  <si>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</si>
  <si>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</si>
  <si>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</si>
  <si>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</si>
  <si>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</si>
  <si>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</si>
  <si>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</si>
  <si>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</si>
  <si>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</si>
  <si>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</si>
  <si>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</si>
  <si>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</si>
  <si>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</si>
  <si>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</si>
  <si>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</si>
  <si>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</si>
  <si>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</si>
  <si>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</si>
  <si>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</si>
  <si>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</si>
  <si>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</si>
  <si>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</si>
  <si>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</si>
  <si>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</si>
  <si>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</si>
  <si>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</si>
  <si>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</si>
  <si>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</si>
  <si>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</si>
  <si>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</si>
  <si>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</si>
  <si>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</si>
  <si>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</si>
  <si>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</si>
  <si>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</si>
  <si>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</si>
  <si>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</si>
  <si>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</si>
  <si>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</si>
  <si>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</si>
  <si>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</si>
  <si>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</si>
  <si>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Customer Name</t>
  </si>
  <si>
    <t>Hyderbad</t>
  </si>
  <si>
    <t>Unit Sold</t>
  </si>
  <si>
    <t>Unit Price</t>
  </si>
  <si>
    <t>Discount%</t>
  </si>
  <si>
    <t>Segment2</t>
  </si>
  <si>
    <t>Product Details</t>
  </si>
  <si>
    <t>Kathryn Bass PhD</t>
  </si>
  <si>
    <t>Julia Ramirez</t>
  </si>
  <si>
    <t>Derrick Scott</t>
  </si>
  <si>
    <t>Matthew Gomez DDS</t>
  </si>
  <si>
    <t>George Cooper</t>
  </si>
  <si>
    <t>Dennis Pena</t>
  </si>
  <si>
    <t>Gary Wilson</t>
  </si>
  <si>
    <t>Jeans - Slim Fit Jeans</t>
  </si>
  <si>
    <t>Jackets - Puffer Coat</t>
  </si>
  <si>
    <t>Shoes - Loafers</t>
  </si>
  <si>
    <t>Accessories - Belts</t>
  </si>
  <si>
    <t>T-Shirts - Crop Top</t>
  </si>
  <si>
    <t>Jeans - Boyfriend Jeans</t>
  </si>
  <si>
    <t>Dresses - Casual Midi</t>
  </si>
  <si>
    <t>Accessories - Sunglasses</t>
  </si>
  <si>
    <t>T-Shirts - Oversized T-shirt</t>
  </si>
  <si>
    <t>Jeans - Straight Cut</t>
  </si>
  <si>
    <t>Shoes - Sneakers</t>
  </si>
  <si>
    <t>Dresses - Maxi Dress</t>
  </si>
  <si>
    <t>Dresses - Wrap Dress</t>
  </si>
  <si>
    <t>Shoes - Slip-ons</t>
  </si>
  <si>
    <t>T-Shirts - Classic Tee</t>
  </si>
  <si>
    <t>Jackets - Bomber Jacket</t>
  </si>
  <si>
    <t>T-Shirts - Graphic Tee</t>
  </si>
  <si>
    <t>Shoes - Boots</t>
  </si>
  <si>
    <t>Jackets - Denim Jacket</t>
  </si>
  <si>
    <t>Dresses - Bodycon</t>
  </si>
  <si>
    <t>Jeans - Ripped Denim</t>
  </si>
  <si>
    <t>Accessories - Watches</t>
  </si>
  <si>
    <t>Jackets - Leather Jacket</t>
  </si>
  <si>
    <t>Accessories - Caps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</si>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</sst>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  <numFmt numFmtId="165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33" borderId="0" xfId="0" applyFill="1"/>
    <xf numFmtId="1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42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5" fontId="0" fillId="0" borderId="0" xfId="42" applyNumberFormat="1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rgb="FF0070C0"/>
        </patternFill>
      </fill>
    </dxf>
  </dxfs>
  <tableStyles count="1" defaultTableStyle="TableStyleMedium2" defaultPivotStyle="PivotStyleLight16">
    <tableStyle name="Table Style 1" pivot="0" count="1" xr9:uid="{A7700869-C60F-420D-B1F1-8ED1E237720D}">
      <tableStyleElement type="wholeTabl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C09D1-9A59-4D45-8452-689D24652476}" name="Table1" displayName="Table1" ref="A1:R474" totalsRowShown="0">
  <autoFilter ref="A1:R474" xr:uid="{593C09D1-9A59-4D45-8452-689D24652476}"/>
  <tableColumns count="18">
    <tableColumn id="1" xr3:uid="{0C382D2F-9DFE-4D15-B581-B72D30D830E5}" name="Order_ID"/>
    <tableColumn id="13" xr3:uid="{DF42676E-D101-41FB-B093-B86750D38AE6}" name="Customer Name" dataDxfId="6">
      <calculatedColumnFormula>TRIM(SUBSTITUTE(SUBSTITUTE(SUBSTITUTE(SUBSTITUTE(C2,"Dr. ",""),"Mrs. ",""),"Mr. ",""),"Ms. ",""))</calculatedColumnFormula>
    </tableColumn>
    <tableColumn id="2" xr3:uid="{4F2E83BD-1C15-478C-A8BC-6398F0529E06}" name="Customer_Name"/>
    <tableColumn id="3" xr3:uid="{14AA44E1-9055-4FA8-9F45-334E33787A7D}" name="Product_Category"/>
    <tableColumn id="4" xr3:uid="{3FD50058-4BED-4627-B61C-C026657F8A07}" name="Product_Name"/>
    <tableColumn id="20" xr3:uid="{B475937A-36B7-43BD-B448-DBDD9FAAEA88}" name="Product Details" dataDxfId="5">
      <calculatedColumnFormula>CONCATENATE(Table1[[#This Row],[Product_Category]]," - ",Table1[[#This Row],[Product_Name]])</calculatedColumnFormula>
    </tableColumn>
    <tableColumn id="15" xr3:uid="{FFA11EE2-44A8-4232-8B36-8C868AFA1C07}" name="Unit Sold" dataDxfId="4">
      <calculatedColumnFormula>IF(H2="", AVERAGEIF(Table1[Product_Category],D2,$H$2:$H$474),H2)</calculatedColumnFormula>
    </tableColumn>
    <tableColumn id="5" xr3:uid="{52B7EAD9-B6D7-44E7-91FF-985C610C4633}" name="Units_Sold"/>
    <tableColumn id="16" xr3:uid="{FC2FF23D-C57F-441E-B4DD-4386481C2A08}" name="Unit Price" dataDxfId="3">
      <calculatedColumnFormula>IF(J2="",AVERAGEIF($D$2:$D$474,D2,$J$2:$J$474),J2)</calculatedColumnFormula>
    </tableColumn>
    <tableColumn id="6" xr3:uid="{54530124-C431-4214-9C5B-A48488AADA1E}" name="Unit_Price"/>
    <tableColumn id="17" xr3:uid="{3D19A91E-6742-405E-8581-10AF05215F53}" name="Discount%" dataDxfId="2">
      <calculatedColumnFormula>IF(AND(ISBLANK(L2),I2&gt;0,G2&gt;0,N2&gt;0), 1-(N2/(G2*I2)), L2)</calculatedColumnFormula>
    </tableColumn>
    <tableColumn id="7" xr3:uid="{7069218B-DEFA-4D73-9AE9-04464118965C}" name="Discount_%"/>
    <tableColumn id="21" xr3:uid="{3DC92A27-7592-41FC-8519-0D85D932911D}" name="Sales Amount" dataDxfId="1">
      <calculatedColumnFormula>G2*I2*(1-K2)</calculatedColumnFormula>
    </tableColumn>
    <tableColumn id="8" xr3:uid="{0123B8B0-5751-4398-9487-8581E2842CE1}" name="Sales_Amount"/>
    <tableColumn id="10" xr3:uid="{B9505EF4-E78B-4955-BFD3-30912473BFCC}" name="City"/>
    <tableColumn id="19" xr3:uid="{CDCC044F-21FC-4419-A064-A4C9124A2CCC}" name="Segment" dataDxfId="0">
      <calculatedColumnFormula>IF(Q2="",IF(O2="Ahmedabad","B2C",IF(O2="Bangalore","B2C",IF(O2="Hyderabad","B2B",IF(O2="Mumbai","B2C","B2C")))),Q2)</calculatedColumnFormula>
    </tableColumn>
    <tableColumn id="11" xr3:uid="{E86F83E5-5069-4909-8B92-7E412E22E602}" name="Segment2"/>
    <tableColumn id="12" xr3:uid="{758372C0-B879-41E1-AF34-31B3027A9C64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54B9C5-5917-4891-9489-A6F5FE9D17D8}" name="Table2" displayName="Table2" ref="A1:J1048576" totalsRowShown="0" headerRowDxfId="18" dataDxfId="17">
  <autoFilter ref="A1:J1048576" xr:uid="{0354B9C5-5917-4891-9489-A6F5FE9D17D8}"/>
  <tableColumns count="10">
    <tableColumn id="1" xr3:uid="{B649FC94-DA7F-4A32-BD23-600E599BE090}" name="Order_ID" dataDxfId="16"/>
    <tableColumn id="2" xr3:uid="{E2509DB1-C4F7-4554-91D1-E3668BBC77D4}" name="Customer Name" dataDxfId="15"/>
    <tableColumn id="3" xr3:uid="{2EF40B65-F00E-43CE-9DDA-A068C9B41585}" name="Product Details" dataDxfId="14"/>
    <tableColumn id="4" xr3:uid="{AB8AADB1-DF9B-46BE-B226-2332621F84D2}" name="Unit Sold" dataDxfId="13"/>
    <tableColumn id="5" xr3:uid="{7620D8FD-1CB0-4034-8973-DB84E3BBE493}" name="Unit Price" dataDxfId="12"/>
    <tableColumn id="6" xr3:uid="{5A8A0416-BDE5-4F6C-ABC4-1421756210EF}" name="Discount%" dataDxfId="11"/>
    <tableColumn id="7" xr3:uid="{61207B70-E2EE-431F-8F4A-5C88F66A6997}" name="Sales Amount" dataDxfId="10" dataCellStyle="Comma"/>
    <tableColumn id="8" xr3:uid="{D94F4AEF-27F9-40DF-B8D8-1CB42EE507CD}" name="City" dataDxfId="9"/>
    <tableColumn id="9" xr3:uid="{F13E1D90-D6B0-4E8F-B7BF-621B09F761F9}" name="Segment" dataDxfId="8"/>
    <tableColumn id="10" xr3:uid="{611EB51D-E1C2-48D0-8830-DABA0EFB885F}" name="Profit" dataDxfId="7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A872-BEC3-4A3B-AE76-1ED61CF3483B}">
  <dimension ref="A1:K501"/>
  <sheetViews>
    <sheetView tabSelected="1" workbookViewId="0">
      <selection activeCell="I1" sqref="I1:I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1000</v>
      </c>
      <c r="B2" t="s">
        <v>11</v>
      </c>
      <c r="C2" t="s">
        <v>12</v>
      </c>
      <c r="D2" t="s">
        <v>13</v>
      </c>
      <c r="F2">
        <v>842</v>
      </c>
      <c r="G2">
        <v>0.6</v>
      </c>
      <c r="H2">
        <v>0</v>
      </c>
      <c r="I2" t="s">
        <v>14</v>
      </c>
      <c r="J2" t="s">
        <v>15</v>
      </c>
      <c r="K2">
        <v>2137.4499999999998</v>
      </c>
    </row>
    <row r="3" spans="1:11" x14ac:dyDescent="0.3">
      <c r="A3">
        <v>1001</v>
      </c>
      <c r="B3" t="s">
        <v>16</v>
      </c>
      <c r="C3" t="s">
        <v>12</v>
      </c>
      <c r="D3" t="s">
        <v>13</v>
      </c>
      <c r="E3">
        <v>1</v>
      </c>
      <c r="H3">
        <v>0</v>
      </c>
      <c r="I3" t="s">
        <v>17</v>
      </c>
      <c r="K3">
        <v>1588.15</v>
      </c>
    </row>
    <row r="4" spans="1:11" x14ac:dyDescent="0.3">
      <c r="A4">
        <v>1002</v>
      </c>
      <c r="B4" t="s">
        <v>18</v>
      </c>
      <c r="C4" t="s">
        <v>19</v>
      </c>
      <c r="D4" t="s">
        <v>20</v>
      </c>
      <c r="E4">
        <v>1</v>
      </c>
      <c r="F4">
        <v>637.82000000000005</v>
      </c>
      <c r="H4">
        <v>0</v>
      </c>
      <c r="I4" t="s">
        <v>21</v>
      </c>
      <c r="J4" t="s">
        <v>22</v>
      </c>
      <c r="K4">
        <v>-158.03</v>
      </c>
    </row>
    <row r="5" spans="1:11" x14ac:dyDescent="0.3">
      <c r="A5">
        <v>1003</v>
      </c>
      <c r="B5" t="s">
        <v>23</v>
      </c>
      <c r="C5" t="s">
        <v>24</v>
      </c>
      <c r="D5" t="s">
        <v>25</v>
      </c>
      <c r="E5">
        <v>2</v>
      </c>
      <c r="F5">
        <v>2962.27</v>
      </c>
      <c r="H5">
        <v>0</v>
      </c>
      <c r="I5" t="s">
        <v>26</v>
      </c>
      <c r="J5" t="s">
        <v>22</v>
      </c>
      <c r="K5">
        <v>2296.5</v>
      </c>
    </row>
    <row r="6" spans="1:11" x14ac:dyDescent="0.3">
      <c r="A6">
        <v>1004</v>
      </c>
      <c r="B6" t="s">
        <v>27</v>
      </c>
      <c r="C6" t="s">
        <v>28</v>
      </c>
      <c r="D6" t="s">
        <v>29</v>
      </c>
      <c r="E6">
        <v>1</v>
      </c>
      <c r="F6">
        <v>2881.07</v>
      </c>
      <c r="G6">
        <v>0.27</v>
      </c>
      <c r="H6">
        <v>2103.1799999999998</v>
      </c>
      <c r="I6" t="s">
        <v>30</v>
      </c>
      <c r="K6">
        <v>63.66</v>
      </c>
    </row>
    <row r="7" spans="1:11" x14ac:dyDescent="0.3">
      <c r="A7">
        <v>1005</v>
      </c>
      <c r="B7" t="s">
        <v>31</v>
      </c>
      <c r="C7" t="s">
        <v>32</v>
      </c>
      <c r="D7" t="s">
        <v>33</v>
      </c>
      <c r="H7">
        <v>0</v>
      </c>
      <c r="I7" t="s">
        <v>21</v>
      </c>
      <c r="J7" t="s">
        <v>22</v>
      </c>
      <c r="K7">
        <v>1477.73</v>
      </c>
    </row>
    <row r="8" spans="1:11" x14ac:dyDescent="0.3">
      <c r="A8">
        <v>1006</v>
      </c>
      <c r="B8" t="s">
        <v>34</v>
      </c>
      <c r="C8" t="s">
        <v>12</v>
      </c>
      <c r="D8" t="s">
        <v>35</v>
      </c>
      <c r="E8">
        <v>1</v>
      </c>
      <c r="F8">
        <v>2060.85</v>
      </c>
      <c r="H8">
        <v>0</v>
      </c>
      <c r="I8" t="s">
        <v>17</v>
      </c>
      <c r="J8" t="s">
        <v>22</v>
      </c>
      <c r="K8">
        <v>198.36</v>
      </c>
    </row>
    <row r="9" spans="1:11" x14ac:dyDescent="0.3">
      <c r="A9">
        <v>1007</v>
      </c>
      <c r="B9" t="s">
        <v>36</v>
      </c>
      <c r="C9" t="s">
        <v>37</v>
      </c>
      <c r="D9" t="s">
        <v>38</v>
      </c>
      <c r="F9">
        <v>3669.56</v>
      </c>
      <c r="H9">
        <v>0</v>
      </c>
      <c r="I9" t="s">
        <v>39</v>
      </c>
      <c r="J9" t="s">
        <v>15</v>
      </c>
      <c r="K9">
        <v>2490.0100000000002</v>
      </c>
    </row>
    <row r="10" spans="1:11" x14ac:dyDescent="0.3">
      <c r="A10">
        <v>1008</v>
      </c>
      <c r="B10" t="s">
        <v>40</v>
      </c>
      <c r="C10" t="s">
        <v>28</v>
      </c>
      <c r="D10" t="s">
        <v>41</v>
      </c>
      <c r="H10">
        <v>0</v>
      </c>
      <c r="I10" t="s">
        <v>17</v>
      </c>
      <c r="J10" t="s">
        <v>15</v>
      </c>
      <c r="K10">
        <v>-886.8</v>
      </c>
    </row>
    <row r="11" spans="1:11" x14ac:dyDescent="0.3">
      <c r="A11">
        <v>1009</v>
      </c>
      <c r="B11" t="s">
        <v>42</v>
      </c>
      <c r="C11" t="s">
        <v>32</v>
      </c>
      <c r="D11" t="s">
        <v>43</v>
      </c>
      <c r="E11">
        <v>5</v>
      </c>
      <c r="H11">
        <v>0</v>
      </c>
      <c r="I11" t="s">
        <v>39</v>
      </c>
      <c r="J11" t="s">
        <v>22</v>
      </c>
      <c r="K11">
        <v>-972.73</v>
      </c>
    </row>
    <row r="12" spans="1:11" x14ac:dyDescent="0.3">
      <c r="A12">
        <v>1010</v>
      </c>
      <c r="B12" t="s">
        <v>44</v>
      </c>
      <c r="C12" t="s">
        <v>32</v>
      </c>
      <c r="D12" t="s">
        <v>33</v>
      </c>
      <c r="E12">
        <v>0</v>
      </c>
      <c r="F12">
        <v>4007.02</v>
      </c>
      <c r="H12">
        <v>0</v>
      </c>
      <c r="I12" t="s">
        <v>45</v>
      </c>
      <c r="J12" t="s">
        <v>22</v>
      </c>
      <c r="K12">
        <v>-950.38</v>
      </c>
    </row>
    <row r="13" spans="1:11" x14ac:dyDescent="0.3">
      <c r="A13">
        <v>1011</v>
      </c>
      <c r="B13" t="s">
        <v>46</v>
      </c>
      <c r="C13" t="s">
        <v>28</v>
      </c>
      <c r="D13" t="s">
        <v>29</v>
      </c>
      <c r="E13">
        <v>0</v>
      </c>
      <c r="H13">
        <v>0</v>
      </c>
      <c r="I13" t="s">
        <v>14</v>
      </c>
      <c r="J13" t="s">
        <v>15</v>
      </c>
      <c r="K13">
        <v>1370.67</v>
      </c>
    </row>
    <row r="14" spans="1:11" x14ac:dyDescent="0.3">
      <c r="A14">
        <v>1012</v>
      </c>
      <c r="B14" t="s">
        <v>47</v>
      </c>
      <c r="C14" t="s">
        <v>12</v>
      </c>
      <c r="D14" t="s">
        <v>48</v>
      </c>
      <c r="E14">
        <v>4</v>
      </c>
      <c r="G14">
        <v>0.21</v>
      </c>
      <c r="H14">
        <v>0</v>
      </c>
      <c r="I14" t="s">
        <v>17</v>
      </c>
      <c r="K14">
        <v>843.61</v>
      </c>
    </row>
    <row r="15" spans="1:11" x14ac:dyDescent="0.3">
      <c r="A15">
        <v>1013</v>
      </c>
      <c r="B15" t="s">
        <v>49</v>
      </c>
      <c r="C15" t="s">
        <v>32</v>
      </c>
      <c r="D15" t="s">
        <v>33</v>
      </c>
      <c r="G15">
        <v>0.62</v>
      </c>
      <c r="H15">
        <v>0</v>
      </c>
      <c r="I15" t="s">
        <v>45</v>
      </c>
      <c r="J15" t="s">
        <v>15</v>
      </c>
      <c r="K15">
        <v>1279.58</v>
      </c>
    </row>
    <row r="16" spans="1:11" x14ac:dyDescent="0.3">
      <c r="A16">
        <v>1014</v>
      </c>
      <c r="B16" t="s">
        <v>50</v>
      </c>
      <c r="C16" t="s">
        <v>24</v>
      </c>
      <c r="D16" t="s">
        <v>25</v>
      </c>
      <c r="E16">
        <v>4</v>
      </c>
      <c r="H16">
        <v>0</v>
      </c>
      <c r="I16" t="s">
        <v>51</v>
      </c>
      <c r="K16">
        <v>-889.25</v>
      </c>
    </row>
    <row r="17" spans="1:11" x14ac:dyDescent="0.3">
      <c r="A17">
        <v>1015</v>
      </c>
      <c r="B17" t="s">
        <v>52</v>
      </c>
      <c r="C17" t="s">
        <v>24</v>
      </c>
      <c r="D17" t="s">
        <v>53</v>
      </c>
      <c r="E17">
        <v>6</v>
      </c>
      <c r="H17">
        <v>0</v>
      </c>
      <c r="I17" t="s">
        <v>17</v>
      </c>
      <c r="K17">
        <v>793.8</v>
      </c>
    </row>
    <row r="18" spans="1:11" x14ac:dyDescent="0.3">
      <c r="A18">
        <v>1016</v>
      </c>
      <c r="B18" t="s">
        <v>54</v>
      </c>
      <c r="C18" t="s">
        <v>32</v>
      </c>
      <c r="D18" t="s">
        <v>33</v>
      </c>
      <c r="H18">
        <v>0</v>
      </c>
      <c r="I18" t="s">
        <v>55</v>
      </c>
      <c r="J18" t="s">
        <v>22</v>
      </c>
      <c r="K18">
        <v>1881.89</v>
      </c>
    </row>
    <row r="19" spans="1:11" x14ac:dyDescent="0.3">
      <c r="A19">
        <v>1017</v>
      </c>
      <c r="B19" t="s">
        <v>56</v>
      </c>
      <c r="C19" t="s">
        <v>32</v>
      </c>
      <c r="D19" t="s">
        <v>43</v>
      </c>
      <c r="E19">
        <v>3</v>
      </c>
      <c r="F19">
        <v>468.53</v>
      </c>
      <c r="H19">
        <v>0</v>
      </c>
      <c r="I19" t="s">
        <v>21</v>
      </c>
      <c r="J19" t="s">
        <v>22</v>
      </c>
      <c r="K19">
        <v>-195.65</v>
      </c>
    </row>
    <row r="20" spans="1:11" x14ac:dyDescent="0.3">
      <c r="A20">
        <v>1018</v>
      </c>
      <c r="B20" t="s">
        <v>57</v>
      </c>
      <c r="C20" t="s">
        <v>37</v>
      </c>
      <c r="D20" t="s">
        <v>58</v>
      </c>
      <c r="E20">
        <v>4</v>
      </c>
      <c r="H20">
        <v>0</v>
      </c>
      <c r="I20" t="s">
        <v>26</v>
      </c>
      <c r="J20" t="s">
        <v>15</v>
      </c>
      <c r="K20">
        <v>2102.56</v>
      </c>
    </row>
    <row r="21" spans="1:11" x14ac:dyDescent="0.3">
      <c r="A21">
        <v>1019</v>
      </c>
      <c r="B21" t="s">
        <v>59</v>
      </c>
      <c r="C21" t="s">
        <v>37</v>
      </c>
      <c r="D21" t="s">
        <v>38</v>
      </c>
      <c r="F21">
        <v>4064.4</v>
      </c>
      <c r="G21">
        <v>0.7</v>
      </c>
      <c r="H21">
        <v>0</v>
      </c>
      <c r="I21" t="s">
        <v>17</v>
      </c>
      <c r="J21" t="s">
        <v>15</v>
      </c>
      <c r="K21">
        <v>877.21</v>
      </c>
    </row>
    <row r="22" spans="1:11" x14ac:dyDescent="0.3">
      <c r="A22">
        <v>1020</v>
      </c>
      <c r="B22" t="s">
        <v>60</v>
      </c>
      <c r="C22" t="s">
        <v>12</v>
      </c>
      <c r="D22" t="s">
        <v>35</v>
      </c>
      <c r="E22">
        <v>1</v>
      </c>
      <c r="H22">
        <v>0</v>
      </c>
      <c r="I22" t="s">
        <v>45</v>
      </c>
      <c r="J22" t="s">
        <v>22</v>
      </c>
      <c r="K22">
        <v>669.75</v>
      </c>
    </row>
    <row r="23" spans="1:11" x14ac:dyDescent="0.3">
      <c r="A23">
        <v>1021</v>
      </c>
      <c r="B23" t="s">
        <v>61</v>
      </c>
      <c r="C23" t="s">
        <v>37</v>
      </c>
      <c r="D23" t="s">
        <v>62</v>
      </c>
      <c r="H23">
        <v>0</v>
      </c>
      <c r="I23" t="s">
        <v>26</v>
      </c>
      <c r="J23" t="s">
        <v>22</v>
      </c>
      <c r="K23">
        <v>-705.72</v>
      </c>
    </row>
    <row r="24" spans="1:11" x14ac:dyDescent="0.3">
      <c r="A24">
        <v>1031</v>
      </c>
      <c r="B24" t="s">
        <v>63</v>
      </c>
      <c r="C24" t="s">
        <v>37</v>
      </c>
      <c r="D24" t="s">
        <v>62</v>
      </c>
      <c r="F24">
        <v>1872.05</v>
      </c>
      <c r="G24">
        <v>0.15</v>
      </c>
      <c r="H24">
        <v>0</v>
      </c>
      <c r="I24" t="s">
        <v>45</v>
      </c>
      <c r="J24" t="s">
        <v>15</v>
      </c>
      <c r="K24">
        <v>-863.9</v>
      </c>
    </row>
    <row r="25" spans="1:11" x14ac:dyDescent="0.3">
      <c r="A25">
        <v>1023</v>
      </c>
      <c r="B25" t="s">
        <v>64</v>
      </c>
      <c r="C25" t="s">
        <v>24</v>
      </c>
      <c r="D25" t="s">
        <v>65</v>
      </c>
      <c r="H25">
        <v>0</v>
      </c>
      <c r="I25" t="s">
        <v>21</v>
      </c>
      <c r="K25">
        <v>-875.51</v>
      </c>
    </row>
    <row r="26" spans="1:11" x14ac:dyDescent="0.3">
      <c r="A26">
        <v>1024</v>
      </c>
      <c r="B26" t="s">
        <v>66</v>
      </c>
      <c r="C26" t="s">
        <v>19</v>
      </c>
      <c r="D26" t="s">
        <v>20</v>
      </c>
      <c r="E26">
        <v>-2</v>
      </c>
      <c r="G26">
        <v>1.19</v>
      </c>
      <c r="H26">
        <v>0</v>
      </c>
      <c r="I26" t="s">
        <v>14</v>
      </c>
      <c r="J26" t="s">
        <v>22</v>
      </c>
      <c r="K26">
        <v>491.1</v>
      </c>
    </row>
    <row r="27" spans="1:11" x14ac:dyDescent="0.3">
      <c r="A27">
        <v>1025</v>
      </c>
      <c r="B27" t="s">
        <v>67</v>
      </c>
      <c r="C27" t="s">
        <v>12</v>
      </c>
      <c r="D27" t="s">
        <v>48</v>
      </c>
      <c r="E27">
        <v>4</v>
      </c>
      <c r="F27">
        <v>4595.08</v>
      </c>
      <c r="H27">
        <v>0</v>
      </c>
      <c r="I27" t="s">
        <v>39</v>
      </c>
      <c r="K27">
        <v>330.82</v>
      </c>
    </row>
    <row r="28" spans="1:11" x14ac:dyDescent="0.3">
      <c r="A28">
        <v>1026</v>
      </c>
      <c r="B28" t="s">
        <v>68</v>
      </c>
      <c r="C28" t="s">
        <v>28</v>
      </c>
      <c r="D28" t="s">
        <v>41</v>
      </c>
      <c r="H28">
        <v>0</v>
      </c>
      <c r="I28" t="s">
        <v>17</v>
      </c>
      <c r="J28" t="s">
        <v>22</v>
      </c>
      <c r="K28">
        <v>-194.77</v>
      </c>
    </row>
    <row r="29" spans="1:11" x14ac:dyDescent="0.3">
      <c r="A29">
        <v>1027</v>
      </c>
      <c r="B29" t="s">
        <v>69</v>
      </c>
      <c r="C29" t="s">
        <v>28</v>
      </c>
      <c r="D29" t="s">
        <v>29</v>
      </c>
      <c r="E29">
        <v>1</v>
      </c>
      <c r="H29">
        <v>0</v>
      </c>
      <c r="I29" t="s">
        <v>30</v>
      </c>
      <c r="J29" t="s">
        <v>22</v>
      </c>
      <c r="K29">
        <v>1085.3599999999999</v>
      </c>
    </row>
    <row r="30" spans="1:11" x14ac:dyDescent="0.3">
      <c r="A30">
        <v>1028</v>
      </c>
      <c r="B30" t="s">
        <v>70</v>
      </c>
      <c r="C30" t="s">
        <v>32</v>
      </c>
      <c r="D30" t="s">
        <v>71</v>
      </c>
      <c r="E30">
        <v>-2</v>
      </c>
      <c r="H30">
        <v>0</v>
      </c>
      <c r="I30" t="s">
        <v>30</v>
      </c>
      <c r="J30" t="s">
        <v>22</v>
      </c>
      <c r="K30">
        <v>2060.0300000000002</v>
      </c>
    </row>
    <row r="31" spans="1:11" x14ac:dyDescent="0.3">
      <c r="A31">
        <v>1029</v>
      </c>
      <c r="B31" t="s">
        <v>72</v>
      </c>
      <c r="C31" t="s">
        <v>32</v>
      </c>
      <c r="D31" t="s">
        <v>71</v>
      </c>
      <c r="E31">
        <v>4</v>
      </c>
      <c r="H31">
        <v>0</v>
      </c>
      <c r="I31" t="s">
        <v>21</v>
      </c>
      <c r="K31">
        <v>1737.92</v>
      </c>
    </row>
    <row r="32" spans="1:11" x14ac:dyDescent="0.3">
      <c r="A32">
        <v>1030</v>
      </c>
      <c r="B32" t="s">
        <v>73</v>
      </c>
      <c r="C32" t="s">
        <v>37</v>
      </c>
      <c r="D32" t="s">
        <v>58</v>
      </c>
      <c r="E32">
        <v>3</v>
      </c>
      <c r="F32">
        <v>1069.77</v>
      </c>
      <c r="H32">
        <v>0</v>
      </c>
      <c r="I32" t="s">
        <v>51</v>
      </c>
      <c r="J32" t="s">
        <v>15</v>
      </c>
      <c r="K32">
        <v>1155.3800000000001</v>
      </c>
    </row>
    <row r="33" spans="1:11" x14ac:dyDescent="0.3">
      <c r="A33">
        <v>1031</v>
      </c>
      <c r="B33" t="s">
        <v>74</v>
      </c>
      <c r="C33" t="s">
        <v>37</v>
      </c>
      <c r="D33" t="s">
        <v>62</v>
      </c>
      <c r="E33">
        <v>4</v>
      </c>
      <c r="H33">
        <v>0</v>
      </c>
      <c r="I33" t="s">
        <v>39</v>
      </c>
      <c r="J33" t="s">
        <v>22</v>
      </c>
      <c r="K33">
        <v>-960.24</v>
      </c>
    </row>
    <row r="34" spans="1:11" x14ac:dyDescent="0.3">
      <c r="A34">
        <v>1032</v>
      </c>
      <c r="B34" t="s">
        <v>75</v>
      </c>
      <c r="C34" t="s">
        <v>12</v>
      </c>
      <c r="D34" t="s">
        <v>35</v>
      </c>
      <c r="F34">
        <v>2182.0100000000002</v>
      </c>
      <c r="H34">
        <v>0</v>
      </c>
      <c r="I34" t="s">
        <v>14</v>
      </c>
      <c r="K34">
        <v>1377.61</v>
      </c>
    </row>
    <row r="35" spans="1:11" x14ac:dyDescent="0.3">
      <c r="A35">
        <v>1033</v>
      </c>
      <c r="B35" t="s">
        <v>76</v>
      </c>
      <c r="C35" t="s">
        <v>12</v>
      </c>
      <c r="D35" t="s">
        <v>48</v>
      </c>
      <c r="H35">
        <v>0</v>
      </c>
      <c r="I35" t="s">
        <v>51</v>
      </c>
      <c r="J35" t="s">
        <v>22</v>
      </c>
      <c r="K35">
        <v>903.69</v>
      </c>
    </row>
    <row r="36" spans="1:11" x14ac:dyDescent="0.3">
      <c r="A36">
        <v>1034</v>
      </c>
      <c r="B36" t="s">
        <v>77</v>
      </c>
      <c r="C36" t="s">
        <v>19</v>
      </c>
      <c r="D36" t="s">
        <v>20</v>
      </c>
      <c r="E36">
        <v>0</v>
      </c>
      <c r="F36">
        <v>4449.3599999999997</v>
      </c>
      <c r="G36">
        <v>0.94</v>
      </c>
      <c r="H36">
        <v>0</v>
      </c>
      <c r="I36" t="s">
        <v>14</v>
      </c>
      <c r="J36" t="s">
        <v>22</v>
      </c>
      <c r="K36">
        <v>-282.68</v>
      </c>
    </row>
    <row r="37" spans="1:11" x14ac:dyDescent="0.3">
      <c r="A37">
        <v>1035</v>
      </c>
      <c r="B37" t="s">
        <v>78</v>
      </c>
      <c r="C37" t="s">
        <v>19</v>
      </c>
      <c r="D37" t="s">
        <v>79</v>
      </c>
      <c r="E37">
        <v>-1</v>
      </c>
      <c r="G37">
        <v>0.94</v>
      </c>
      <c r="H37">
        <v>0</v>
      </c>
      <c r="I37" t="s">
        <v>17</v>
      </c>
      <c r="J37" t="s">
        <v>15</v>
      </c>
      <c r="K37">
        <v>-199.18</v>
      </c>
    </row>
    <row r="38" spans="1:11" x14ac:dyDescent="0.3">
      <c r="A38">
        <v>1036</v>
      </c>
      <c r="B38" t="s">
        <v>80</v>
      </c>
      <c r="C38" t="s">
        <v>32</v>
      </c>
      <c r="D38" t="s">
        <v>81</v>
      </c>
      <c r="E38">
        <v>-2</v>
      </c>
      <c r="F38">
        <v>2721.83</v>
      </c>
      <c r="H38">
        <v>0</v>
      </c>
      <c r="I38" t="s">
        <v>17</v>
      </c>
      <c r="J38" t="s">
        <v>22</v>
      </c>
      <c r="K38">
        <v>1213.95</v>
      </c>
    </row>
    <row r="39" spans="1:11" x14ac:dyDescent="0.3">
      <c r="A39">
        <v>1037</v>
      </c>
      <c r="B39" t="s">
        <v>82</v>
      </c>
      <c r="C39" t="s">
        <v>28</v>
      </c>
      <c r="D39" t="s">
        <v>41</v>
      </c>
      <c r="E39">
        <v>2</v>
      </c>
      <c r="G39">
        <v>1.1000000000000001</v>
      </c>
      <c r="H39">
        <v>0</v>
      </c>
      <c r="I39" t="s">
        <v>17</v>
      </c>
      <c r="J39" t="s">
        <v>22</v>
      </c>
      <c r="K39">
        <v>907.77</v>
      </c>
    </row>
    <row r="40" spans="1:11" x14ac:dyDescent="0.3">
      <c r="A40">
        <v>1038</v>
      </c>
      <c r="B40" t="s">
        <v>83</v>
      </c>
      <c r="C40" t="s">
        <v>32</v>
      </c>
      <c r="D40" t="s">
        <v>33</v>
      </c>
      <c r="E40">
        <v>3</v>
      </c>
      <c r="F40">
        <v>1692.38</v>
      </c>
      <c r="H40">
        <v>0</v>
      </c>
      <c r="I40" t="s">
        <v>26</v>
      </c>
      <c r="J40" t="s">
        <v>15</v>
      </c>
      <c r="K40">
        <v>1704.49</v>
      </c>
    </row>
    <row r="41" spans="1:11" x14ac:dyDescent="0.3">
      <c r="A41">
        <v>1039</v>
      </c>
      <c r="B41" t="s">
        <v>84</v>
      </c>
      <c r="C41" t="s">
        <v>24</v>
      </c>
      <c r="D41" t="s">
        <v>85</v>
      </c>
      <c r="F41">
        <v>1372.16</v>
      </c>
      <c r="G41">
        <v>0.56000000000000005</v>
      </c>
      <c r="H41">
        <v>0</v>
      </c>
      <c r="I41" t="s">
        <v>51</v>
      </c>
      <c r="J41" t="s">
        <v>15</v>
      </c>
      <c r="K41">
        <v>1626.51</v>
      </c>
    </row>
    <row r="42" spans="1:11" x14ac:dyDescent="0.3">
      <c r="A42">
        <v>1040</v>
      </c>
      <c r="B42" t="s">
        <v>86</v>
      </c>
      <c r="C42" t="s">
        <v>19</v>
      </c>
      <c r="D42" t="s">
        <v>87</v>
      </c>
      <c r="H42">
        <v>0</v>
      </c>
      <c r="I42" t="s">
        <v>17</v>
      </c>
      <c r="J42" t="s">
        <v>15</v>
      </c>
      <c r="K42">
        <v>693.6</v>
      </c>
    </row>
    <row r="43" spans="1:11" x14ac:dyDescent="0.3">
      <c r="A43">
        <v>1041</v>
      </c>
      <c r="B43" t="s">
        <v>88</v>
      </c>
      <c r="C43" t="s">
        <v>19</v>
      </c>
      <c r="D43" t="s">
        <v>20</v>
      </c>
      <c r="H43">
        <v>0</v>
      </c>
      <c r="I43" t="s">
        <v>17</v>
      </c>
      <c r="J43" t="s">
        <v>15</v>
      </c>
      <c r="K43">
        <v>-983.06</v>
      </c>
    </row>
    <row r="44" spans="1:11" x14ac:dyDescent="0.3">
      <c r="A44">
        <v>1042</v>
      </c>
      <c r="B44" t="s">
        <v>89</v>
      </c>
      <c r="C44" t="s">
        <v>37</v>
      </c>
      <c r="D44" t="s">
        <v>90</v>
      </c>
      <c r="H44">
        <v>0</v>
      </c>
      <c r="I44" t="s">
        <v>45</v>
      </c>
      <c r="K44">
        <v>283.39</v>
      </c>
    </row>
    <row r="45" spans="1:11" x14ac:dyDescent="0.3">
      <c r="A45">
        <v>1043</v>
      </c>
      <c r="B45" t="s">
        <v>91</v>
      </c>
      <c r="C45" t="s">
        <v>32</v>
      </c>
      <c r="D45" t="s">
        <v>81</v>
      </c>
      <c r="F45">
        <v>4575.93</v>
      </c>
      <c r="G45">
        <v>0.56000000000000005</v>
      </c>
      <c r="H45">
        <v>0</v>
      </c>
      <c r="I45" t="s">
        <v>17</v>
      </c>
      <c r="K45">
        <v>442.14</v>
      </c>
    </row>
    <row r="46" spans="1:11" x14ac:dyDescent="0.3">
      <c r="A46">
        <v>1044</v>
      </c>
      <c r="B46" t="s">
        <v>92</v>
      </c>
      <c r="C46" t="s">
        <v>32</v>
      </c>
      <c r="D46" t="s">
        <v>71</v>
      </c>
      <c r="H46">
        <v>0</v>
      </c>
      <c r="I46" t="s">
        <v>26</v>
      </c>
      <c r="J46" t="s">
        <v>22</v>
      </c>
      <c r="K46">
        <v>-80.23</v>
      </c>
    </row>
    <row r="47" spans="1:11" x14ac:dyDescent="0.3">
      <c r="A47">
        <v>1045</v>
      </c>
      <c r="B47" t="s">
        <v>93</v>
      </c>
      <c r="C47" t="s">
        <v>28</v>
      </c>
      <c r="D47" t="s">
        <v>41</v>
      </c>
      <c r="F47">
        <v>3477.16</v>
      </c>
      <c r="H47">
        <v>0</v>
      </c>
      <c r="I47" t="s">
        <v>51</v>
      </c>
      <c r="J47" t="s">
        <v>22</v>
      </c>
      <c r="K47">
        <v>1323.75</v>
      </c>
    </row>
    <row r="48" spans="1:11" x14ac:dyDescent="0.3">
      <c r="A48">
        <v>1046</v>
      </c>
      <c r="B48" t="s">
        <v>94</v>
      </c>
      <c r="C48" t="s">
        <v>12</v>
      </c>
      <c r="D48" t="s">
        <v>13</v>
      </c>
      <c r="E48">
        <v>-1</v>
      </c>
      <c r="F48">
        <v>2441.92</v>
      </c>
      <c r="G48">
        <v>0.92</v>
      </c>
      <c r="H48">
        <v>-195.35</v>
      </c>
      <c r="I48" t="s">
        <v>14</v>
      </c>
      <c r="K48">
        <v>1004.91</v>
      </c>
    </row>
    <row r="49" spans="1:11" x14ac:dyDescent="0.3">
      <c r="A49">
        <v>1047</v>
      </c>
      <c r="B49" t="s">
        <v>95</v>
      </c>
      <c r="C49" t="s">
        <v>12</v>
      </c>
      <c r="D49" t="s">
        <v>48</v>
      </c>
      <c r="E49">
        <v>3</v>
      </c>
      <c r="H49">
        <v>0</v>
      </c>
      <c r="I49" t="s">
        <v>51</v>
      </c>
      <c r="J49" t="s">
        <v>15</v>
      </c>
      <c r="K49">
        <v>-395.76</v>
      </c>
    </row>
    <row r="50" spans="1:11" x14ac:dyDescent="0.3">
      <c r="A50">
        <v>1048</v>
      </c>
      <c r="B50" t="s">
        <v>96</v>
      </c>
      <c r="C50" t="s">
        <v>12</v>
      </c>
      <c r="D50" t="s">
        <v>48</v>
      </c>
      <c r="E50">
        <v>5</v>
      </c>
      <c r="G50">
        <v>0.41</v>
      </c>
      <c r="H50">
        <v>0</v>
      </c>
      <c r="I50" t="s">
        <v>14</v>
      </c>
      <c r="K50">
        <v>2409.2600000000002</v>
      </c>
    </row>
    <row r="51" spans="1:11" x14ac:dyDescent="0.3">
      <c r="A51">
        <v>1049</v>
      </c>
      <c r="B51" t="s">
        <v>97</v>
      </c>
      <c r="C51" t="s">
        <v>32</v>
      </c>
      <c r="D51" t="s">
        <v>81</v>
      </c>
      <c r="H51">
        <v>0</v>
      </c>
      <c r="I51" t="s">
        <v>21</v>
      </c>
      <c r="J51" t="s">
        <v>15</v>
      </c>
      <c r="K51">
        <v>19.87</v>
      </c>
    </row>
    <row r="52" spans="1:11" x14ac:dyDescent="0.3">
      <c r="A52">
        <v>1050</v>
      </c>
      <c r="B52" t="s">
        <v>98</v>
      </c>
      <c r="C52" t="s">
        <v>12</v>
      </c>
      <c r="D52" t="s">
        <v>13</v>
      </c>
      <c r="E52">
        <v>-1</v>
      </c>
      <c r="F52">
        <v>1083.1600000000001</v>
      </c>
      <c r="H52">
        <v>0</v>
      </c>
      <c r="I52" t="s">
        <v>45</v>
      </c>
      <c r="J52" t="s">
        <v>15</v>
      </c>
      <c r="K52">
        <v>2904.29</v>
      </c>
    </row>
    <row r="53" spans="1:11" x14ac:dyDescent="0.3">
      <c r="A53">
        <v>1051</v>
      </c>
      <c r="B53" t="s">
        <v>99</v>
      </c>
      <c r="C53" t="s">
        <v>12</v>
      </c>
      <c r="D53" t="s">
        <v>35</v>
      </c>
      <c r="G53">
        <v>0.56999999999999995</v>
      </c>
      <c r="H53">
        <v>0</v>
      </c>
      <c r="I53" t="s">
        <v>14</v>
      </c>
      <c r="J53" t="s">
        <v>15</v>
      </c>
      <c r="K53">
        <v>2857.9</v>
      </c>
    </row>
    <row r="54" spans="1:11" x14ac:dyDescent="0.3">
      <c r="A54">
        <v>1052</v>
      </c>
      <c r="B54" t="s">
        <v>100</v>
      </c>
      <c r="C54" t="s">
        <v>12</v>
      </c>
      <c r="D54" t="s">
        <v>101</v>
      </c>
      <c r="F54">
        <v>3252.49</v>
      </c>
      <c r="G54">
        <v>0.56000000000000005</v>
      </c>
      <c r="H54">
        <v>0</v>
      </c>
      <c r="I54" t="s">
        <v>39</v>
      </c>
      <c r="K54">
        <v>-11.15</v>
      </c>
    </row>
    <row r="55" spans="1:11" x14ac:dyDescent="0.3">
      <c r="A55">
        <v>1053</v>
      </c>
      <c r="B55" t="s">
        <v>102</v>
      </c>
      <c r="C55" t="s">
        <v>37</v>
      </c>
      <c r="D55" t="s">
        <v>58</v>
      </c>
      <c r="F55">
        <v>714.23</v>
      </c>
      <c r="G55">
        <v>1.29</v>
      </c>
      <c r="H55">
        <v>0</v>
      </c>
      <c r="I55" t="s">
        <v>14</v>
      </c>
      <c r="K55">
        <v>1057.24</v>
      </c>
    </row>
    <row r="56" spans="1:11" x14ac:dyDescent="0.3">
      <c r="A56">
        <v>1054</v>
      </c>
      <c r="B56" t="s">
        <v>103</v>
      </c>
      <c r="C56" t="s">
        <v>32</v>
      </c>
      <c r="D56" t="s">
        <v>71</v>
      </c>
      <c r="H56">
        <v>0</v>
      </c>
      <c r="I56" t="s">
        <v>45</v>
      </c>
      <c r="K56">
        <v>1002.96</v>
      </c>
    </row>
    <row r="57" spans="1:11" x14ac:dyDescent="0.3">
      <c r="A57">
        <v>1055</v>
      </c>
      <c r="B57" t="s">
        <v>104</v>
      </c>
      <c r="C57" t="s">
        <v>12</v>
      </c>
      <c r="D57" t="s">
        <v>35</v>
      </c>
      <c r="E57">
        <v>0</v>
      </c>
      <c r="H57">
        <v>0</v>
      </c>
      <c r="I57" t="s">
        <v>45</v>
      </c>
      <c r="J57" t="s">
        <v>22</v>
      </c>
      <c r="K57">
        <v>1374.9</v>
      </c>
    </row>
    <row r="58" spans="1:11" x14ac:dyDescent="0.3">
      <c r="A58">
        <v>1056</v>
      </c>
      <c r="B58" t="s">
        <v>105</v>
      </c>
      <c r="C58" t="s">
        <v>28</v>
      </c>
      <c r="D58" t="s">
        <v>41</v>
      </c>
      <c r="E58">
        <v>6</v>
      </c>
      <c r="H58">
        <v>0</v>
      </c>
      <c r="I58" t="s">
        <v>21</v>
      </c>
      <c r="J58" t="s">
        <v>15</v>
      </c>
      <c r="K58">
        <v>-343.36</v>
      </c>
    </row>
    <row r="59" spans="1:11" x14ac:dyDescent="0.3">
      <c r="A59">
        <v>1057</v>
      </c>
      <c r="B59" t="s">
        <v>106</v>
      </c>
      <c r="C59" t="s">
        <v>19</v>
      </c>
      <c r="D59" t="s">
        <v>20</v>
      </c>
      <c r="E59">
        <v>4</v>
      </c>
      <c r="G59">
        <v>0.04</v>
      </c>
      <c r="H59">
        <v>0</v>
      </c>
      <c r="I59" t="s">
        <v>45</v>
      </c>
      <c r="K59">
        <v>1725.76</v>
      </c>
    </row>
    <row r="60" spans="1:11" x14ac:dyDescent="0.3">
      <c r="A60">
        <v>1058</v>
      </c>
      <c r="B60" t="s">
        <v>107</v>
      </c>
      <c r="C60" t="s">
        <v>32</v>
      </c>
      <c r="D60" t="s">
        <v>43</v>
      </c>
      <c r="F60">
        <v>3982.53</v>
      </c>
      <c r="G60">
        <v>1.08</v>
      </c>
      <c r="H60">
        <v>0</v>
      </c>
      <c r="I60" t="s">
        <v>45</v>
      </c>
      <c r="J60" t="s">
        <v>15</v>
      </c>
      <c r="K60">
        <v>1912.49</v>
      </c>
    </row>
    <row r="61" spans="1:11" x14ac:dyDescent="0.3">
      <c r="A61">
        <v>1059</v>
      </c>
      <c r="B61" t="s">
        <v>108</v>
      </c>
      <c r="C61" t="s">
        <v>12</v>
      </c>
      <c r="D61" t="s">
        <v>35</v>
      </c>
      <c r="E61">
        <v>0</v>
      </c>
      <c r="F61">
        <v>2927.57</v>
      </c>
      <c r="G61">
        <v>0.19</v>
      </c>
      <c r="H61">
        <v>0</v>
      </c>
      <c r="I61" t="s">
        <v>14</v>
      </c>
      <c r="K61">
        <v>2218.42</v>
      </c>
    </row>
    <row r="62" spans="1:11" x14ac:dyDescent="0.3">
      <c r="A62">
        <v>1060</v>
      </c>
      <c r="B62" t="s">
        <v>109</v>
      </c>
      <c r="C62" t="s">
        <v>12</v>
      </c>
      <c r="D62" t="s">
        <v>101</v>
      </c>
      <c r="F62">
        <v>2813.51</v>
      </c>
      <c r="H62">
        <v>0</v>
      </c>
      <c r="I62" t="s">
        <v>45</v>
      </c>
      <c r="K62">
        <v>94.96</v>
      </c>
    </row>
    <row r="63" spans="1:11" x14ac:dyDescent="0.3">
      <c r="A63">
        <v>1061</v>
      </c>
      <c r="B63" t="s">
        <v>110</v>
      </c>
      <c r="C63" t="s">
        <v>28</v>
      </c>
      <c r="D63" t="s">
        <v>29</v>
      </c>
      <c r="F63">
        <v>2291.15</v>
      </c>
      <c r="G63">
        <v>0.33</v>
      </c>
      <c r="H63">
        <v>0</v>
      </c>
      <c r="I63" t="s">
        <v>21</v>
      </c>
      <c r="J63" t="s">
        <v>22</v>
      </c>
      <c r="K63">
        <v>2536.3000000000002</v>
      </c>
    </row>
    <row r="64" spans="1:11" x14ac:dyDescent="0.3">
      <c r="A64">
        <v>1062</v>
      </c>
      <c r="B64" t="s">
        <v>111</v>
      </c>
      <c r="C64" t="s">
        <v>12</v>
      </c>
      <c r="D64" t="s">
        <v>101</v>
      </c>
      <c r="E64">
        <v>-1</v>
      </c>
      <c r="H64">
        <v>0</v>
      </c>
      <c r="I64" t="s">
        <v>45</v>
      </c>
      <c r="J64" t="s">
        <v>15</v>
      </c>
      <c r="K64">
        <v>328.72</v>
      </c>
    </row>
    <row r="65" spans="1:11" x14ac:dyDescent="0.3">
      <c r="A65">
        <v>1063</v>
      </c>
      <c r="B65" t="s">
        <v>112</v>
      </c>
      <c r="C65" t="s">
        <v>32</v>
      </c>
      <c r="D65" t="s">
        <v>81</v>
      </c>
      <c r="E65">
        <v>1</v>
      </c>
      <c r="H65">
        <v>0</v>
      </c>
      <c r="I65" t="s">
        <v>26</v>
      </c>
      <c r="J65" t="s">
        <v>15</v>
      </c>
      <c r="K65">
        <v>2147.75</v>
      </c>
    </row>
    <row r="66" spans="1:11" x14ac:dyDescent="0.3">
      <c r="A66">
        <v>1064</v>
      </c>
      <c r="B66" t="s">
        <v>113</v>
      </c>
      <c r="C66" t="s">
        <v>19</v>
      </c>
      <c r="D66" t="s">
        <v>87</v>
      </c>
      <c r="G66">
        <v>1.3</v>
      </c>
      <c r="H66">
        <v>0</v>
      </c>
      <c r="I66" t="s">
        <v>26</v>
      </c>
      <c r="K66">
        <v>-901.74</v>
      </c>
    </row>
    <row r="67" spans="1:11" x14ac:dyDescent="0.3">
      <c r="A67">
        <v>1065</v>
      </c>
      <c r="B67" t="s">
        <v>114</v>
      </c>
      <c r="C67" t="s">
        <v>12</v>
      </c>
      <c r="D67" t="s">
        <v>35</v>
      </c>
      <c r="E67">
        <v>5</v>
      </c>
      <c r="H67">
        <v>0</v>
      </c>
      <c r="I67" t="s">
        <v>26</v>
      </c>
      <c r="K67">
        <v>2316.9699999999998</v>
      </c>
    </row>
    <row r="68" spans="1:11" x14ac:dyDescent="0.3">
      <c r="A68">
        <v>1066</v>
      </c>
      <c r="B68" t="s">
        <v>115</v>
      </c>
      <c r="C68" t="s">
        <v>24</v>
      </c>
      <c r="D68" t="s">
        <v>65</v>
      </c>
      <c r="E68">
        <v>-2</v>
      </c>
      <c r="F68">
        <v>3479.44</v>
      </c>
      <c r="H68">
        <v>0</v>
      </c>
      <c r="I68" t="s">
        <v>14</v>
      </c>
      <c r="K68">
        <v>-252.78</v>
      </c>
    </row>
    <row r="69" spans="1:11" x14ac:dyDescent="0.3">
      <c r="A69">
        <v>1067</v>
      </c>
      <c r="B69" t="s">
        <v>116</v>
      </c>
      <c r="C69" t="s">
        <v>37</v>
      </c>
      <c r="D69" t="s">
        <v>38</v>
      </c>
      <c r="F69">
        <v>3945.25</v>
      </c>
      <c r="H69">
        <v>0</v>
      </c>
      <c r="I69" t="s">
        <v>26</v>
      </c>
      <c r="J69" t="s">
        <v>22</v>
      </c>
      <c r="K69">
        <v>305.55</v>
      </c>
    </row>
    <row r="70" spans="1:11" x14ac:dyDescent="0.3">
      <c r="A70">
        <v>1068</v>
      </c>
      <c r="B70" t="s">
        <v>117</v>
      </c>
      <c r="C70" t="s">
        <v>37</v>
      </c>
      <c r="D70" t="s">
        <v>62</v>
      </c>
      <c r="E70">
        <v>4</v>
      </c>
      <c r="F70">
        <v>2765.26</v>
      </c>
      <c r="H70">
        <v>0</v>
      </c>
      <c r="I70" t="s">
        <v>17</v>
      </c>
      <c r="J70" t="s">
        <v>15</v>
      </c>
      <c r="K70">
        <v>1719.9</v>
      </c>
    </row>
    <row r="71" spans="1:11" x14ac:dyDescent="0.3">
      <c r="A71">
        <v>1069</v>
      </c>
      <c r="B71" t="s">
        <v>118</v>
      </c>
      <c r="C71" t="s">
        <v>28</v>
      </c>
      <c r="D71" t="s">
        <v>119</v>
      </c>
      <c r="E71">
        <v>2</v>
      </c>
      <c r="F71">
        <v>2102.02</v>
      </c>
      <c r="G71">
        <v>1.1299999999999999</v>
      </c>
      <c r="H71">
        <v>-546.53</v>
      </c>
      <c r="I71" t="s">
        <v>14</v>
      </c>
      <c r="J71" t="s">
        <v>22</v>
      </c>
      <c r="K71">
        <v>-992.61</v>
      </c>
    </row>
    <row r="72" spans="1:11" x14ac:dyDescent="0.3">
      <c r="A72">
        <v>1070</v>
      </c>
      <c r="B72" t="s">
        <v>120</v>
      </c>
      <c r="C72" t="s">
        <v>19</v>
      </c>
      <c r="D72" t="s">
        <v>121</v>
      </c>
      <c r="E72">
        <v>5</v>
      </c>
      <c r="H72">
        <v>0</v>
      </c>
      <c r="I72" t="s">
        <v>51</v>
      </c>
      <c r="J72" t="s">
        <v>22</v>
      </c>
      <c r="K72">
        <v>1383.48</v>
      </c>
    </row>
    <row r="73" spans="1:11" x14ac:dyDescent="0.3">
      <c r="A73">
        <v>1071</v>
      </c>
      <c r="B73" t="s">
        <v>122</v>
      </c>
      <c r="C73" t="s">
        <v>28</v>
      </c>
      <c r="D73" t="s">
        <v>41</v>
      </c>
      <c r="F73">
        <v>1000.76</v>
      </c>
      <c r="H73">
        <v>0</v>
      </c>
      <c r="I73" t="s">
        <v>14</v>
      </c>
      <c r="J73" t="s">
        <v>22</v>
      </c>
      <c r="K73">
        <v>2131.4299999999998</v>
      </c>
    </row>
    <row r="74" spans="1:11" x14ac:dyDescent="0.3">
      <c r="A74">
        <v>1072</v>
      </c>
      <c r="B74" t="s">
        <v>123</v>
      </c>
      <c r="C74" t="s">
        <v>37</v>
      </c>
      <c r="D74" t="s">
        <v>58</v>
      </c>
      <c r="H74">
        <v>0</v>
      </c>
      <c r="I74" t="s">
        <v>39</v>
      </c>
      <c r="J74" t="s">
        <v>15</v>
      </c>
      <c r="K74">
        <v>2878.09</v>
      </c>
    </row>
    <row r="75" spans="1:11" x14ac:dyDescent="0.3">
      <c r="A75">
        <v>1073</v>
      </c>
      <c r="B75" t="s">
        <v>124</v>
      </c>
      <c r="C75" t="s">
        <v>12</v>
      </c>
      <c r="D75" t="s">
        <v>48</v>
      </c>
      <c r="E75">
        <v>-2</v>
      </c>
      <c r="G75">
        <v>0.18</v>
      </c>
      <c r="H75">
        <v>0</v>
      </c>
      <c r="I75" t="s">
        <v>45</v>
      </c>
      <c r="K75">
        <v>368.69</v>
      </c>
    </row>
    <row r="76" spans="1:11" x14ac:dyDescent="0.3">
      <c r="A76">
        <v>1074</v>
      </c>
      <c r="B76" t="s">
        <v>125</v>
      </c>
      <c r="C76" t="s">
        <v>37</v>
      </c>
      <c r="D76" t="s">
        <v>38</v>
      </c>
      <c r="E76">
        <v>-2</v>
      </c>
      <c r="G76">
        <v>1.06</v>
      </c>
      <c r="H76">
        <v>0</v>
      </c>
      <c r="I76" t="s">
        <v>55</v>
      </c>
      <c r="K76">
        <v>192.91</v>
      </c>
    </row>
    <row r="77" spans="1:11" x14ac:dyDescent="0.3">
      <c r="A77">
        <v>1075</v>
      </c>
      <c r="B77" t="s">
        <v>126</v>
      </c>
      <c r="C77" t="s">
        <v>32</v>
      </c>
      <c r="D77" t="s">
        <v>33</v>
      </c>
      <c r="F77">
        <v>795.85</v>
      </c>
      <c r="H77">
        <v>0</v>
      </c>
      <c r="I77" t="s">
        <v>45</v>
      </c>
      <c r="J77" t="s">
        <v>22</v>
      </c>
      <c r="K77">
        <v>2418.8000000000002</v>
      </c>
    </row>
    <row r="78" spans="1:11" x14ac:dyDescent="0.3">
      <c r="A78">
        <v>1076</v>
      </c>
      <c r="B78" t="s">
        <v>127</v>
      </c>
      <c r="C78" t="s">
        <v>32</v>
      </c>
      <c r="D78" t="s">
        <v>43</v>
      </c>
      <c r="E78">
        <v>2</v>
      </c>
      <c r="H78">
        <v>0</v>
      </c>
      <c r="I78" t="s">
        <v>39</v>
      </c>
      <c r="K78">
        <v>1408.61</v>
      </c>
    </row>
    <row r="79" spans="1:11" x14ac:dyDescent="0.3">
      <c r="A79">
        <v>1077</v>
      </c>
      <c r="B79" t="s">
        <v>128</v>
      </c>
      <c r="C79" t="s">
        <v>32</v>
      </c>
      <c r="D79" t="s">
        <v>43</v>
      </c>
      <c r="E79">
        <v>2</v>
      </c>
      <c r="H79">
        <v>0</v>
      </c>
      <c r="I79" t="s">
        <v>55</v>
      </c>
      <c r="J79" t="s">
        <v>22</v>
      </c>
      <c r="K79">
        <v>902.52</v>
      </c>
    </row>
    <row r="80" spans="1:11" x14ac:dyDescent="0.3">
      <c r="A80">
        <v>1078</v>
      </c>
      <c r="B80" t="s">
        <v>129</v>
      </c>
      <c r="C80" t="s">
        <v>19</v>
      </c>
      <c r="D80" t="s">
        <v>121</v>
      </c>
      <c r="F80">
        <v>4059.56</v>
      </c>
      <c r="H80">
        <v>0</v>
      </c>
      <c r="I80" t="s">
        <v>45</v>
      </c>
      <c r="J80" t="s">
        <v>15</v>
      </c>
      <c r="K80">
        <v>-819.94</v>
      </c>
    </row>
    <row r="81" spans="1:11" x14ac:dyDescent="0.3">
      <c r="A81">
        <v>1079</v>
      </c>
      <c r="B81" t="s">
        <v>130</v>
      </c>
      <c r="C81" t="s">
        <v>32</v>
      </c>
      <c r="D81" t="s">
        <v>71</v>
      </c>
      <c r="H81">
        <v>0</v>
      </c>
      <c r="I81" t="s">
        <v>51</v>
      </c>
      <c r="J81" t="s">
        <v>22</v>
      </c>
      <c r="K81">
        <v>-22.55</v>
      </c>
    </row>
    <row r="82" spans="1:11" x14ac:dyDescent="0.3">
      <c r="A82">
        <v>1080</v>
      </c>
      <c r="B82" t="s">
        <v>131</v>
      </c>
      <c r="C82" t="s">
        <v>32</v>
      </c>
      <c r="D82" t="s">
        <v>33</v>
      </c>
      <c r="F82">
        <v>3872.22</v>
      </c>
      <c r="G82">
        <v>1.1499999999999999</v>
      </c>
      <c r="H82">
        <v>0</v>
      </c>
      <c r="I82" t="s">
        <v>21</v>
      </c>
      <c r="J82" t="s">
        <v>15</v>
      </c>
      <c r="K82">
        <v>-302.97000000000003</v>
      </c>
    </row>
    <row r="83" spans="1:11" x14ac:dyDescent="0.3">
      <c r="A83">
        <v>1081</v>
      </c>
      <c r="B83" t="s">
        <v>132</v>
      </c>
      <c r="C83" t="s">
        <v>12</v>
      </c>
      <c r="D83" t="s">
        <v>35</v>
      </c>
      <c r="E83">
        <v>6</v>
      </c>
      <c r="F83">
        <v>4798.0600000000004</v>
      </c>
      <c r="G83">
        <v>0.81</v>
      </c>
      <c r="H83">
        <v>5469.79</v>
      </c>
      <c r="I83" t="s">
        <v>51</v>
      </c>
      <c r="J83" t="s">
        <v>22</v>
      </c>
      <c r="K83">
        <v>-361.78</v>
      </c>
    </row>
    <row r="84" spans="1:11" x14ac:dyDescent="0.3">
      <c r="A84">
        <v>1082</v>
      </c>
      <c r="B84" t="s">
        <v>133</v>
      </c>
      <c r="C84" t="s">
        <v>37</v>
      </c>
      <c r="D84" t="s">
        <v>90</v>
      </c>
      <c r="E84">
        <v>0</v>
      </c>
      <c r="H84">
        <v>0</v>
      </c>
      <c r="I84" t="s">
        <v>39</v>
      </c>
      <c r="J84" t="s">
        <v>22</v>
      </c>
      <c r="K84">
        <v>712.91</v>
      </c>
    </row>
    <row r="85" spans="1:11" x14ac:dyDescent="0.3">
      <c r="A85">
        <v>1083</v>
      </c>
      <c r="B85" t="s">
        <v>134</v>
      </c>
      <c r="C85" t="s">
        <v>19</v>
      </c>
      <c r="D85" t="s">
        <v>79</v>
      </c>
      <c r="E85">
        <v>1</v>
      </c>
      <c r="G85">
        <v>1.28</v>
      </c>
      <c r="H85">
        <v>0</v>
      </c>
      <c r="I85" t="s">
        <v>45</v>
      </c>
      <c r="J85" t="s">
        <v>22</v>
      </c>
      <c r="K85">
        <v>-612.62</v>
      </c>
    </row>
    <row r="86" spans="1:11" x14ac:dyDescent="0.3">
      <c r="A86">
        <v>1084</v>
      </c>
      <c r="B86" t="s">
        <v>135</v>
      </c>
      <c r="C86" t="s">
        <v>24</v>
      </c>
      <c r="D86" t="s">
        <v>25</v>
      </c>
      <c r="G86">
        <v>0.53</v>
      </c>
      <c r="H86">
        <v>0</v>
      </c>
      <c r="I86" t="s">
        <v>45</v>
      </c>
      <c r="J86" t="s">
        <v>22</v>
      </c>
      <c r="K86">
        <v>2458.0700000000002</v>
      </c>
    </row>
    <row r="87" spans="1:11" x14ac:dyDescent="0.3">
      <c r="A87">
        <v>1085</v>
      </c>
      <c r="B87" t="s">
        <v>136</v>
      </c>
      <c r="C87" t="s">
        <v>24</v>
      </c>
      <c r="D87" t="s">
        <v>65</v>
      </c>
      <c r="G87">
        <v>0.02</v>
      </c>
      <c r="H87">
        <v>0</v>
      </c>
      <c r="I87" t="s">
        <v>45</v>
      </c>
      <c r="J87" t="s">
        <v>22</v>
      </c>
      <c r="K87">
        <v>264.73</v>
      </c>
    </row>
    <row r="88" spans="1:11" x14ac:dyDescent="0.3">
      <c r="A88">
        <v>1086</v>
      </c>
      <c r="B88" t="s">
        <v>137</v>
      </c>
      <c r="C88" t="s">
        <v>28</v>
      </c>
      <c r="D88" t="s">
        <v>41</v>
      </c>
      <c r="F88">
        <v>948.33</v>
      </c>
      <c r="G88">
        <v>0.46</v>
      </c>
      <c r="H88">
        <v>0</v>
      </c>
      <c r="I88" t="s">
        <v>39</v>
      </c>
      <c r="J88" t="s">
        <v>15</v>
      </c>
      <c r="K88">
        <v>-865.22</v>
      </c>
    </row>
    <row r="89" spans="1:11" x14ac:dyDescent="0.3">
      <c r="A89">
        <v>1087</v>
      </c>
      <c r="B89" t="s">
        <v>138</v>
      </c>
      <c r="C89" t="s">
        <v>12</v>
      </c>
      <c r="D89" t="s">
        <v>101</v>
      </c>
      <c r="F89">
        <v>1976.75</v>
      </c>
      <c r="G89">
        <v>0.81</v>
      </c>
      <c r="H89">
        <v>0</v>
      </c>
      <c r="I89" t="s">
        <v>21</v>
      </c>
      <c r="J89" t="s">
        <v>15</v>
      </c>
      <c r="K89">
        <v>2790.95</v>
      </c>
    </row>
    <row r="90" spans="1:11" x14ac:dyDescent="0.3">
      <c r="A90">
        <v>1088</v>
      </c>
      <c r="B90" t="s">
        <v>139</v>
      </c>
      <c r="C90" t="s">
        <v>28</v>
      </c>
      <c r="D90" t="s">
        <v>140</v>
      </c>
      <c r="F90">
        <v>3891.14</v>
      </c>
      <c r="H90">
        <v>0</v>
      </c>
      <c r="I90" t="s">
        <v>45</v>
      </c>
      <c r="J90" t="s">
        <v>15</v>
      </c>
      <c r="K90">
        <v>1374.27</v>
      </c>
    </row>
    <row r="91" spans="1:11" x14ac:dyDescent="0.3">
      <c r="A91">
        <v>1089</v>
      </c>
      <c r="B91" t="s">
        <v>141</v>
      </c>
      <c r="C91" t="s">
        <v>24</v>
      </c>
      <c r="D91" t="s">
        <v>65</v>
      </c>
      <c r="F91">
        <v>1412.17</v>
      </c>
      <c r="G91">
        <v>0.88</v>
      </c>
      <c r="H91">
        <v>0</v>
      </c>
      <c r="I91" t="s">
        <v>21</v>
      </c>
      <c r="K91">
        <v>-355.26</v>
      </c>
    </row>
    <row r="92" spans="1:11" x14ac:dyDescent="0.3">
      <c r="A92">
        <v>1090</v>
      </c>
      <c r="B92" t="s">
        <v>142</v>
      </c>
      <c r="C92" t="s">
        <v>24</v>
      </c>
      <c r="D92" t="s">
        <v>65</v>
      </c>
      <c r="E92">
        <v>5</v>
      </c>
      <c r="F92">
        <v>2477.8200000000002</v>
      </c>
      <c r="H92">
        <v>0</v>
      </c>
      <c r="I92" t="s">
        <v>17</v>
      </c>
      <c r="J92" t="s">
        <v>15</v>
      </c>
      <c r="K92">
        <v>-888.86</v>
      </c>
    </row>
    <row r="93" spans="1:11" x14ac:dyDescent="0.3">
      <c r="A93">
        <v>1091</v>
      </c>
      <c r="B93" t="s">
        <v>143</v>
      </c>
      <c r="C93" t="s">
        <v>28</v>
      </c>
      <c r="D93" t="s">
        <v>29</v>
      </c>
      <c r="E93">
        <v>1</v>
      </c>
      <c r="H93">
        <v>0</v>
      </c>
      <c r="I93" t="s">
        <v>14</v>
      </c>
      <c r="K93">
        <v>156.43</v>
      </c>
    </row>
    <row r="94" spans="1:11" x14ac:dyDescent="0.3">
      <c r="A94">
        <v>1092</v>
      </c>
      <c r="B94" t="s">
        <v>144</v>
      </c>
      <c r="C94" t="s">
        <v>37</v>
      </c>
      <c r="D94" t="s">
        <v>90</v>
      </c>
      <c r="H94">
        <v>0</v>
      </c>
      <c r="I94" t="s">
        <v>45</v>
      </c>
      <c r="K94">
        <v>1122.6600000000001</v>
      </c>
    </row>
    <row r="95" spans="1:11" x14ac:dyDescent="0.3">
      <c r="A95">
        <v>1093</v>
      </c>
      <c r="B95" t="s">
        <v>145</v>
      </c>
      <c r="C95" t="s">
        <v>37</v>
      </c>
      <c r="D95" t="s">
        <v>90</v>
      </c>
      <c r="E95">
        <v>-2</v>
      </c>
      <c r="H95">
        <v>0</v>
      </c>
      <c r="I95" t="s">
        <v>26</v>
      </c>
      <c r="J95" t="s">
        <v>22</v>
      </c>
      <c r="K95">
        <v>2966.76</v>
      </c>
    </row>
    <row r="96" spans="1:11" x14ac:dyDescent="0.3">
      <c r="A96">
        <v>1094</v>
      </c>
      <c r="B96" t="s">
        <v>146</v>
      </c>
      <c r="C96" t="s">
        <v>19</v>
      </c>
      <c r="D96" t="s">
        <v>87</v>
      </c>
      <c r="E96">
        <v>-1</v>
      </c>
      <c r="F96">
        <v>4741.41</v>
      </c>
      <c r="H96">
        <v>0</v>
      </c>
      <c r="I96" t="s">
        <v>21</v>
      </c>
      <c r="J96" t="s">
        <v>15</v>
      </c>
      <c r="K96">
        <v>1901.7</v>
      </c>
    </row>
    <row r="97" spans="1:11" x14ac:dyDescent="0.3">
      <c r="A97">
        <v>1035</v>
      </c>
      <c r="B97" t="s">
        <v>147</v>
      </c>
      <c r="C97" t="s">
        <v>28</v>
      </c>
      <c r="D97" t="s">
        <v>29</v>
      </c>
      <c r="H97">
        <v>0</v>
      </c>
      <c r="I97" t="s">
        <v>21</v>
      </c>
      <c r="J97" t="s">
        <v>15</v>
      </c>
      <c r="K97">
        <v>1539.59</v>
      </c>
    </row>
    <row r="98" spans="1:11" x14ac:dyDescent="0.3">
      <c r="A98">
        <v>1033</v>
      </c>
      <c r="B98" t="s">
        <v>148</v>
      </c>
      <c r="C98" t="s">
        <v>28</v>
      </c>
      <c r="D98" t="s">
        <v>29</v>
      </c>
      <c r="F98">
        <v>421.92</v>
      </c>
      <c r="H98">
        <v>0</v>
      </c>
      <c r="I98" t="s">
        <v>55</v>
      </c>
      <c r="K98">
        <v>2969.19</v>
      </c>
    </row>
    <row r="99" spans="1:11" x14ac:dyDescent="0.3">
      <c r="A99">
        <v>1097</v>
      </c>
      <c r="B99" t="s">
        <v>149</v>
      </c>
      <c r="C99" t="s">
        <v>28</v>
      </c>
      <c r="D99" t="s">
        <v>41</v>
      </c>
      <c r="E99">
        <v>0</v>
      </c>
      <c r="H99">
        <v>0</v>
      </c>
      <c r="I99" t="s">
        <v>21</v>
      </c>
      <c r="K99">
        <v>1141.1500000000001</v>
      </c>
    </row>
    <row r="100" spans="1:11" x14ac:dyDescent="0.3">
      <c r="A100">
        <v>1098</v>
      </c>
      <c r="B100" t="s">
        <v>150</v>
      </c>
      <c r="C100" t="s">
        <v>28</v>
      </c>
      <c r="D100" t="s">
        <v>140</v>
      </c>
      <c r="E100">
        <v>0</v>
      </c>
      <c r="F100">
        <v>4752.04</v>
      </c>
      <c r="H100">
        <v>0</v>
      </c>
      <c r="I100" t="s">
        <v>17</v>
      </c>
      <c r="J100" t="s">
        <v>15</v>
      </c>
      <c r="K100">
        <v>129.37</v>
      </c>
    </row>
    <row r="101" spans="1:11" x14ac:dyDescent="0.3">
      <c r="A101">
        <v>1099</v>
      </c>
      <c r="B101" t="s">
        <v>151</v>
      </c>
      <c r="C101" t="s">
        <v>24</v>
      </c>
      <c r="D101" t="s">
        <v>25</v>
      </c>
      <c r="H101">
        <v>0</v>
      </c>
      <c r="I101" t="s">
        <v>45</v>
      </c>
      <c r="J101" t="s">
        <v>22</v>
      </c>
      <c r="K101">
        <v>300.02</v>
      </c>
    </row>
    <row r="102" spans="1:11" x14ac:dyDescent="0.3">
      <c r="A102">
        <v>1100</v>
      </c>
      <c r="B102" t="s">
        <v>152</v>
      </c>
      <c r="C102" t="s">
        <v>24</v>
      </c>
      <c r="D102" t="s">
        <v>85</v>
      </c>
      <c r="E102">
        <v>2</v>
      </c>
      <c r="F102">
        <v>2011.73</v>
      </c>
      <c r="H102">
        <v>0</v>
      </c>
      <c r="I102" t="s">
        <v>51</v>
      </c>
      <c r="J102" t="s">
        <v>15</v>
      </c>
      <c r="K102">
        <v>2493.5</v>
      </c>
    </row>
    <row r="103" spans="1:11" x14ac:dyDescent="0.3">
      <c r="A103">
        <v>1101</v>
      </c>
      <c r="B103" t="s">
        <v>153</v>
      </c>
      <c r="C103" t="s">
        <v>12</v>
      </c>
      <c r="D103" t="s">
        <v>35</v>
      </c>
      <c r="G103">
        <v>0.22</v>
      </c>
      <c r="H103">
        <v>0</v>
      </c>
      <c r="I103" t="s">
        <v>45</v>
      </c>
      <c r="J103" t="s">
        <v>15</v>
      </c>
      <c r="K103">
        <v>2962.73</v>
      </c>
    </row>
    <row r="104" spans="1:11" x14ac:dyDescent="0.3">
      <c r="A104">
        <v>1102</v>
      </c>
      <c r="B104" t="s">
        <v>154</v>
      </c>
      <c r="C104" t="s">
        <v>12</v>
      </c>
      <c r="D104" t="s">
        <v>35</v>
      </c>
      <c r="E104">
        <v>5</v>
      </c>
      <c r="H104">
        <v>0</v>
      </c>
      <c r="I104" t="s">
        <v>51</v>
      </c>
      <c r="K104">
        <v>2776.7</v>
      </c>
    </row>
    <row r="105" spans="1:11" x14ac:dyDescent="0.3">
      <c r="A105">
        <v>1103</v>
      </c>
      <c r="B105" t="s">
        <v>155</v>
      </c>
      <c r="C105" t="s">
        <v>37</v>
      </c>
      <c r="D105" t="s">
        <v>90</v>
      </c>
      <c r="E105">
        <v>5</v>
      </c>
      <c r="F105">
        <v>1521.46</v>
      </c>
      <c r="H105">
        <v>0</v>
      </c>
      <c r="I105" t="s">
        <v>26</v>
      </c>
      <c r="J105" t="s">
        <v>22</v>
      </c>
      <c r="K105">
        <v>1713.47</v>
      </c>
    </row>
    <row r="106" spans="1:11" x14ac:dyDescent="0.3">
      <c r="A106">
        <v>1104</v>
      </c>
      <c r="B106" t="s">
        <v>156</v>
      </c>
      <c r="C106" t="s">
        <v>37</v>
      </c>
      <c r="D106" t="s">
        <v>58</v>
      </c>
      <c r="E106">
        <v>3</v>
      </c>
      <c r="F106">
        <v>2752.71</v>
      </c>
      <c r="H106">
        <v>0</v>
      </c>
      <c r="I106" t="s">
        <v>17</v>
      </c>
      <c r="J106" t="s">
        <v>22</v>
      </c>
      <c r="K106">
        <v>1660.01</v>
      </c>
    </row>
    <row r="107" spans="1:11" x14ac:dyDescent="0.3">
      <c r="A107">
        <v>1105</v>
      </c>
      <c r="B107" t="s">
        <v>157</v>
      </c>
      <c r="C107" t="s">
        <v>37</v>
      </c>
      <c r="D107" t="s">
        <v>58</v>
      </c>
      <c r="E107">
        <v>-2</v>
      </c>
      <c r="H107">
        <v>0</v>
      </c>
      <c r="I107" t="s">
        <v>17</v>
      </c>
      <c r="J107" t="s">
        <v>22</v>
      </c>
      <c r="K107">
        <v>616.04</v>
      </c>
    </row>
    <row r="108" spans="1:11" x14ac:dyDescent="0.3">
      <c r="A108">
        <v>1106</v>
      </c>
      <c r="B108" t="s">
        <v>158</v>
      </c>
      <c r="C108" t="s">
        <v>12</v>
      </c>
      <c r="D108" t="s">
        <v>35</v>
      </c>
      <c r="E108">
        <v>3</v>
      </c>
      <c r="H108">
        <v>0</v>
      </c>
      <c r="I108" t="s">
        <v>45</v>
      </c>
      <c r="J108" t="s">
        <v>15</v>
      </c>
      <c r="K108">
        <v>53.28</v>
      </c>
    </row>
    <row r="109" spans="1:11" x14ac:dyDescent="0.3">
      <c r="A109">
        <v>1107</v>
      </c>
      <c r="B109" t="s">
        <v>159</v>
      </c>
      <c r="C109" t="s">
        <v>12</v>
      </c>
      <c r="D109" t="s">
        <v>48</v>
      </c>
      <c r="F109">
        <v>4948</v>
      </c>
      <c r="H109">
        <v>0</v>
      </c>
      <c r="I109" t="s">
        <v>14</v>
      </c>
      <c r="J109" t="s">
        <v>15</v>
      </c>
      <c r="K109">
        <v>1064.8599999999999</v>
      </c>
    </row>
    <row r="110" spans="1:11" x14ac:dyDescent="0.3">
      <c r="A110">
        <v>1036</v>
      </c>
      <c r="B110" t="s">
        <v>160</v>
      </c>
      <c r="C110" t="s">
        <v>12</v>
      </c>
      <c r="D110" t="s">
        <v>48</v>
      </c>
      <c r="E110">
        <v>1</v>
      </c>
      <c r="F110">
        <v>4601.4399999999996</v>
      </c>
      <c r="H110">
        <v>0</v>
      </c>
      <c r="I110" t="s">
        <v>21</v>
      </c>
      <c r="J110" t="s">
        <v>15</v>
      </c>
      <c r="K110">
        <v>2145.66</v>
      </c>
    </row>
    <row r="111" spans="1:11" x14ac:dyDescent="0.3">
      <c r="A111">
        <v>1109</v>
      </c>
      <c r="B111" t="s">
        <v>161</v>
      </c>
      <c r="C111" t="s">
        <v>12</v>
      </c>
      <c r="D111" t="s">
        <v>101</v>
      </c>
      <c r="H111">
        <v>0</v>
      </c>
      <c r="I111" t="s">
        <v>30</v>
      </c>
      <c r="J111" t="s">
        <v>15</v>
      </c>
      <c r="K111">
        <v>2133.58</v>
      </c>
    </row>
    <row r="112" spans="1:11" x14ac:dyDescent="0.3">
      <c r="A112">
        <v>1110</v>
      </c>
      <c r="B112" t="s">
        <v>162</v>
      </c>
      <c r="C112" t="s">
        <v>12</v>
      </c>
      <c r="D112" t="s">
        <v>13</v>
      </c>
      <c r="E112">
        <v>4</v>
      </c>
      <c r="H112">
        <v>0</v>
      </c>
      <c r="I112" t="s">
        <v>21</v>
      </c>
      <c r="J112" t="s">
        <v>15</v>
      </c>
      <c r="K112">
        <v>2155.6799999999998</v>
      </c>
    </row>
    <row r="113" spans="1:11" x14ac:dyDescent="0.3">
      <c r="A113">
        <v>1111</v>
      </c>
      <c r="B113" t="s">
        <v>163</v>
      </c>
      <c r="C113" t="s">
        <v>32</v>
      </c>
      <c r="D113" t="s">
        <v>71</v>
      </c>
      <c r="H113">
        <v>0</v>
      </c>
      <c r="I113" t="s">
        <v>17</v>
      </c>
      <c r="J113" t="s">
        <v>15</v>
      </c>
      <c r="K113">
        <v>748.93</v>
      </c>
    </row>
    <row r="114" spans="1:11" x14ac:dyDescent="0.3">
      <c r="A114">
        <v>1112</v>
      </c>
      <c r="B114" t="s">
        <v>164</v>
      </c>
      <c r="C114" t="s">
        <v>37</v>
      </c>
      <c r="D114" t="s">
        <v>38</v>
      </c>
      <c r="F114">
        <v>1027.56</v>
      </c>
      <c r="H114">
        <v>0</v>
      </c>
      <c r="I114" t="s">
        <v>21</v>
      </c>
      <c r="K114">
        <v>1160.17</v>
      </c>
    </row>
    <row r="115" spans="1:11" x14ac:dyDescent="0.3">
      <c r="A115">
        <v>1113</v>
      </c>
      <c r="B115" t="s">
        <v>165</v>
      </c>
      <c r="C115" t="s">
        <v>19</v>
      </c>
      <c r="D115" t="s">
        <v>20</v>
      </c>
      <c r="F115">
        <v>3864.5</v>
      </c>
      <c r="H115">
        <v>0</v>
      </c>
      <c r="I115" t="s">
        <v>17</v>
      </c>
      <c r="J115" t="s">
        <v>15</v>
      </c>
      <c r="K115">
        <v>-763.23</v>
      </c>
    </row>
    <row r="116" spans="1:11" x14ac:dyDescent="0.3">
      <c r="A116">
        <v>1114</v>
      </c>
      <c r="B116" t="s">
        <v>166</v>
      </c>
      <c r="C116" t="s">
        <v>37</v>
      </c>
      <c r="D116" t="s">
        <v>90</v>
      </c>
      <c r="E116">
        <v>6</v>
      </c>
      <c r="F116">
        <v>568.61</v>
      </c>
      <c r="G116">
        <v>0.2</v>
      </c>
      <c r="H116">
        <v>2729.33</v>
      </c>
      <c r="I116" t="s">
        <v>14</v>
      </c>
      <c r="J116" t="s">
        <v>15</v>
      </c>
      <c r="K116">
        <v>-689.16</v>
      </c>
    </row>
    <row r="117" spans="1:11" x14ac:dyDescent="0.3">
      <c r="A117">
        <v>1115</v>
      </c>
      <c r="B117" t="s">
        <v>167</v>
      </c>
      <c r="C117" t="s">
        <v>28</v>
      </c>
      <c r="D117" t="s">
        <v>29</v>
      </c>
      <c r="H117">
        <v>0</v>
      </c>
      <c r="I117" t="s">
        <v>17</v>
      </c>
      <c r="K117">
        <v>-624.26</v>
      </c>
    </row>
    <row r="118" spans="1:11" x14ac:dyDescent="0.3">
      <c r="A118">
        <v>1116</v>
      </c>
      <c r="B118" t="s">
        <v>168</v>
      </c>
      <c r="C118" t="s">
        <v>19</v>
      </c>
      <c r="D118" t="s">
        <v>79</v>
      </c>
      <c r="E118">
        <v>1</v>
      </c>
      <c r="H118">
        <v>0</v>
      </c>
      <c r="I118" t="s">
        <v>14</v>
      </c>
      <c r="J118" t="s">
        <v>15</v>
      </c>
      <c r="K118">
        <v>1733.04</v>
      </c>
    </row>
    <row r="119" spans="1:11" x14ac:dyDescent="0.3">
      <c r="A119">
        <v>1117</v>
      </c>
      <c r="B119" t="s">
        <v>169</v>
      </c>
      <c r="C119" t="s">
        <v>19</v>
      </c>
      <c r="D119" t="s">
        <v>20</v>
      </c>
      <c r="F119">
        <v>3567.55</v>
      </c>
      <c r="H119">
        <v>0</v>
      </c>
      <c r="I119" t="s">
        <v>26</v>
      </c>
      <c r="K119">
        <v>-455.6</v>
      </c>
    </row>
    <row r="120" spans="1:11" x14ac:dyDescent="0.3">
      <c r="A120">
        <v>1118</v>
      </c>
      <c r="B120" t="s">
        <v>170</v>
      </c>
      <c r="C120" t="s">
        <v>28</v>
      </c>
      <c r="D120" t="s">
        <v>29</v>
      </c>
      <c r="H120">
        <v>0</v>
      </c>
      <c r="I120" t="s">
        <v>39</v>
      </c>
      <c r="J120" t="s">
        <v>15</v>
      </c>
      <c r="K120">
        <v>1039.53</v>
      </c>
    </row>
    <row r="121" spans="1:11" x14ac:dyDescent="0.3">
      <c r="A121">
        <v>1119</v>
      </c>
      <c r="B121" t="s">
        <v>171</v>
      </c>
      <c r="C121" t="s">
        <v>12</v>
      </c>
      <c r="D121" t="s">
        <v>101</v>
      </c>
      <c r="H121">
        <v>0</v>
      </c>
      <c r="I121" t="s">
        <v>21</v>
      </c>
      <c r="J121" t="s">
        <v>15</v>
      </c>
      <c r="K121">
        <v>142.69</v>
      </c>
    </row>
    <row r="122" spans="1:11" x14ac:dyDescent="0.3">
      <c r="A122">
        <v>1120</v>
      </c>
      <c r="B122" t="s">
        <v>172</v>
      </c>
      <c r="C122" t="s">
        <v>19</v>
      </c>
      <c r="D122" t="s">
        <v>20</v>
      </c>
      <c r="F122">
        <v>4709</v>
      </c>
      <c r="H122">
        <v>0</v>
      </c>
      <c r="I122" t="s">
        <v>17</v>
      </c>
      <c r="K122">
        <v>828.98</v>
      </c>
    </row>
    <row r="123" spans="1:11" x14ac:dyDescent="0.3">
      <c r="A123">
        <v>1121</v>
      </c>
      <c r="B123" t="s">
        <v>173</v>
      </c>
      <c r="C123" t="s">
        <v>24</v>
      </c>
      <c r="D123" t="s">
        <v>85</v>
      </c>
      <c r="F123">
        <v>4109.6000000000004</v>
      </c>
      <c r="G123">
        <v>0.42</v>
      </c>
      <c r="H123">
        <v>0</v>
      </c>
      <c r="I123" t="s">
        <v>45</v>
      </c>
      <c r="J123" t="s">
        <v>15</v>
      </c>
      <c r="K123">
        <v>1422.36</v>
      </c>
    </row>
    <row r="124" spans="1:11" x14ac:dyDescent="0.3">
      <c r="A124">
        <v>1122</v>
      </c>
      <c r="B124" t="s">
        <v>174</v>
      </c>
      <c r="C124" t="s">
        <v>19</v>
      </c>
      <c r="D124" t="s">
        <v>79</v>
      </c>
      <c r="E124">
        <v>0</v>
      </c>
      <c r="F124">
        <v>4745.03</v>
      </c>
      <c r="G124">
        <v>0.4</v>
      </c>
      <c r="H124">
        <v>0</v>
      </c>
      <c r="I124" t="s">
        <v>21</v>
      </c>
      <c r="J124" t="s">
        <v>15</v>
      </c>
      <c r="K124">
        <v>2658.02</v>
      </c>
    </row>
    <row r="125" spans="1:11" x14ac:dyDescent="0.3">
      <c r="A125">
        <v>1123</v>
      </c>
      <c r="B125" t="s">
        <v>175</v>
      </c>
      <c r="C125" t="s">
        <v>28</v>
      </c>
      <c r="D125" t="s">
        <v>140</v>
      </c>
      <c r="E125">
        <v>5</v>
      </c>
      <c r="F125">
        <v>3978.76</v>
      </c>
      <c r="H125">
        <v>0</v>
      </c>
      <c r="I125" t="s">
        <v>17</v>
      </c>
      <c r="K125">
        <v>1494.78</v>
      </c>
    </row>
    <row r="126" spans="1:11" x14ac:dyDescent="0.3">
      <c r="A126">
        <v>1002</v>
      </c>
      <c r="B126" t="s">
        <v>176</v>
      </c>
      <c r="C126" t="s">
        <v>19</v>
      </c>
      <c r="D126" t="s">
        <v>20</v>
      </c>
      <c r="E126">
        <v>1</v>
      </c>
      <c r="H126">
        <v>0</v>
      </c>
      <c r="I126" t="s">
        <v>17</v>
      </c>
      <c r="J126" t="s">
        <v>22</v>
      </c>
      <c r="K126">
        <v>2513.75</v>
      </c>
    </row>
    <row r="127" spans="1:11" x14ac:dyDescent="0.3">
      <c r="A127">
        <v>1125</v>
      </c>
      <c r="B127" t="s">
        <v>177</v>
      </c>
      <c r="C127" t="s">
        <v>24</v>
      </c>
      <c r="D127" t="s">
        <v>85</v>
      </c>
      <c r="E127">
        <v>-2</v>
      </c>
      <c r="H127">
        <v>0</v>
      </c>
      <c r="I127" t="s">
        <v>14</v>
      </c>
      <c r="K127">
        <v>-754.58</v>
      </c>
    </row>
    <row r="128" spans="1:11" x14ac:dyDescent="0.3">
      <c r="A128">
        <v>1126</v>
      </c>
      <c r="B128" t="s">
        <v>178</v>
      </c>
      <c r="C128" t="s">
        <v>12</v>
      </c>
      <c r="D128" t="s">
        <v>35</v>
      </c>
      <c r="E128">
        <v>2</v>
      </c>
      <c r="G128">
        <v>0.59</v>
      </c>
      <c r="H128">
        <v>0</v>
      </c>
      <c r="I128" t="s">
        <v>45</v>
      </c>
      <c r="J128" t="s">
        <v>15</v>
      </c>
      <c r="K128">
        <v>1820.2</v>
      </c>
    </row>
    <row r="129" spans="1:11" x14ac:dyDescent="0.3">
      <c r="A129">
        <v>1127</v>
      </c>
      <c r="B129" t="s">
        <v>179</v>
      </c>
      <c r="C129" t="s">
        <v>37</v>
      </c>
      <c r="D129" t="s">
        <v>90</v>
      </c>
      <c r="E129">
        <v>3</v>
      </c>
      <c r="F129">
        <v>4843.4399999999996</v>
      </c>
      <c r="G129">
        <v>7.0000000000000007E-2</v>
      </c>
      <c r="H129">
        <v>13513.2</v>
      </c>
      <c r="I129" t="s">
        <v>17</v>
      </c>
      <c r="J129" t="s">
        <v>22</v>
      </c>
      <c r="K129">
        <v>2881.91</v>
      </c>
    </row>
    <row r="130" spans="1:11" x14ac:dyDescent="0.3">
      <c r="A130">
        <v>1128</v>
      </c>
      <c r="B130" t="s">
        <v>180</v>
      </c>
      <c r="C130" t="s">
        <v>32</v>
      </c>
      <c r="D130" t="s">
        <v>43</v>
      </c>
      <c r="G130">
        <v>0.43</v>
      </c>
      <c r="H130">
        <v>0</v>
      </c>
      <c r="I130" t="s">
        <v>51</v>
      </c>
      <c r="K130">
        <v>-68.489999999999995</v>
      </c>
    </row>
    <row r="131" spans="1:11" x14ac:dyDescent="0.3">
      <c r="A131">
        <v>1129</v>
      </c>
      <c r="B131" t="s">
        <v>181</v>
      </c>
      <c r="C131" t="s">
        <v>12</v>
      </c>
      <c r="D131" t="s">
        <v>35</v>
      </c>
      <c r="E131">
        <v>-2</v>
      </c>
      <c r="F131">
        <v>2412.36</v>
      </c>
      <c r="G131">
        <v>0.23</v>
      </c>
      <c r="H131">
        <v>-3715.03</v>
      </c>
      <c r="I131" t="s">
        <v>21</v>
      </c>
      <c r="J131" t="s">
        <v>15</v>
      </c>
      <c r="K131">
        <v>-668.36</v>
      </c>
    </row>
    <row r="132" spans="1:11" x14ac:dyDescent="0.3">
      <c r="A132">
        <v>1130</v>
      </c>
      <c r="B132" t="s">
        <v>31</v>
      </c>
      <c r="C132" t="s">
        <v>28</v>
      </c>
      <c r="D132" t="s">
        <v>41</v>
      </c>
      <c r="H132">
        <v>0</v>
      </c>
      <c r="I132" t="s">
        <v>14</v>
      </c>
      <c r="J132" t="s">
        <v>22</v>
      </c>
      <c r="K132">
        <v>2782.45</v>
      </c>
    </row>
    <row r="133" spans="1:11" x14ac:dyDescent="0.3">
      <c r="A133">
        <v>1131</v>
      </c>
      <c r="B133" t="s">
        <v>182</v>
      </c>
      <c r="C133" t="s">
        <v>32</v>
      </c>
      <c r="D133" t="s">
        <v>71</v>
      </c>
      <c r="E133">
        <v>5</v>
      </c>
      <c r="G133">
        <v>0.99</v>
      </c>
      <c r="H133">
        <v>0</v>
      </c>
      <c r="I133" t="s">
        <v>14</v>
      </c>
      <c r="K133">
        <v>-941.56</v>
      </c>
    </row>
    <row r="134" spans="1:11" x14ac:dyDescent="0.3">
      <c r="A134">
        <v>1132</v>
      </c>
      <c r="B134" t="s">
        <v>183</v>
      </c>
      <c r="C134" t="s">
        <v>19</v>
      </c>
      <c r="D134" t="s">
        <v>79</v>
      </c>
      <c r="G134">
        <v>0.57999999999999996</v>
      </c>
      <c r="H134">
        <v>0</v>
      </c>
      <c r="I134" t="s">
        <v>14</v>
      </c>
      <c r="J134" t="s">
        <v>22</v>
      </c>
      <c r="K134">
        <v>2043.57</v>
      </c>
    </row>
    <row r="135" spans="1:11" x14ac:dyDescent="0.3">
      <c r="A135">
        <v>1133</v>
      </c>
      <c r="B135" t="s">
        <v>184</v>
      </c>
      <c r="C135" t="s">
        <v>37</v>
      </c>
      <c r="D135" t="s">
        <v>38</v>
      </c>
      <c r="G135">
        <v>0.6</v>
      </c>
      <c r="H135">
        <v>0</v>
      </c>
      <c r="I135" t="s">
        <v>17</v>
      </c>
      <c r="K135">
        <v>806.19</v>
      </c>
    </row>
    <row r="136" spans="1:11" x14ac:dyDescent="0.3">
      <c r="A136">
        <v>1134</v>
      </c>
      <c r="B136" t="s">
        <v>185</v>
      </c>
      <c r="C136" t="s">
        <v>37</v>
      </c>
      <c r="D136" t="s">
        <v>62</v>
      </c>
      <c r="E136">
        <v>3</v>
      </c>
      <c r="H136">
        <v>0</v>
      </c>
      <c r="I136" t="s">
        <v>14</v>
      </c>
      <c r="J136" t="s">
        <v>15</v>
      </c>
      <c r="K136">
        <v>1101.19</v>
      </c>
    </row>
    <row r="137" spans="1:11" x14ac:dyDescent="0.3">
      <c r="A137">
        <v>1135</v>
      </c>
      <c r="B137" t="s">
        <v>186</v>
      </c>
      <c r="C137" t="s">
        <v>24</v>
      </c>
      <c r="D137" t="s">
        <v>53</v>
      </c>
      <c r="E137">
        <v>4</v>
      </c>
      <c r="F137">
        <v>1556.96</v>
      </c>
      <c r="G137">
        <v>0.84</v>
      </c>
      <c r="H137">
        <v>996.45</v>
      </c>
      <c r="I137" t="s">
        <v>21</v>
      </c>
      <c r="J137" t="s">
        <v>22</v>
      </c>
      <c r="K137">
        <v>1432.84</v>
      </c>
    </row>
    <row r="138" spans="1:11" x14ac:dyDescent="0.3">
      <c r="A138">
        <v>1136</v>
      </c>
      <c r="B138" t="s">
        <v>187</v>
      </c>
      <c r="C138" t="s">
        <v>12</v>
      </c>
      <c r="D138" t="s">
        <v>48</v>
      </c>
      <c r="F138">
        <v>3658.42</v>
      </c>
      <c r="G138">
        <v>0.47</v>
      </c>
      <c r="H138">
        <v>0</v>
      </c>
      <c r="I138" t="s">
        <v>21</v>
      </c>
      <c r="K138">
        <v>1897.33</v>
      </c>
    </row>
    <row r="139" spans="1:11" x14ac:dyDescent="0.3">
      <c r="A139">
        <v>1137</v>
      </c>
      <c r="B139" t="s">
        <v>188</v>
      </c>
      <c r="C139" t="s">
        <v>24</v>
      </c>
      <c r="D139" t="s">
        <v>53</v>
      </c>
      <c r="F139">
        <v>4206.0600000000004</v>
      </c>
      <c r="H139">
        <v>0</v>
      </c>
      <c r="I139" t="s">
        <v>14</v>
      </c>
      <c r="J139" t="s">
        <v>22</v>
      </c>
      <c r="K139">
        <v>1161.76</v>
      </c>
    </row>
    <row r="140" spans="1:11" x14ac:dyDescent="0.3">
      <c r="A140">
        <v>1138</v>
      </c>
      <c r="B140" t="s">
        <v>189</v>
      </c>
      <c r="C140" t="s">
        <v>37</v>
      </c>
      <c r="D140" t="s">
        <v>90</v>
      </c>
      <c r="G140">
        <v>0.26</v>
      </c>
      <c r="H140">
        <v>0</v>
      </c>
      <c r="I140" t="s">
        <v>55</v>
      </c>
      <c r="J140" t="s">
        <v>15</v>
      </c>
      <c r="K140">
        <v>-658.58</v>
      </c>
    </row>
    <row r="141" spans="1:11" x14ac:dyDescent="0.3">
      <c r="A141">
        <v>1139</v>
      </c>
      <c r="B141" t="s">
        <v>190</v>
      </c>
      <c r="C141" t="s">
        <v>32</v>
      </c>
      <c r="D141" t="s">
        <v>81</v>
      </c>
      <c r="G141">
        <v>0.21</v>
      </c>
      <c r="H141">
        <v>0</v>
      </c>
      <c r="I141" t="s">
        <v>39</v>
      </c>
      <c r="K141">
        <v>-832.45</v>
      </c>
    </row>
    <row r="142" spans="1:11" x14ac:dyDescent="0.3">
      <c r="A142">
        <v>1140</v>
      </c>
      <c r="B142" t="s">
        <v>191</v>
      </c>
      <c r="C142" t="s">
        <v>28</v>
      </c>
      <c r="D142" t="s">
        <v>29</v>
      </c>
      <c r="E142">
        <v>4</v>
      </c>
      <c r="H142">
        <v>0</v>
      </c>
      <c r="I142" t="s">
        <v>55</v>
      </c>
      <c r="J142" t="s">
        <v>22</v>
      </c>
      <c r="K142">
        <v>-127.91</v>
      </c>
    </row>
    <row r="143" spans="1:11" x14ac:dyDescent="0.3">
      <c r="A143">
        <v>1141</v>
      </c>
      <c r="B143" t="s">
        <v>192</v>
      </c>
      <c r="C143" t="s">
        <v>32</v>
      </c>
      <c r="D143" t="s">
        <v>81</v>
      </c>
      <c r="G143">
        <v>1.1499999999999999</v>
      </c>
      <c r="H143">
        <v>0</v>
      </c>
      <c r="I143" t="s">
        <v>14</v>
      </c>
      <c r="J143" t="s">
        <v>15</v>
      </c>
      <c r="K143">
        <v>429.67</v>
      </c>
    </row>
    <row r="144" spans="1:11" x14ac:dyDescent="0.3">
      <c r="A144">
        <v>1142</v>
      </c>
      <c r="B144" t="s">
        <v>193</v>
      </c>
      <c r="C144" t="s">
        <v>37</v>
      </c>
      <c r="D144" t="s">
        <v>90</v>
      </c>
      <c r="E144">
        <v>6</v>
      </c>
      <c r="F144">
        <v>3004.58</v>
      </c>
      <c r="H144">
        <v>0</v>
      </c>
      <c r="I144" t="s">
        <v>55</v>
      </c>
      <c r="J144" t="s">
        <v>15</v>
      </c>
      <c r="K144">
        <v>-509.67</v>
      </c>
    </row>
    <row r="145" spans="1:11" x14ac:dyDescent="0.3">
      <c r="A145">
        <v>1143</v>
      </c>
      <c r="B145" t="s">
        <v>194</v>
      </c>
      <c r="C145" t="s">
        <v>19</v>
      </c>
      <c r="D145" t="s">
        <v>87</v>
      </c>
      <c r="H145">
        <v>0</v>
      </c>
      <c r="I145" t="s">
        <v>39</v>
      </c>
      <c r="K145">
        <v>816.49</v>
      </c>
    </row>
    <row r="146" spans="1:11" x14ac:dyDescent="0.3">
      <c r="A146">
        <v>1144</v>
      </c>
      <c r="B146" t="s">
        <v>195</v>
      </c>
      <c r="C146" t="s">
        <v>12</v>
      </c>
      <c r="D146" t="s">
        <v>13</v>
      </c>
      <c r="G146">
        <v>0.19</v>
      </c>
      <c r="H146">
        <v>0</v>
      </c>
      <c r="I146" t="s">
        <v>21</v>
      </c>
      <c r="J146" t="s">
        <v>15</v>
      </c>
      <c r="K146">
        <v>2966.21</v>
      </c>
    </row>
    <row r="147" spans="1:11" x14ac:dyDescent="0.3">
      <c r="A147">
        <v>1145</v>
      </c>
      <c r="B147" t="s">
        <v>196</v>
      </c>
      <c r="C147" t="s">
        <v>32</v>
      </c>
      <c r="D147" t="s">
        <v>81</v>
      </c>
      <c r="E147">
        <v>-2</v>
      </c>
      <c r="F147">
        <v>3607.9</v>
      </c>
      <c r="G147">
        <v>0.94</v>
      </c>
      <c r="H147">
        <v>-432.95</v>
      </c>
      <c r="I147" t="s">
        <v>30</v>
      </c>
      <c r="J147" t="s">
        <v>22</v>
      </c>
      <c r="K147">
        <v>-171.58</v>
      </c>
    </row>
    <row r="148" spans="1:11" x14ac:dyDescent="0.3">
      <c r="A148">
        <v>1146</v>
      </c>
      <c r="B148" t="s">
        <v>197</v>
      </c>
      <c r="C148" t="s">
        <v>28</v>
      </c>
      <c r="D148" t="s">
        <v>29</v>
      </c>
      <c r="G148">
        <v>1.0900000000000001</v>
      </c>
      <c r="H148">
        <v>0</v>
      </c>
      <c r="I148" t="s">
        <v>45</v>
      </c>
      <c r="J148" t="s">
        <v>15</v>
      </c>
      <c r="K148">
        <v>-431.7</v>
      </c>
    </row>
    <row r="149" spans="1:11" x14ac:dyDescent="0.3">
      <c r="A149">
        <v>1147</v>
      </c>
      <c r="B149" t="s">
        <v>198</v>
      </c>
      <c r="C149" t="s">
        <v>37</v>
      </c>
      <c r="D149" t="s">
        <v>38</v>
      </c>
      <c r="F149">
        <v>2875.46</v>
      </c>
      <c r="H149">
        <v>0</v>
      </c>
      <c r="I149" t="s">
        <v>14</v>
      </c>
      <c r="J149" t="s">
        <v>22</v>
      </c>
      <c r="K149">
        <v>-794.99</v>
      </c>
    </row>
    <row r="150" spans="1:11" x14ac:dyDescent="0.3">
      <c r="A150">
        <v>1148</v>
      </c>
      <c r="B150" t="s">
        <v>199</v>
      </c>
      <c r="C150" t="s">
        <v>28</v>
      </c>
      <c r="D150" t="s">
        <v>29</v>
      </c>
      <c r="F150">
        <v>2471.48</v>
      </c>
      <c r="G150">
        <v>1.1100000000000001</v>
      </c>
      <c r="H150">
        <v>0</v>
      </c>
      <c r="I150" t="s">
        <v>21</v>
      </c>
      <c r="J150" t="s">
        <v>15</v>
      </c>
      <c r="K150">
        <v>2247.9</v>
      </c>
    </row>
    <row r="151" spans="1:11" x14ac:dyDescent="0.3">
      <c r="A151">
        <v>1149</v>
      </c>
      <c r="B151" t="s">
        <v>200</v>
      </c>
      <c r="C151" t="s">
        <v>37</v>
      </c>
      <c r="D151" t="s">
        <v>90</v>
      </c>
      <c r="E151">
        <v>2</v>
      </c>
      <c r="H151">
        <v>0</v>
      </c>
      <c r="I151" t="s">
        <v>55</v>
      </c>
      <c r="J151" t="s">
        <v>22</v>
      </c>
      <c r="K151">
        <v>562.69000000000005</v>
      </c>
    </row>
    <row r="152" spans="1:11" x14ac:dyDescent="0.3">
      <c r="A152">
        <v>1150</v>
      </c>
      <c r="B152" t="s">
        <v>201</v>
      </c>
      <c r="C152" t="s">
        <v>28</v>
      </c>
      <c r="D152" t="s">
        <v>41</v>
      </c>
      <c r="F152">
        <v>1554.9</v>
      </c>
      <c r="H152">
        <v>0</v>
      </c>
      <c r="I152" t="s">
        <v>17</v>
      </c>
      <c r="J152" t="s">
        <v>15</v>
      </c>
      <c r="K152">
        <v>457.65</v>
      </c>
    </row>
    <row r="153" spans="1:11" x14ac:dyDescent="0.3">
      <c r="A153">
        <v>1151</v>
      </c>
      <c r="B153" t="s">
        <v>202</v>
      </c>
      <c r="C153" t="s">
        <v>12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t="s">
        <v>45</v>
      </c>
      <c r="J153" t="s">
        <v>15</v>
      </c>
      <c r="K153">
        <v>-655.45</v>
      </c>
    </row>
    <row r="154" spans="1:11" x14ac:dyDescent="0.3">
      <c r="A154">
        <v>1152</v>
      </c>
      <c r="B154" t="s">
        <v>203</v>
      </c>
      <c r="C154" t="s">
        <v>24</v>
      </c>
      <c r="D154" t="s">
        <v>65</v>
      </c>
      <c r="E154">
        <v>1</v>
      </c>
      <c r="G154">
        <v>1.26</v>
      </c>
      <c r="H154">
        <v>0</v>
      </c>
      <c r="I154" t="s">
        <v>45</v>
      </c>
      <c r="K154">
        <v>454.45</v>
      </c>
    </row>
    <row r="155" spans="1:11" x14ac:dyDescent="0.3">
      <c r="A155">
        <v>1153</v>
      </c>
      <c r="B155" t="s">
        <v>204</v>
      </c>
      <c r="C155" t="s">
        <v>28</v>
      </c>
      <c r="D155" t="s">
        <v>29</v>
      </c>
      <c r="E155">
        <v>1</v>
      </c>
      <c r="F155">
        <v>478.59</v>
      </c>
      <c r="H155">
        <v>0</v>
      </c>
      <c r="I155" t="s">
        <v>14</v>
      </c>
      <c r="J155" t="s">
        <v>22</v>
      </c>
      <c r="K155">
        <v>-681.2</v>
      </c>
    </row>
    <row r="156" spans="1:11" x14ac:dyDescent="0.3">
      <c r="A156">
        <v>1154</v>
      </c>
      <c r="B156" t="s">
        <v>205</v>
      </c>
      <c r="C156" t="s">
        <v>28</v>
      </c>
      <c r="D156" t="s">
        <v>119</v>
      </c>
      <c r="H156">
        <v>0</v>
      </c>
      <c r="I156" t="s">
        <v>39</v>
      </c>
      <c r="J156" t="s">
        <v>15</v>
      </c>
      <c r="K156">
        <v>52.85</v>
      </c>
    </row>
    <row r="157" spans="1:11" x14ac:dyDescent="0.3">
      <c r="A157">
        <v>1155</v>
      </c>
      <c r="B157" t="s">
        <v>206</v>
      </c>
      <c r="C157" t="s">
        <v>24</v>
      </c>
      <c r="D157" t="s">
        <v>65</v>
      </c>
      <c r="G157">
        <v>0.64</v>
      </c>
      <c r="H157">
        <v>0</v>
      </c>
      <c r="I157" t="s">
        <v>21</v>
      </c>
      <c r="K157">
        <v>2493.12</v>
      </c>
    </row>
    <row r="158" spans="1:11" x14ac:dyDescent="0.3">
      <c r="A158">
        <v>1156</v>
      </c>
      <c r="B158" t="s">
        <v>207</v>
      </c>
      <c r="C158" t="s">
        <v>37</v>
      </c>
      <c r="D158" t="s">
        <v>62</v>
      </c>
      <c r="E158">
        <v>3</v>
      </c>
      <c r="G158">
        <v>0.93</v>
      </c>
      <c r="H158">
        <v>0</v>
      </c>
      <c r="I158" t="s">
        <v>14</v>
      </c>
      <c r="K158">
        <v>1699.17</v>
      </c>
    </row>
    <row r="159" spans="1:11" x14ac:dyDescent="0.3">
      <c r="A159">
        <v>1157</v>
      </c>
      <c r="B159" t="s">
        <v>208</v>
      </c>
      <c r="C159" t="s">
        <v>12</v>
      </c>
      <c r="D159" t="s">
        <v>101</v>
      </c>
      <c r="E159">
        <v>6</v>
      </c>
      <c r="F159">
        <v>645.03</v>
      </c>
      <c r="H159">
        <v>0</v>
      </c>
      <c r="I159" t="s">
        <v>17</v>
      </c>
      <c r="J159" t="s">
        <v>15</v>
      </c>
      <c r="K159">
        <v>2724.92</v>
      </c>
    </row>
    <row r="160" spans="1:11" x14ac:dyDescent="0.3">
      <c r="A160">
        <v>1158</v>
      </c>
      <c r="B160" t="s">
        <v>209</v>
      </c>
      <c r="C160" t="s">
        <v>37</v>
      </c>
      <c r="D160" t="s">
        <v>62</v>
      </c>
      <c r="F160">
        <v>4516.08</v>
      </c>
      <c r="H160">
        <v>0</v>
      </c>
      <c r="I160" t="s">
        <v>14</v>
      </c>
      <c r="J160" t="s">
        <v>22</v>
      </c>
      <c r="K160">
        <v>2164.9499999999998</v>
      </c>
    </row>
    <row r="161" spans="1:11" x14ac:dyDescent="0.3">
      <c r="A161">
        <v>1159</v>
      </c>
      <c r="B161" t="s">
        <v>210</v>
      </c>
      <c r="C161" t="s">
        <v>24</v>
      </c>
      <c r="D161" t="s">
        <v>53</v>
      </c>
      <c r="F161">
        <v>3335.18</v>
      </c>
      <c r="G161">
        <v>0.09</v>
      </c>
      <c r="H161">
        <v>0</v>
      </c>
      <c r="I161" t="s">
        <v>17</v>
      </c>
      <c r="J161" t="s">
        <v>15</v>
      </c>
      <c r="K161">
        <v>235.11</v>
      </c>
    </row>
    <row r="162" spans="1:11" x14ac:dyDescent="0.3">
      <c r="A162">
        <v>1160</v>
      </c>
      <c r="B162" t="s">
        <v>211</v>
      </c>
      <c r="C162" t="s">
        <v>37</v>
      </c>
      <c r="D162" t="s">
        <v>38</v>
      </c>
      <c r="E162">
        <v>0</v>
      </c>
      <c r="G162">
        <v>0.77</v>
      </c>
      <c r="H162">
        <v>0</v>
      </c>
      <c r="I162" t="s">
        <v>55</v>
      </c>
      <c r="K162">
        <v>-711.19</v>
      </c>
    </row>
    <row r="163" spans="1:11" x14ac:dyDescent="0.3">
      <c r="A163">
        <v>1161</v>
      </c>
      <c r="B163" t="s">
        <v>212</v>
      </c>
      <c r="C163" t="s">
        <v>32</v>
      </c>
      <c r="D163" t="s">
        <v>71</v>
      </c>
      <c r="F163">
        <v>1801.91</v>
      </c>
      <c r="H163">
        <v>0</v>
      </c>
      <c r="I163" t="s">
        <v>21</v>
      </c>
      <c r="K163">
        <v>502.86</v>
      </c>
    </row>
    <row r="164" spans="1:11" x14ac:dyDescent="0.3">
      <c r="A164">
        <v>1162</v>
      </c>
      <c r="B164" t="s">
        <v>213</v>
      </c>
      <c r="C164" t="s">
        <v>24</v>
      </c>
      <c r="D164" t="s">
        <v>85</v>
      </c>
      <c r="E164">
        <v>4</v>
      </c>
      <c r="G164">
        <v>0.14000000000000001</v>
      </c>
      <c r="H164">
        <v>0</v>
      </c>
      <c r="I164" t="s">
        <v>21</v>
      </c>
      <c r="J164" t="s">
        <v>15</v>
      </c>
      <c r="K164">
        <v>2566.0500000000002</v>
      </c>
    </row>
    <row r="165" spans="1:11" x14ac:dyDescent="0.3">
      <c r="A165">
        <v>1163</v>
      </c>
      <c r="B165" t="s">
        <v>214</v>
      </c>
      <c r="C165" t="s">
        <v>28</v>
      </c>
      <c r="D165" t="s">
        <v>41</v>
      </c>
      <c r="F165">
        <v>1033.58</v>
      </c>
      <c r="G165">
        <v>0.68</v>
      </c>
      <c r="H165">
        <v>0</v>
      </c>
      <c r="I165" t="s">
        <v>26</v>
      </c>
      <c r="J165" t="s">
        <v>15</v>
      </c>
      <c r="K165">
        <v>-441.46</v>
      </c>
    </row>
    <row r="166" spans="1:11" x14ac:dyDescent="0.3">
      <c r="A166">
        <v>1164</v>
      </c>
      <c r="B166" t="s">
        <v>215</v>
      </c>
      <c r="C166" t="s">
        <v>28</v>
      </c>
      <c r="D166" t="s">
        <v>41</v>
      </c>
      <c r="E166">
        <v>5</v>
      </c>
      <c r="H166">
        <v>0</v>
      </c>
      <c r="I166" t="s">
        <v>55</v>
      </c>
      <c r="J166" t="s">
        <v>22</v>
      </c>
      <c r="K166">
        <v>598.79</v>
      </c>
    </row>
    <row r="167" spans="1:11" x14ac:dyDescent="0.3">
      <c r="A167">
        <v>1165</v>
      </c>
      <c r="B167" t="s">
        <v>216</v>
      </c>
      <c r="C167" t="s">
        <v>32</v>
      </c>
      <c r="D167" t="s">
        <v>71</v>
      </c>
      <c r="E167">
        <v>2</v>
      </c>
      <c r="G167">
        <v>0.08</v>
      </c>
      <c r="H167">
        <v>0</v>
      </c>
      <c r="I167" t="s">
        <v>26</v>
      </c>
      <c r="J167" t="s">
        <v>22</v>
      </c>
      <c r="K167">
        <v>-102.32</v>
      </c>
    </row>
    <row r="168" spans="1:11" x14ac:dyDescent="0.3">
      <c r="A168">
        <v>1166</v>
      </c>
      <c r="B168" t="s">
        <v>217</v>
      </c>
      <c r="C168" t="s">
        <v>19</v>
      </c>
      <c r="D168" t="s">
        <v>79</v>
      </c>
      <c r="G168">
        <v>0.91</v>
      </c>
      <c r="H168">
        <v>0</v>
      </c>
      <c r="I168" t="s">
        <v>17</v>
      </c>
      <c r="K168">
        <v>285.44</v>
      </c>
    </row>
    <row r="169" spans="1:11" x14ac:dyDescent="0.3">
      <c r="A169">
        <v>1167</v>
      </c>
      <c r="B169" t="s">
        <v>218</v>
      </c>
      <c r="C169" t="s">
        <v>32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t="s">
        <v>39</v>
      </c>
      <c r="K169">
        <v>-653.79999999999995</v>
      </c>
    </row>
    <row r="170" spans="1:11" x14ac:dyDescent="0.3">
      <c r="A170">
        <v>1168</v>
      </c>
      <c r="B170" t="s">
        <v>219</v>
      </c>
      <c r="C170" t="s">
        <v>28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t="s">
        <v>30</v>
      </c>
      <c r="K170">
        <v>2024.15</v>
      </c>
    </row>
    <row r="171" spans="1:11" x14ac:dyDescent="0.3">
      <c r="A171">
        <v>1169</v>
      </c>
      <c r="B171" t="s">
        <v>220</v>
      </c>
      <c r="C171" t="s">
        <v>32</v>
      </c>
      <c r="D171" t="s">
        <v>71</v>
      </c>
      <c r="E171">
        <v>-1</v>
      </c>
      <c r="F171">
        <v>2948.26</v>
      </c>
      <c r="G171">
        <v>0.9</v>
      </c>
      <c r="H171">
        <v>-294.83</v>
      </c>
      <c r="I171" t="s">
        <v>45</v>
      </c>
      <c r="K171">
        <v>1285.1500000000001</v>
      </c>
    </row>
    <row r="172" spans="1:11" x14ac:dyDescent="0.3">
      <c r="A172">
        <v>1170</v>
      </c>
      <c r="B172" t="s">
        <v>221</v>
      </c>
      <c r="C172" t="s">
        <v>12</v>
      </c>
      <c r="D172" t="s">
        <v>48</v>
      </c>
      <c r="E172">
        <v>0</v>
      </c>
      <c r="G172">
        <v>0.76</v>
      </c>
      <c r="H172">
        <v>0</v>
      </c>
      <c r="I172" t="s">
        <v>14</v>
      </c>
      <c r="J172" t="s">
        <v>15</v>
      </c>
      <c r="K172">
        <v>-528.70000000000005</v>
      </c>
    </row>
    <row r="173" spans="1:11" x14ac:dyDescent="0.3">
      <c r="A173">
        <v>1171</v>
      </c>
      <c r="B173" t="s">
        <v>222</v>
      </c>
      <c r="C173" t="s">
        <v>12</v>
      </c>
      <c r="D173" t="s">
        <v>48</v>
      </c>
      <c r="E173">
        <v>1</v>
      </c>
      <c r="H173">
        <v>0</v>
      </c>
      <c r="I173" t="s">
        <v>45</v>
      </c>
      <c r="J173" t="s">
        <v>22</v>
      </c>
      <c r="K173">
        <v>2475.83</v>
      </c>
    </row>
    <row r="174" spans="1:11" x14ac:dyDescent="0.3">
      <c r="A174">
        <v>1172</v>
      </c>
      <c r="B174" t="s">
        <v>223</v>
      </c>
      <c r="C174" t="s">
        <v>19</v>
      </c>
      <c r="D174" t="s">
        <v>20</v>
      </c>
      <c r="E174">
        <v>-2</v>
      </c>
      <c r="F174">
        <v>2719.32</v>
      </c>
      <c r="H174">
        <v>0</v>
      </c>
      <c r="I174" t="s">
        <v>51</v>
      </c>
      <c r="J174" t="s">
        <v>15</v>
      </c>
      <c r="K174">
        <v>655.1</v>
      </c>
    </row>
    <row r="175" spans="1:11" x14ac:dyDescent="0.3">
      <c r="A175">
        <v>1173</v>
      </c>
      <c r="B175" t="s">
        <v>224</v>
      </c>
      <c r="C175" t="s">
        <v>12</v>
      </c>
      <c r="D175" t="s">
        <v>35</v>
      </c>
      <c r="F175">
        <v>4063.39</v>
      </c>
      <c r="H175">
        <v>0</v>
      </c>
      <c r="I175" t="s">
        <v>26</v>
      </c>
      <c r="K175">
        <v>2034.39</v>
      </c>
    </row>
    <row r="176" spans="1:11" x14ac:dyDescent="0.3">
      <c r="A176">
        <v>1174</v>
      </c>
      <c r="B176" t="s">
        <v>225</v>
      </c>
      <c r="C176" t="s">
        <v>19</v>
      </c>
      <c r="D176" t="s">
        <v>121</v>
      </c>
      <c r="E176">
        <v>6</v>
      </c>
      <c r="F176">
        <v>4984.6499999999996</v>
      </c>
      <c r="G176">
        <v>0.42</v>
      </c>
      <c r="H176">
        <v>17346.580000000002</v>
      </c>
      <c r="I176" t="s">
        <v>39</v>
      </c>
      <c r="K176">
        <v>2931.32</v>
      </c>
    </row>
    <row r="177" spans="1:11" x14ac:dyDescent="0.3">
      <c r="A177">
        <v>1175</v>
      </c>
      <c r="B177" t="s">
        <v>226</v>
      </c>
      <c r="C177" t="s">
        <v>37</v>
      </c>
      <c r="D177" t="s">
        <v>38</v>
      </c>
      <c r="E177">
        <v>3</v>
      </c>
      <c r="H177">
        <v>0</v>
      </c>
      <c r="I177" t="s">
        <v>17</v>
      </c>
      <c r="J177" t="s">
        <v>15</v>
      </c>
      <c r="K177">
        <v>728.61</v>
      </c>
    </row>
    <row r="178" spans="1:11" x14ac:dyDescent="0.3">
      <c r="A178">
        <v>1176</v>
      </c>
      <c r="B178" t="s">
        <v>227</v>
      </c>
      <c r="C178" t="s">
        <v>12</v>
      </c>
      <c r="D178" t="s">
        <v>35</v>
      </c>
      <c r="E178">
        <v>6</v>
      </c>
      <c r="G178">
        <v>0.87</v>
      </c>
      <c r="H178">
        <v>0</v>
      </c>
      <c r="I178" t="s">
        <v>21</v>
      </c>
      <c r="J178" t="s">
        <v>22</v>
      </c>
      <c r="K178">
        <v>-879.15</v>
      </c>
    </row>
    <row r="179" spans="1:11" x14ac:dyDescent="0.3">
      <c r="A179">
        <v>1177</v>
      </c>
      <c r="B179" t="s">
        <v>228</v>
      </c>
      <c r="C179" t="s">
        <v>12</v>
      </c>
      <c r="D179" t="s">
        <v>48</v>
      </c>
      <c r="F179">
        <v>2426.13</v>
      </c>
      <c r="H179">
        <v>0</v>
      </c>
      <c r="I179" t="s">
        <v>17</v>
      </c>
      <c r="J179" t="s">
        <v>15</v>
      </c>
      <c r="K179">
        <v>353.91</v>
      </c>
    </row>
    <row r="180" spans="1:11" x14ac:dyDescent="0.3">
      <c r="A180">
        <v>1178</v>
      </c>
      <c r="B180" t="s">
        <v>229</v>
      </c>
      <c r="C180" t="s">
        <v>32</v>
      </c>
      <c r="D180" t="s">
        <v>33</v>
      </c>
      <c r="E180">
        <v>4</v>
      </c>
      <c r="F180">
        <v>1204.5899999999999</v>
      </c>
      <c r="H180">
        <v>0</v>
      </c>
      <c r="I180" t="s">
        <v>51</v>
      </c>
      <c r="K180">
        <v>2161.64</v>
      </c>
    </row>
    <row r="181" spans="1:11" x14ac:dyDescent="0.3">
      <c r="A181">
        <v>1179</v>
      </c>
      <c r="B181" t="s">
        <v>230</v>
      </c>
      <c r="C181" t="s">
        <v>19</v>
      </c>
      <c r="D181" t="s">
        <v>79</v>
      </c>
      <c r="E181">
        <v>0</v>
      </c>
      <c r="H181">
        <v>0</v>
      </c>
      <c r="I181" t="s">
        <v>21</v>
      </c>
      <c r="J181" t="s">
        <v>15</v>
      </c>
      <c r="K181">
        <v>510.53</v>
      </c>
    </row>
    <row r="182" spans="1:11" x14ac:dyDescent="0.3">
      <c r="A182">
        <v>1180</v>
      </c>
      <c r="B182" t="s">
        <v>231</v>
      </c>
      <c r="C182" t="s">
        <v>37</v>
      </c>
      <c r="D182" t="s">
        <v>90</v>
      </c>
      <c r="E182">
        <v>6</v>
      </c>
      <c r="F182">
        <v>2495.96</v>
      </c>
      <c r="H182">
        <v>0</v>
      </c>
      <c r="I182" t="s">
        <v>55</v>
      </c>
      <c r="J182" t="s">
        <v>15</v>
      </c>
      <c r="K182">
        <v>835.4</v>
      </c>
    </row>
    <row r="183" spans="1:11" x14ac:dyDescent="0.3">
      <c r="A183">
        <v>1181</v>
      </c>
      <c r="B183" t="s">
        <v>232</v>
      </c>
      <c r="C183" t="s">
        <v>19</v>
      </c>
      <c r="D183" t="s">
        <v>79</v>
      </c>
      <c r="H183">
        <v>0</v>
      </c>
      <c r="I183" t="s">
        <v>21</v>
      </c>
      <c r="J183" t="s">
        <v>22</v>
      </c>
      <c r="K183">
        <v>2564.06</v>
      </c>
    </row>
    <row r="184" spans="1:11" x14ac:dyDescent="0.3">
      <c r="A184">
        <v>1182</v>
      </c>
      <c r="B184" t="s">
        <v>233</v>
      </c>
      <c r="C184" t="s">
        <v>12</v>
      </c>
      <c r="D184" t="s">
        <v>13</v>
      </c>
      <c r="E184">
        <v>-1</v>
      </c>
      <c r="H184">
        <v>0</v>
      </c>
      <c r="I184" t="s">
        <v>45</v>
      </c>
      <c r="K184">
        <v>-747.25</v>
      </c>
    </row>
    <row r="185" spans="1:11" x14ac:dyDescent="0.3">
      <c r="A185">
        <v>1183</v>
      </c>
      <c r="B185" t="s">
        <v>234</v>
      </c>
      <c r="C185" t="s">
        <v>28</v>
      </c>
      <c r="D185" t="s">
        <v>119</v>
      </c>
      <c r="E185">
        <v>6</v>
      </c>
      <c r="F185">
        <v>2372.3000000000002</v>
      </c>
      <c r="H185">
        <v>0</v>
      </c>
      <c r="I185" t="s">
        <v>14</v>
      </c>
      <c r="K185">
        <v>1888.87</v>
      </c>
    </row>
    <row r="186" spans="1:11" x14ac:dyDescent="0.3">
      <c r="A186">
        <v>1184</v>
      </c>
      <c r="B186" t="s">
        <v>235</v>
      </c>
      <c r="C186" t="s">
        <v>12</v>
      </c>
      <c r="D186" t="s">
        <v>101</v>
      </c>
      <c r="E186">
        <v>0</v>
      </c>
      <c r="F186">
        <v>2697.1</v>
      </c>
      <c r="H186">
        <v>0</v>
      </c>
      <c r="I186" t="s">
        <v>14</v>
      </c>
      <c r="J186" t="s">
        <v>22</v>
      </c>
      <c r="K186">
        <v>1518.99</v>
      </c>
    </row>
    <row r="187" spans="1:11" x14ac:dyDescent="0.3">
      <c r="A187">
        <v>1185</v>
      </c>
      <c r="B187" t="s">
        <v>236</v>
      </c>
      <c r="C187" t="s">
        <v>28</v>
      </c>
      <c r="D187" t="s">
        <v>29</v>
      </c>
      <c r="H187">
        <v>0</v>
      </c>
      <c r="I187" t="s">
        <v>14</v>
      </c>
      <c r="J187" t="s">
        <v>15</v>
      </c>
      <c r="K187">
        <v>-445.19</v>
      </c>
    </row>
    <row r="188" spans="1:11" x14ac:dyDescent="0.3">
      <c r="A188">
        <v>1186</v>
      </c>
      <c r="B188" t="s">
        <v>237</v>
      </c>
      <c r="C188" t="s">
        <v>12</v>
      </c>
      <c r="D188" t="s">
        <v>35</v>
      </c>
      <c r="E188">
        <v>6</v>
      </c>
      <c r="G188">
        <v>0.71</v>
      </c>
      <c r="H188">
        <v>0</v>
      </c>
      <c r="I188" t="s">
        <v>39</v>
      </c>
      <c r="J188" t="s">
        <v>22</v>
      </c>
      <c r="K188">
        <v>-40.479999999999997</v>
      </c>
    </row>
    <row r="189" spans="1:11" x14ac:dyDescent="0.3">
      <c r="A189">
        <v>1187</v>
      </c>
      <c r="B189" t="s">
        <v>238</v>
      </c>
      <c r="C189" t="s">
        <v>28</v>
      </c>
      <c r="D189" t="s">
        <v>29</v>
      </c>
      <c r="E189">
        <v>3</v>
      </c>
      <c r="F189">
        <v>3810.89</v>
      </c>
      <c r="H189">
        <v>0</v>
      </c>
      <c r="I189" t="s">
        <v>21</v>
      </c>
      <c r="J189" t="s">
        <v>15</v>
      </c>
      <c r="K189">
        <v>1153.72</v>
      </c>
    </row>
    <row r="190" spans="1:11" x14ac:dyDescent="0.3">
      <c r="A190">
        <v>1188</v>
      </c>
      <c r="B190" t="s">
        <v>239</v>
      </c>
      <c r="C190" t="s">
        <v>28</v>
      </c>
      <c r="D190" t="s">
        <v>29</v>
      </c>
      <c r="E190">
        <v>6</v>
      </c>
      <c r="F190">
        <v>4910.28</v>
      </c>
      <c r="G190">
        <v>0.12</v>
      </c>
      <c r="H190">
        <v>25926.28</v>
      </c>
      <c r="I190" t="s">
        <v>39</v>
      </c>
      <c r="K190">
        <v>2089.25</v>
      </c>
    </row>
    <row r="191" spans="1:11" x14ac:dyDescent="0.3">
      <c r="A191">
        <v>1189</v>
      </c>
      <c r="B191" t="s">
        <v>240</v>
      </c>
      <c r="C191" t="s">
        <v>32</v>
      </c>
      <c r="D191" t="s">
        <v>43</v>
      </c>
      <c r="F191">
        <v>4808.1000000000004</v>
      </c>
      <c r="H191">
        <v>0</v>
      </c>
      <c r="I191" t="s">
        <v>17</v>
      </c>
      <c r="K191">
        <v>392.87</v>
      </c>
    </row>
    <row r="192" spans="1:11" x14ac:dyDescent="0.3">
      <c r="A192">
        <v>1190</v>
      </c>
      <c r="B192" t="s">
        <v>241</v>
      </c>
      <c r="C192" t="s">
        <v>19</v>
      </c>
      <c r="D192" t="s">
        <v>20</v>
      </c>
      <c r="G192">
        <v>0.63</v>
      </c>
      <c r="H192">
        <v>0</v>
      </c>
      <c r="I192" t="s">
        <v>45</v>
      </c>
      <c r="J192" t="s">
        <v>22</v>
      </c>
      <c r="K192">
        <v>75.040000000000006</v>
      </c>
    </row>
    <row r="193" spans="1:11" x14ac:dyDescent="0.3">
      <c r="A193">
        <v>1191</v>
      </c>
      <c r="B193" t="s">
        <v>242</v>
      </c>
      <c r="C193" t="s">
        <v>28</v>
      </c>
      <c r="D193" t="s">
        <v>29</v>
      </c>
      <c r="F193">
        <v>2469.87</v>
      </c>
      <c r="G193">
        <v>0.56000000000000005</v>
      </c>
      <c r="H193">
        <v>0</v>
      </c>
      <c r="I193" t="s">
        <v>21</v>
      </c>
      <c r="J193" t="s">
        <v>15</v>
      </c>
      <c r="K193">
        <v>2860.2</v>
      </c>
    </row>
    <row r="194" spans="1:11" x14ac:dyDescent="0.3">
      <c r="A194">
        <v>1010</v>
      </c>
      <c r="B194" t="s">
        <v>243</v>
      </c>
      <c r="C194" t="s">
        <v>32</v>
      </c>
      <c r="D194" t="s">
        <v>33</v>
      </c>
      <c r="E194">
        <v>0</v>
      </c>
      <c r="H194">
        <v>0</v>
      </c>
      <c r="I194" t="s">
        <v>51</v>
      </c>
      <c r="J194" t="s">
        <v>15</v>
      </c>
      <c r="K194">
        <v>2709.47</v>
      </c>
    </row>
    <row r="195" spans="1:11" x14ac:dyDescent="0.3">
      <c r="A195">
        <v>1193</v>
      </c>
      <c r="B195" t="s">
        <v>244</v>
      </c>
      <c r="C195" t="s">
        <v>37</v>
      </c>
      <c r="D195" t="s">
        <v>38</v>
      </c>
      <c r="F195">
        <v>3031.06</v>
      </c>
      <c r="H195">
        <v>0</v>
      </c>
      <c r="I195" t="s">
        <v>45</v>
      </c>
      <c r="J195" t="s">
        <v>22</v>
      </c>
      <c r="K195">
        <v>-682.74</v>
      </c>
    </row>
    <row r="196" spans="1:11" x14ac:dyDescent="0.3">
      <c r="A196">
        <v>1032</v>
      </c>
      <c r="B196" t="s">
        <v>245</v>
      </c>
      <c r="C196" t="s">
        <v>28</v>
      </c>
      <c r="D196" t="s">
        <v>41</v>
      </c>
      <c r="H196">
        <v>0</v>
      </c>
      <c r="I196" t="s">
        <v>17</v>
      </c>
      <c r="J196" t="s">
        <v>15</v>
      </c>
      <c r="K196">
        <v>1941.65</v>
      </c>
    </row>
    <row r="197" spans="1:11" x14ac:dyDescent="0.3">
      <c r="A197">
        <v>1195</v>
      </c>
      <c r="B197" t="s">
        <v>246</v>
      </c>
      <c r="C197" t="s">
        <v>37</v>
      </c>
      <c r="D197" t="s">
        <v>62</v>
      </c>
      <c r="G197">
        <v>1.2</v>
      </c>
      <c r="H197">
        <v>0</v>
      </c>
      <c r="I197" t="s">
        <v>21</v>
      </c>
      <c r="J197" t="s">
        <v>15</v>
      </c>
      <c r="K197">
        <v>1059.17</v>
      </c>
    </row>
    <row r="198" spans="1:11" x14ac:dyDescent="0.3">
      <c r="A198">
        <v>1196</v>
      </c>
      <c r="B198" t="s">
        <v>247</v>
      </c>
      <c r="C198" t="s">
        <v>12</v>
      </c>
      <c r="D198" t="s">
        <v>13</v>
      </c>
      <c r="F198">
        <v>3959.06</v>
      </c>
      <c r="G198">
        <v>0.37</v>
      </c>
      <c r="H198">
        <v>0</v>
      </c>
      <c r="I198" t="s">
        <v>51</v>
      </c>
      <c r="J198" t="s">
        <v>22</v>
      </c>
      <c r="K198">
        <v>1539.5</v>
      </c>
    </row>
    <row r="199" spans="1:11" x14ac:dyDescent="0.3">
      <c r="A199">
        <v>1197</v>
      </c>
      <c r="B199" t="s">
        <v>248</v>
      </c>
      <c r="C199" t="s">
        <v>19</v>
      </c>
      <c r="D199" t="s">
        <v>87</v>
      </c>
      <c r="E199">
        <v>1</v>
      </c>
      <c r="H199">
        <v>0</v>
      </c>
      <c r="I199" t="s">
        <v>55</v>
      </c>
      <c r="J199" t="s">
        <v>22</v>
      </c>
      <c r="K199">
        <v>650.97</v>
      </c>
    </row>
    <row r="200" spans="1:11" x14ac:dyDescent="0.3">
      <c r="A200">
        <v>1198</v>
      </c>
      <c r="B200" t="s">
        <v>249</v>
      </c>
      <c r="C200" t="s">
        <v>28</v>
      </c>
      <c r="D200" t="s">
        <v>41</v>
      </c>
      <c r="E200">
        <v>3</v>
      </c>
      <c r="F200">
        <v>3594.97</v>
      </c>
      <c r="H200">
        <v>0</v>
      </c>
      <c r="I200" t="s">
        <v>14</v>
      </c>
      <c r="J200" t="s">
        <v>15</v>
      </c>
      <c r="K200">
        <v>2422.27</v>
      </c>
    </row>
    <row r="201" spans="1:11" x14ac:dyDescent="0.3">
      <c r="A201">
        <v>1199</v>
      </c>
      <c r="B201" t="s">
        <v>250</v>
      </c>
      <c r="C201" t="s">
        <v>24</v>
      </c>
      <c r="D201" t="s">
        <v>85</v>
      </c>
      <c r="F201">
        <v>2317.1</v>
      </c>
      <c r="H201">
        <v>0</v>
      </c>
      <c r="I201" t="s">
        <v>39</v>
      </c>
      <c r="K201">
        <v>2637.77</v>
      </c>
    </row>
    <row r="202" spans="1:11" x14ac:dyDescent="0.3">
      <c r="A202">
        <v>1200</v>
      </c>
      <c r="B202" t="s">
        <v>251</v>
      </c>
      <c r="C202" t="s">
        <v>24</v>
      </c>
      <c r="D202" t="s">
        <v>53</v>
      </c>
      <c r="E202">
        <v>4</v>
      </c>
      <c r="H202">
        <v>0</v>
      </c>
      <c r="I202" t="s">
        <v>51</v>
      </c>
      <c r="J202" t="s">
        <v>15</v>
      </c>
      <c r="K202">
        <v>2782.21</v>
      </c>
    </row>
    <row r="203" spans="1:11" x14ac:dyDescent="0.3">
      <c r="A203">
        <v>1201</v>
      </c>
      <c r="B203" t="s">
        <v>252</v>
      </c>
      <c r="C203" t="s">
        <v>19</v>
      </c>
      <c r="D203" t="s">
        <v>79</v>
      </c>
      <c r="E203">
        <v>2</v>
      </c>
      <c r="F203">
        <v>3507.85</v>
      </c>
      <c r="H203">
        <v>0</v>
      </c>
      <c r="I203" t="s">
        <v>45</v>
      </c>
      <c r="J203" t="s">
        <v>22</v>
      </c>
      <c r="K203">
        <v>1023.04</v>
      </c>
    </row>
    <row r="204" spans="1:11" x14ac:dyDescent="0.3">
      <c r="A204">
        <v>1202</v>
      </c>
      <c r="B204" t="s">
        <v>253</v>
      </c>
      <c r="C204" t="s">
        <v>28</v>
      </c>
      <c r="D204" t="s">
        <v>41</v>
      </c>
      <c r="H204">
        <v>0</v>
      </c>
      <c r="I204" t="s">
        <v>26</v>
      </c>
      <c r="J204" t="s">
        <v>15</v>
      </c>
      <c r="K204">
        <v>-207.53</v>
      </c>
    </row>
    <row r="205" spans="1:11" x14ac:dyDescent="0.3">
      <c r="A205">
        <v>1203</v>
      </c>
      <c r="B205" t="s">
        <v>254</v>
      </c>
      <c r="C205" t="s">
        <v>32</v>
      </c>
      <c r="D205" t="s">
        <v>33</v>
      </c>
      <c r="E205">
        <v>5</v>
      </c>
      <c r="H205">
        <v>0</v>
      </c>
      <c r="I205" t="s">
        <v>51</v>
      </c>
      <c r="J205" t="s">
        <v>15</v>
      </c>
      <c r="K205">
        <v>657.59</v>
      </c>
    </row>
    <row r="206" spans="1:11" x14ac:dyDescent="0.3">
      <c r="A206">
        <v>1204</v>
      </c>
      <c r="B206" t="s">
        <v>255</v>
      </c>
      <c r="C206" t="s">
        <v>24</v>
      </c>
      <c r="D206" t="s">
        <v>65</v>
      </c>
      <c r="F206">
        <v>4213.3999999999996</v>
      </c>
      <c r="H206">
        <v>0</v>
      </c>
      <c r="I206" t="s">
        <v>45</v>
      </c>
      <c r="J206" t="s">
        <v>22</v>
      </c>
      <c r="K206">
        <v>1867.53</v>
      </c>
    </row>
    <row r="207" spans="1:11" x14ac:dyDescent="0.3">
      <c r="A207">
        <v>1205</v>
      </c>
      <c r="B207" t="s">
        <v>256</v>
      </c>
      <c r="C207" t="s">
        <v>12</v>
      </c>
      <c r="D207" t="s">
        <v>13</v>
      </c>
      <c r="F207">
        <v>696.49</v>
      </c>
      <c r="H207">
        <v>0</v>
      </c>
      <c r="I207" t="s">
        <v>14</v>
      </c>
      <c r="J207" t="s">
        <v>15</v>
      </c>
      <c r="K207">
        <v>-24.51</v>
      </c>
    </row>
    <row r="208" spans="1:11" x14ac:dyDescent="0.3">
      <c r="A208">
        <v>1206</v>
      </c>
      <c r="B208" t="s">
        <v>257</v>
      </c>
      <c r="C208" t="s">
        <v>32</v>
      </c>
      <c r="D208" t="s">
        <v>71</v>
      </c>
      <c r="E208">
        <v>0</v>
      </c>
      <c r="H208">
        <v>0</v>
      </c>
      <c r="I208" t="s">
        <v>30</v>
      </c>
      <c r="K208">
        <v>2472.2399999999998</v>
      </c>
    </row>
    <row r="209" spans="1:11" x14ac:dyDescent="0.3">
      <c r="A209">
        <v>1207</v>
      </c>
      <c r="B209" t="s">
        <v>258</v>
      </c>
      <c r="C209" t="s">
        <v>12</v>
      </c>
      <c r="D209" t="s">
        <v>48</v>
      </c>
      <c r="F209">
        <v>563.14</v>
      </c>
      <c r="G209">
        <v>0.33</v>
      </c>
      <c r="H209">
        <v>0</v>
      </c>
      <c r="I209" t="s">
        <v>17</v>
      </c>
      <c r="J209" t="s">
        <v>22</v>
      </c>
      <c r="K209">
        <v>945.7</v>
      </c>
    </row>
    <row r="210" spans="1:11" x14ac:dyDescent="0.3">
      <c r="A210">
        <v>1208</v>
      </c>
      <c r="B210" t="s">
        <v>259</v>
      </c>
      <c r="C210" t="s">
        <v>19</v>
      </c>
      <c r="D210" t="s">
        <v>87</v>
      </c>
      <c r="E210">
        <v>1</v>
      </c>
      <c r="H210">
        <v>0</v>
      </c>
      <c r="I210" t="s">
        <v>21</v>
      </c>
      <c r="K210">
        <v>648.73</v>
      </c>
    </row>
    <row r="211" spans="1:11" x14ac:dyDescent="0.3">
      <c r="A211">
        <v>1209</v>
      </c>
      <c r="B211" t="s">
        <v>260</v>
      </c>
      <c r="C211" t="s">
        <v>28</v>
      </c>
      <c r="D211" t="s">
        <v>119</v>
      </c>
      <c r="F211">
        <v>4029.87</v>
      </c>
      <c r="H211">
        <v>0</v>
      </c>
      <c r="I211" t="s">
        <v>17</v>
      </c>
      <c r="K211">
        <v>1447.79</v>
      </c>
    </row>
    <row r="212" spans="1:11" x14ac:dyDescent="0.3">
      <c r="A212">
        <v>1210</v>
      </c>
      <c r="B212" t="s">
        <v>261</v>
      </c>
      <c r="C212" t="s">
        <v>28</v>
      </c>
      <c r="D212" t="s">
        <v>119</v>
      </c>
      <c r="E212">
        <v>4</v>
      </c>
      <c r="G212">
        <v>1.1599999999999999</v>
      </c>
      <c r="H212">
        <v>0</v>
      </c>
      <c r="I212" t="s">
        <v>14</v>
      </c>
      <c r="K212">
        <v>2179.54</v>
      </c>
    </row>
    <row r="213" spans="1:11" x14ac:dyDescent="0.3">
      <c r="A213">
        <v>1211</v>
      </c>
      <c r="B213" t="s">
        <v>262</v>
      </c>
      <c r="C213" t="s">
        <v>12</v>
      </c>
      <c r="D213" t="s">
        <v>101</v>
      </c>
      <c r="F213">
        <v>1560.37</v>
      </c>
      <c r="H213">
        <v>0</v>
      </c>
      <c r="I213" t="s">
        <v>17</v>
      </c>
      <c r="J213" t="s">
        <v>15</v>
      </c>
      <c r="K213">
        <v>2783.91</v>
      </c>
    </row>
    <row r="214" spans="1:11" x14ac:dyDescent="0.3">
      <c r="A214">
        <v>1212</v>
      </c>
      <c r="B214" t="s">
        <v>263</v>
      </c>
      <c r="C214" t="s">
        <v>24</v>
      </c>
      <c r="D214" t="s">
        <v>65</v>
      </c>
      <c r="E214">
        <v>-1</v>
      </c>
      <c r="F214">
        <v>4098.12</v>
      </c>
      <c r="H214">
        <v>0</v>
      </c>
      <c r="I214" t="s">
        <v>51</v>
      </c>
      <c r="K214">
        <v>-656.35</v>
      </c>
    </row>
    <row r="215" spans="1:11" x14ac:dyDescent="0.3">
      <c r="A215">
        <v>1213</v>
      </c>
      <c r="B215" t="s">
        <v>264</v>
      </c>
      <c r="C215" t="s">
        <v>32</v>
      </c>
      <c r="D215" t="s">
        <v>71</v>
      </c>
      <c r="H215">
        <v>0</v>
      </c>
      <c r="I215" t="s">
        <v>17</v>
      </c>
      <c r="K215">
        <v>1093.98</v>
      </c>
    </row>
    <row r="216" spans="1:11" x14ac:dyDescent="0.3">
      <c r="A216">
        <v>1214</v>
      </c>
      <c r="B216" t="s">
        <v>265</v>
      </c>
      <c r="C216" t="s">
        <v>19</v>
      </c>
      <c r="D216" t="s">
        <v>121</v>
      </c>
      <c r="E216">
        <v>4</v>
      </c>
      <c r="F216">
        <v>1273.5999999999999</v>
      </c>
      <c r="H216">
        <v>0</v>
      </c>
      <c r="I216" t="s">
        <v>51</v>
      </c>
      <c r="J216" t="s">
        <v>15</v>
      </c>
      <c r="K216">
        <v>1851.89</v>
      </c>
    </row>
    <row r="217" spans="1:11" x14ac:dyDescent="0.3">
      <c r="A217">
        <v>1215</v>
      </c>
      <c r="B217" t="s">
        <v>266</v>
      </c>
      <c r="C217" t="s">
        <v>32</v>
      </c>
      <c r="D217" t="s">
        <v>71</v>
      </c>
      <c r="E217">
        <v>6</v>
      </c>
      <c r="F217">
        <v>3802.27</v>
      </c>
      <c r="H217">
        <v>0</v>
      </c>
      <c r="I217" t="s">
        <v>17</v>
      </c>
      <c r="J217" t="s">
        <v>15</v>
      </c>
      <c r="K217">
        <v>-266.99</v>
      </c>
    </row>
    <row r="218" spans="1:11" x14ac:dyDescent="0.3">
      <c r="A218">
        <v>1216</v>
      </c>
      <c r="B218" t="s">
        <v>267</v>
      </c>
      <c r="C218" t="s">
        <v>32</v>
      </c>
      <c r="D218" t="s">
        <v>71</v>
      </c>
      <c r="E218">
        <v>6</v>
      </c>
      <c r="G218">
        <v>1.17</v>
      </c>
      <c r="H218">
        <v>0</v>
      </c>
      <c r="I218" t="s">
        <v>14</v>
      </c>
      <c r="J218" t="s">
        <v>22</v>
      </c>
      <c r="K218">
        <v>2986.8</v>
      </c>
    </row>
    <row r="219" spans="1:11" x14ac:dyDescent="0.3">
      <c r="A219">
        <v>1217</v>
      </c>
      <c r="B219" t="s">
        <v>268</v>
      </c>
      <c r="C219" t="s">
        <v>19</v>
      </c>
      <c r="D219" t="s">
        <v>87</v>
      </c>
      <c r="E219">
        <v>3</v>
      </c>
      <c r="F219">
        <v>2850.38</v>
      </c>
      <c r="H219">
        <v>0</v>
      </c>
      <c r="I219" t="s">
        <v>14</v>
      </c>
      <c r="J219" t="s">
        <v>15</v>
      </c>
      <c r="K219">
        <v>17.309999999999999</v>
      </c>
    </row>
    <row r="220" spans="1:11" x14ac:dyDescent="0.3">
      <c r="A220">
        <v>1218</v>
      </c>
      <c r="B220" t="s">
        <v>269</v>
      </c>
      <c r="C220" t="s">
        <v>37</v>
      </c>
      <c r="D220" t="s">
        <v>62</v>
      </c>
      <c r="E220">
        <v>3</v>
      </c>
      <c r="F220">
        <v>1544.45</v>
      </c>
      <c r="G220">
        <v>0.33</v>
      </c>
      <c r="H220">
        <v>3104.34</v>
      </c>
      <c r="I220" t="s">
        <v>51</v>
      </c>
      <c r="J220" t="s">
        <v>22</v>
      </c>
      <c r="K220">
        <v>707.56</v>
      </c>
    </row>
    <row r="221" spans="1:11" x14ac:dyDescent="0.3">
      <c r="A221">
        <v>1219</v>
      </c>
      <c r="B221" t="s">
        <v>270</v>
      </c>
      <c r="C221" t="s">
        <v>12</v>
      </c>
      <c r="D221" t="s">
        <v>48</v>
      </c>
      <c r="H221">
        <v>0</v>
      </c>
      <c r="I221" t="s">
        <v>26</v>
      </c>
      <c r="K221">
        <v>2206</v>
      </c>
    </row>
    <row r="222" spans="1:11" x14ac:dyDescent="0.3">
      <c r="A222">
        <v>1220</v>
      </c>
      <c r="B222" t="s">
        <v>271</v>
      </c>
      <c r="C222" t="s">
        <v>32</v>
      </c>
      <c r="D222" t="s">
        <v>43</v>
      </c>
      <c r="H222">
        <v>0</v>
      </c>
      <c r="I222" t="s">
        <v>26</v>
      </c>
      <c r="K222">
        <v>1598.22</v>
      </c>
    </row>
    <row r="223" spans="1:11" x14ac:dyDescent="0.3">
      <c r="A223">
        <v>1221</v>
      </c>
      <c r="B223" t="s">
        <v>272</v>
      </c>
      <c r="C223" t="s">
        <v>28</v>
      </c>
      <c r="D223" t="s">
        <v>29</v>
      </c>
      <c r="E223">
        <v>3</v>
      </c>
      <c r="H223">
        <v>0</v>
      </c>
      <c r="I223" t="s">
        <v>21</v>
      </c>
      <c r="J223" t="s">
        <v>22</v>
      </c>
      <c r="K223">
        <v>898.67</v>
      </c>
    </row>
    <row r="224" spans="1:11" x14ac:dyDescent="0.3">
      <c r="A224">
        <v>1222</v>
      </c>
      <c r="B224" t="s">
        <v>273</v>
      </c>
      <c r="C224" t="s">
        <v>32</v>
      </c>
      <c r="D224" t="s">
        <v>71</v>
      </c>
      <c r="F224">
        <v>683.85</v>
      </c>
      <c r="H224">
        <v>0</v>
      </c>
      <c r="I224" t="s">
        <v>45</v>
      </c>
      <c r="J224" t="s">
        <v>15</v>
      </c>
      <c r="K224">
        <v>1489.45</v>
      </c>
    </row>
    <row r="225" spans="1:11" x14ac:dyDescent="0.3">
      <c r="A225">
        <v>1223</v>
      </c>
      <c r="B225" t="s">
        <v>274</v>
      </c>
      <c r="C225" t="s">
        <v>32</v>
      </c>
      <c r="D225" t="s">
        <v>33</v>
      </c>
      <c r="H225">
        <v>0</v>
      </c>
      <c r="I225" t="s">
        <v>30</v>
      </c>
      <c r="J225" t="s">
        <v>22</v>
      </c>
      <c r="K225">
        <v>-531.04999999999995</v>
      </c>
    </row>
    <row r="226" spans="1:11" x14ac:dyDescent="0.3">
      <c r="A226">
        <v>1224</v>
      </c>
      <c r="B226" t="s">
        <v>275</v>
      </c>
      <c r="C226" t="s">
        <v>37</v>
      </c>
      <c r="D226" t="s">
        <v>62</v>
      </c>
      <c r="H226">
        <v>0</v>
      </c>
      <c r="I226" t="s">
        <v>17</v>
      </c>
      <c r="J226" t="s">
        <v>15</v>
      </c>
      <c r="K226">
        <v>2219.56</v>
      </c>
    </row>
    <row r="227" spans="1:11" x14ac:dyDescent="0.3">
      <c r="A227">
        <v>1225</v>
      </c>
      <c r="B227" t="s">
        <v>276</v>
      </c>
      <c r="C227" t="s">
        <v>24</v>
      </c>
      <c r="D227" t="s">
        <v>25</v>
      </c>
      <c r="E227">
        <v>-1</v>
      </c>
      <c r="F227">
        <v>1406.32</v>
      </c>
      <c r="G227">
        <v>1.05</v>
      </c>
      <c r="H227">
        <v>70.319999999999993</v>
      </c>
      <c r="I227" t="s">
        <v>39</v>
      </c>
      <c r="K227">
        <v>1937.71</v>
      </c>
    </row>
    <row r="228" spans="1:11" x14ac:dyDescent="0.3">
      <c r="A228">
        <v>1226</v>
      </c>
      <c r="B228" t="s">
        <v>277</v>
      </c>
      <c r="C228" t="s">
        <v>37</v>
      </c>
      <c r="D228" t="s">
        <v>90</v>
      </c>
      <c r="E228">
        <v>1</v>
      </c>
      <c r="G228">
        <v>1.1499999999999999</v>
      </c>
      <c r="H228">
        <v>0</v>
      </c>
      <c r="I228" t="s">
        <v>17</v>
      </c>
      <c r="J228" t="s">
        <v>22</v>
      </c>
      <c r="K228">
        <v>2806.56</v>
      </c>
    </row>
    <row r="229" spans="1:11" x14ac:dyDescent="0.3">
      <c r="A229">
        <v>1227</v>
      </c>
      <c r="B229" t="s">
        <v>278</v>
      </c>
      <c r="C229" t="s">
        <v>28</v>
      </c>
      <c r="D229" t="s">
        <v>41</v>
      </c>
      <c r="E229">
        <v>2</v>
      </c>
      <c r="G229">
        <v>0.25</v>
      </c>
      <c r="H229">
        <v>0</v>
      </c>
      <c r="I229" t="s">
        <v>30</v>
      </c>
      <c r="J229" t="s">
        <v>15</v>
      </c>
      <c r="K229">
        <v>2096.6799999999998</v>
      </c>
    </row>
    <row r="230" spans="1:11" x14ac:dyDescent="0.3">
      <c r="A230">
        <v>1048</v>
      </c>
      <c r="B230" t="s">
        <v>279</v>
      </c>
      <c r="C230" t="s">
        <v>28</v>
      </c>
      <c r="D230" t="s">
        <v>140</v>
      </c>
      <c r="F230">
        <v>2298.27</v>
      </c>
      <c r="G230">
        <v>0.59</v>
      </c>
      <c r="H230">
        <v>0</v>
      </c>
      <c r="I230" t="s">
        <v>45</v>
      </c>
      <c r="J230" t="s">
        <v>22</v>
      </c>
      <c r="K230">
        <v>2994.93</v>
      </c>
    </row>
    <row r="231" spans="1:11" x14ac:dyDescent="0.3">
      <c r="A231">
        <v>1229</v>
      </c>
      <c r="B231" t="s">
        <v>280</v>
      </c>
      <c r="C231" t="s">
        <v>37</v>
      </c>
      <c r="D231" t="s">
        <v>90</v>
      </c>
      <c r="H231">
        <v>0</v>
      </c>
      <c r="I231" t="s">
        <v>14</v>
      </c>
      <c r="K231">
        <v>925.22</v>
      </c>
    </row>
    <row r="232" spans="1:11" x14ac:dyDescent="0.3">
      <c r="A232">
        <v>1230</v>
      </c>
      <c r="B232" t="s">
        <v>281</v>
      </c>
      <c r="C232" t="s">
        <v>28</v>
      </c>
      <c r="D232" t="s">
        <v>119</v>
      </c>
      <c r="E232">
        <v>3</v>
      </c>
      <c r="G232">
        <v>1.2</v>
      </c>
      <c r="H232">
        <v>0</v>
      </c>
      <c r="I232" t="s">
        <v>55</v>
      </c>
      <c r="K232">
        <v>2725.11</v>
      </c>
    </row>
    <row r="233" spans="1:11" x14ac:dyDescent="0.3">
      <c r="A233">
        <v>1231</v>
      </c>
      <c r="B233" t="s">
        <v>282</v>
      </c>
      <c r="C233" t="s">
        <v>24</v>
      </c>
      <c r="D233" t="s">
        <v>65</v>
      </c>
      <c r="E233">
        <v>1</v>
      </c>
      <c r="F233">
        <v>1744.73</v>
      </c>
      <c r="H233">
        <v>0</v>
      </c>
      <c r="I233" t="s">
        <v>45</v>
      </c>
      <c r="J233" t="s">
        <v>22</v>
      </c>
      <c r="K233">
        <v>1393.69</v>
      </c>
    </row>
    <row r="234" spans="1:11" x14ac:dyDescent="0.3">
      <c r="A234">
        <v>1232</v>
      </c>
      <c r="B234" t="s">
        <v>283</v>
      </c>
      <c r="C234" t="s">
        <v>24</v>
      </c>
      <c r="D234" t="s">
        <v>53</v>
      </c>
      <c r="E234">
        <v>2</v>
      </c>
      <c r="F234">
        <v>2526.77</v>
      </c>
      <c r="H234">
        <v>0</v>
      </c>
      <c r="I234" t="s">
        <v>21</v>
      </c>
      <c r="J234" t="s">
        <v>15</v>
      </c>
      <c r="K234">
        <v>1494.67</v>
      </c>
    </row>
    <row r="235" spans="1:11" x14ac:dyDescent="0.3">
      <c r="A235">
        <v>1233</v>
      </c>
      <c r="B235" t="s">
        <v>284</v>
      </c>
      <c r="C235" t="s">
        <v>19</v>
      </c>
      <c r="D235" t="s">
        <v>20</v>
      </c>
      <c r="E235">
        <v>-1</v>
      </c>
      <c r="G235">
        <v>7.0000000000000007E-2</v>
      </c>
      <c r="H235">
        <v>0</v>
      </c>
      <c r="I235" t="s">
        <v>39</v>
      </c>
      <c r="K235">
        <v>2237.2399999999998</v>
      </c>
    </row>
    <row r="236" spans="1:11" x14ac:dyDescent="0.3">
      <c r="A236">
        <v>1234</v>
      </c>
      <c r="B236" t="s">
        <v>285</v>
      </c>
      <c r="C236" t="s">
        <v>12</v>
      </c>
      <c r="D236" t="s">
        <v>48</v>
      </c>
      <c r="F236">
        <v>1069.8800000000001</v>
      </c>
      <c r="G236">
        <v>0.05</v>
      </c>
      <c r="H236">
        <v>0</v>
      </c>
      <c r="I236" t="s">
        <v>45</v>
      </c>
      <c r="J236" t="s">
        <v>22</v>
      </c>
      <c r="K236">
        <v>110.58</v>
      </c>
    </row>
    <row r="237" spans="1:11" x14ac:dyDescent="0.3">
      <c r="A237">
        <v>1235</v>
      </c>
      <c r="B237" t="s">
        <v>286</v>
      </c>
      <c r="C237" t="s">
        <v>19</v>
      </c>
      <c r="D237" t="s">
        <v>79</v>
      </c>
      <c r="H237">
        <v>0</v>
      </c>
      <c r="I237" t="s">
        <v>55</v>
      </c>
      <c r="J237" t="s">
        <v>22</v>
      </c>
      <c r="K237">
        <v>-403.94</v>
      </c>
    </row>
    <row r="238" spans="1:11" x14ac:dyDescent="0.3">
      <c r="A238">
        <v>1036</v>
      </c>
      <c r="B238" t="s">
        <v>287</v>
      </c>
      <c r="C238" t="s">
        <v>32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t="s">
        <v>30</v>
      </c>
      <c r="K238">
        <v>605.03</v>
      </c>
    </row>
    <row r="239" spans="1:11" x14ac:dyDescent="0.3">
      <c r="A239">
        <v>1237</v>
      </c>
      <c r="B239" t="s">
        <v>288</v>
      </c>
      <c r="C239" t="s">
        <v>32</v>
      </c>
      <c r="D239" t="s">
        <v>71</v>
      </c>
      <c r="G239">
        <v>0.28999999999999998</v>
      </c>
      <c r="H239">
        <v>0</v>
      </c>
      <c r="I239" t="s">
        <v>45</v>
      </c>
      <c r="J239" t="s">
        <v>15</v>
      </c>
      <c r="K239">
        <v>-465.98</v>
      </c>
    </row>
    <row r="240" spans="1:11" x14ac:dyDescent="0.3">
      <c r="A240">
        <v>1238</v>
      </c>
      <c r="B240" t="s">
        <v>289</v>
      </c>
      <c r="C240" t="s">
        <v>24</v>
      </c>
      <c r="D240" t="s">
        <v>65</v>
      </c>
      <c r="H240">
        <v>0</v>
      </c>
      <c r="I240" t="s">
        <v>45</v>
      </c>
      <c r="K240">
        <v>2742.61</v>
      </c>
    </row>
    <row r="241" spans="1:11" x14ac:dyDescent="0.3">
      <c r="A241">
        <v>1239</v>
      </c>
      <c r="B241" t="s">
        <v>290</v>
      </c>
      <c r="C241" t="s">
        <v>32</v>
      </c>
      <c r="D241" t="s">
        <v>81</v>
      </c>
      <c r="E241">
        <v>4</v>
      </c>
      <c r="F241">
        <v>644.58000000000004</v>
      </c>
      <c r="H241">
        <v>0</v>
      </c>
      <c r="I241" t="s">
        <v>14</v>
      </c>
      <c r="J241" t="s">
        <v>22</v>
      </c>
      <c r="K241">
        <v>1097.8800000000001</v>
      </c>
    </row>
    <row r="242" spans="1:11" x14ac:dyDescent="0.3">
      <c r="A242">
        <v>1240</v>
      </c>
      <c r="B242" t="s">
        <v>291</v>
      </c>
      <c r="C242" t="s">
        <v>37</v>
      </c>
      <c r="D242" t="s">
        <v>38</v>
      </c>
      <c r="F242">
        <v>4634.13</v>
      </c>
      <c r="H242">
        <v>0</v>
      </c>
      <c r="I242" t="s">
        <v>39</v>
      </c>
      <c r="K242">
        <v>2625.44</v>
      </c>
    </row>
    <row r="243" spans="1:11" x14ac:dyDescent="0.3">
      <c r="A243">
        <v>1241</v>
      </c>
      <c r="B243" t="s">
        <v>292</v>
      </c>
      <c r="C243" t="s">
        <v>12</v>
      </c>
      <c r="D243" t="s">
        <v>13</v>
      </c>
      <c r="E243">
        <v>6</v>
      </c>
      <c r="F243">
        <v>3111.95</v>
      </c>
      <c r="H243">
        <v>0</v>
      </c>
      <c r="I243" t="s">
        <v>26</v>
      </c>
      <c r="K243">
        <v>2814.82</v>
      </c>
    </row>
    <row r="244" spans="1:11" x14ac:dyDescent="0.3">
      <c r="A244">
        <v>1242</v>
      </c>
      <c r="B244" t="s">
        <v>293</v>
      </c>
      <c r="C244" t="s">
        <v>12</v>
      </c>
      <c r="D244" t="s">
        <v>101</v>
      </c>
      <c r="E244">
        <v>-1</v>
      </c>
      <c r="H244">
        <v>0</v>
      </c>
      <c r="I244" t="s">
        <v>45</v>
      </c>
      <c r="J244" t="s">
        <v>22</v>
      </c>
      <c r="K244">
        <v>1576.74</v>
      </c>
    </row>
    <row r="245" spans="1:11" x14ac:dyDescent="0.3">
      <c r="A245">
        <v>1243</v>
      </c>
      <c r="B245" t="s">
        <v>294</v>
      </c>
      <c r="C245" t="s">
        <v>28</v>
      </c>
      <c r="D245" t="s">
        <v>140</v>
      </c>
      <c r="E245">
        <v>3</v>
      </c>
      <c r="G245">
        <v>0.69</v>
      </c>
      <c r="H245">
        <v>0</v>
      </c>
      <c r="I245" t="s">
        <v>17</v>
      </c>
      <c r="K245">
        <v>779.51</v>
      </c>
    </row>
    <row r="246" spans="1:11" x14ac:dyDescent="0.3">
      <c r="A246">
        <v>1244</v>
      </c>
      <c r="B246" t="s">
        <v>295</v>
      </c>
      <c r="C246" t="s">
        <v>37</v>
      </c>
      <c r="D246" t="s">
        <v>58</v>
      </c>
      <c r="E246">
        <v>6</v>
      </c>
      <c r="H246">
        <v>0</v>
      </c>
      <c r="I246" t="s">
        <v>17</v>
      </c>
      <c r="J246" t="s">
        <v>15</v>
      </c>
      <c r="K246">
        <v>2574.7600000000002</v>
      </c>
    </row>
    <row r="247" spans="1:11" x14ac:dyDescent="0.3">
      <c r="A247">
        <v>1245</v>
      </c>
      <c r="B247" t="s">
        <v>296</v>
      </c>
      <c r="C247" t="s">
        <v>32</v>
      </c>
      <c r="D247" t="s">
        <v>71</v>
      </c>
      <c r="F247">
        <v>1822.9</v>
      </c>
      <c r="H247">
        <v>0</v>
      </c>
      <c r="I247" t="s">
        <v>14</v>
      </c>
      <c r="K247">
        <v>1076.3399999999999</v>
      </c>
    </row>
    <row r="248" spans="1:11" x14ac:dyDescent="0.3">
      <c r="A248">
        <v>1246</v>
      </c>
      <c r="B248" t="s">
        <v>297</v>
      </c>
      <c r="C248" t="s">
        <v>37</v>
      </c>
      <c r="D248" t="s">
        <v>58</v>
      </c>
      <c r="E248">
        <v>0</v>
      </c>
      <c r="G248">
        <v>0.03</v>
      </c>
      <c r="H248">
        <v>0</v>
      </c>
      <c r="I248" t="s">
        <v>51</v>
      </c>
      <c r="K248">
        <v>733.8</v>
      </c>
    </row>
    <row r="249" spans="1:11" x14ac:dyDescent="0.3">
      <c r="A249">
        <v>1247</v>
      </c>
      <c r="B249" t="s">
        <v>298</v>
      </c>
      <c r="C249" t="s">
        <v>32</v>
      </c>
      <c r="D249" t="s">
        <v>33</v>
      </c>
      <c r="E249">
        <v>-1</v>
      </c>
      <c r="H249">
        <v>0</v>
      </c>
      <c r="I249" t="s">
        <v>55</v>
      </c>
      <c r="J249" t="s">
        <v>22</v>
      </c>
      <c r="K249">
        <v>1605.97</v>
      </c>
    </row>
    <row r="250" spans="1:11" x14ac:dyDescent="0.3">
      <c r="A250">
        <v>1248</v>
      </c>
      <c r="B250" t="s">
        <v>299</v>
      </c>
      <c r="C250" t="s">
        <v>28</v>
      </c>
      <c r="D250" t="s">
        <v>119</v>
      </c>
      <c r="G250">
        <v>1.24</v>
      </c>
      <c r="H250">
        <v>0</v>
      </c>
      <c r="I250" t="s">
        <v>21</v>
      </c>
      <c r="J250" t="s">
        <v>22</v>
      </c>
      <c r="K250">
        <v>397.41</v>
      </c>
    </row>
    <row r="251" spans="1:11" x14ac:dyDescent="0.3">
      <c r="A251">
        <v>1249</v>
      </c>
      <c r="B251" t="s">
        <v>300</v>
      </c>
      <c r="C251" t="s">
        <v>28</v>
      </c>
      <c r="D251" t="s">
        <v>140</v>
      </c>
      <c r="G251">
        <v>0.23</v>
      </c>
      <c r="H251">
        <v>0</v>
      </c>
      <c r="I251" t="s">
        <v>45</v>
      </c>
      <c r="K251">
        <v>809.89</v>
      </c>
    </row>
    <row r="252" spans="1:11" x14ac:dyDescent="0.3">
      <c r="A252">
        <v>1250</v>
      </c>
      <c r="B252" t="s">
        <v>301</v>
      </c>
      <c r="C252" t="s">
        <v>24</v>
      </c>
      <c r="D252" t="s">
        <v>65</v>
      </c>
      <c r="H252">
        <v>0</v>
      </c>
      <c r="I252" t="s">
        <v>14</v>
      </c>
      <c r="J252" t="s">
        <v>22</v>
      </c>
      <c r="K252">
        <v>1653.07</v>
      </c>
    </row>
    <row r="253" spans="1:11" x14ac:dyDescent="0.3">
      <c r="A253">
        <v>1251</v>
      </c>
      <c r="B253" t="s">
        <v>302</v>
      </c>
      <c r="C253" t="s">
        <v>37</v>
      </c>
      <c r="D253" t="s">
        <v>38</v>
      </c>
      <c r="E253">
        <v>2</v>
      </c>
      <c r="F253">
        <v>4841.3999999999996</v>
      </c>
      <c r="G253">
        <v>0.6</v>
      </c>
      <c r="H253">
        <v>3873.12</v>
      </c>
      <c r="I253" t="s">
        <v>45</v>
      </c>
      <c r="K253">
        <v>578.37</v>
      </c>
    </row>
    <row r="254" spans="1:11" x14ac:dyDescent="0.3">
      <c r="A254">
        <v>1252</v>
      </c>
      <c r="B254" t="s">
        <v>303</v>
      </c>
      <c r="C254" t="s">
        <v>32</v>
      </c>
      <c r="D254" t="s">
        <v>71</v>
      </c>
      <c r="E254">
        <v>6</v>
      </c>
      <c r="F254">
        <v>1638.51</v>
      </c>
      <c r="G254">
        <v>0.88</v>
      </c>
      <c r="H254">
        <v>1179.73</v>
      </c>
      <c r="I254" t="s">
        <v>21</v>
      </c>
      <c r="J254" t="s">
        <v>15</v>
      </c>
      <c r="K254">
        <v>1484.7</v>
      </c>
    </row>
    <row r="255" spans="1:11" x14ac:dyDescent="0.3">
      <c r="A255">
        <v>1253</v>
      </c>
      <c r="B255" t="s">
        <v>304</v>
      </c>
      <c r="C255" t="s">
        <v>37</v>
      </c>
      <c r="D255" t="s">
        <v>62</v>
      </c>
      <c r="H255">
        <v>0</v>
      </c>
      <c r="I255" t="s">
        <v>26</v>
      </c>
      <c r="J255" t="s">
        <v>22</v>
      </c>
      <c r="K255">
        <v>2512.63</v>
      </c>
    </row>
    <row r="256" spans="1:11" x14ac:dyDescent="0.3">
      <c r="A256">
        <v>1254</v>
      </c>
      <c r="B256" t="s">
        <v>305</v>
      </c>
      <c r="C256" t="s">
        <v>24</v>
      </c>
      <c r="D256" t="s">
        <v>65</v>
      </c>
      <c r="E256">
        <v>6</v>
      </c>
      <c r="H256">
        <v>0</v>
      </c>
      <c r="I256" t="s">
        <v>21</v>
      </c>
      <c r="J256" t="s">
        <v>22</v>
      </c>
      <c r="K256">
        <v>2418.9899999999998</v>
      </c>
    </row>
    <row r="257" spans="1:11" x14ac:dyDescent="0.3">
      <c r="A257">
        <v>1255</v>
      </c>
      <c r="B257" t="s">
        <v>306</v>
      </c>
      <c r="C257" t="s">
        <v>32</v>
      </c>
      <c r="D257" t="s">
        <v>71</v>
      </c>
      <c r="E257">
        <v>4</v>
      </c>
      <c r="F257">
        <v>1849.68</v>
      </c>
      <c r="H257">
        <v>0</v>
      </c>
      <c r="I257" t="s">
        <v>51</v>
      </c>
      <c r="J257" t="s">
        <v>15</v>
      </c>
      <c r="K257">
        <v>-706.09</v>
      </c>
    </row>
    <row r="258" spans="1:11" x14ac:dyDescent="0.3">
      <c r="A258">
        <v>1256</v>
      </c>
      <c r="B258" t="s">
        <v>307</v>
      </c>
      <c r="C258" t="s">
        <v>19</v>
      </c>
      <c r="D258" t="s">
        <v>79</v>
      </c>
      <c r="F258">
        <v>1801.38</v>
      </c>
      <c r="H258">
        <v>0</v>
      </c>
      <c r="I258" t="s">
        <v>26</v>
      </c>
      <c r="J258" t="s">
        <v>15</v>
      </c>
      <c r="K258">
        <v>2071.1</v>
      </c>
    </row>
    <row r="259" spans="1:11" x14ac:dyDescent="0.3">
      <c r="A259">
        <v>1257</v>
      </c>
      <c r="B259" t="s">
        <v>308</v>
      </c>
      <c r="C259" t="s">
        <v>12</v>
      </c>
      <c r="D259" t="s">
        <v>48</v>
      </c>
      <c r="F259">
        <v>1228.78</v>
      </c>
      <c r="H259">
        <v>0</v>
      </c>
      <c r="I259" t="s">
        <v>17</v>
      </c>
      <c r="J259" t="s">
        <v>15</v>
      </c>
      <c r="K259">
        <v>-83.19</v>
      </c>
    </row>
    <row r="260" spans="1:11" x14ac:dyDescent="0.3">
      <c r="A260">
        <v>1258</v>
      </c>
      <c r="B260" t="s">
        <v>309</v>
      </c>
      <c r="C260" t="s">
        <v>37</v>
      </c>
      <c r="D260" t="s">
        <v>90</v>
      </c>
      <c r="E260">
        <v>-2</v>
      </c>
      <c r="F260">
        <v>4313.38</v>
      </c>
      <c r="H260">
        <v>0</v>
      </c>
      <c r="I260" t="s">
        <v>14</v>
      </c>
      <c r="J260" t="s">
        <v>15</v>
      </c>
      <c r="K260">
        <v>2636.96</v>
      </c>
    </row>
    <row r="261" spans="1:11" x14ac:dyDescent="0.3">
      <c r="A261">
        <v>1259</v>
      </c>
      <c r="B261" t="s">
        <v>310</v>
      </c>
      <c r="C261" t="s">
        <v>24</v>
      </c>
      <c r="D261" t="s">
        <v>85</v>
      </c>
      <c r="E261">
        <v>-2</v>
      </c>
      <c r="F261">
        <v>3396.92</v>
      </c>
      <c r="H261">
        <v>0</v>
      </c>
      <c r="I261" t="s">
        <v>17</v>
      </c>
      <c r="K261">
        <v>-830.5</v>
      </c>
    </row>
    <row r="262" spans="1:11" x14ac:dyDescent="0.3">
      <c r="A262">
        <v>1260</v>
      </c>
      <c r="B262" t="s">
        <v>311</v>
      </c>
      <c r="C262" t="s">
        <v>37</v>
      </c>
      <c r="D262" t="s">
        <v>58</v>
      </c>
      <c r="E262">
        <v>2</v>
      </c>
      <c r="H262">
        <v>0</v>
      </c>
      <c r="I262" t="s">
        <v>14</v>
      </c>
      <c r="J262" t="s">
        <v>22</v>
      </c>
      <c r="K262">
        <v>-817.8</v>
      </c>
    </row>
    <row r="263" spans="1:11" x14ac:dyDescent="0.3">
      <c r="A263">
        <v>1012</v>
      </c>
      <c r="B263" t="s">
        <v>312</v>
      </c>
      <c r="C263" t="s">
        <v>12</v>
      </c>
      <c r="D263" t="s">
        <v>35</v>
      </c>
      <c r="F263">
        <v>4129.37</v>
      </c>
      <c r="H263">
        <v>0</v>
      </c>
      <c r="I263" t="s">
        <v>14</v>
      </c>
      <c r="J263" t="s">
        <v>22</v>
      </c>
      <c r="K263">
        <v>2328.1</v>
      </c>
    </row>
    <row r="264" spans="1:11" x14ac:dyDescent="0.3">
      <c r="A264">
        <v>1262</v>
      </c>
      <c r="B264" t="s">
        <v>313</v>
      </c>
      <c r="C264" t="s">
        <v>28</v>
      </c>
      <c r="D264" t="s">
        <v>119</v>
      </c>
      <c r="E264">
        <v>2</v>
      </c>
      <c r="G264">
        <v>0.52</v>
      </c>
      <c r="H264">
        <v>0</v>
      </c>
      <c r="I264" t="s">
        <v>26</v>
      </c>
      <c r="J264" t="s">
        <v>22</v>
      </c>
      <c r="K264">
        <v>786.25</v>
      </c>
    </row>
    <row r="265" spans="1:11" x14ac:dyDescent="0.3">
      <c r="A265">
        <v>1263</v>
      </c>
      <c r="B265" t="s">
        <v>314</v>
      </c>
      <c r="C265" t="s">
        <v>24</v>
      </c>
      <c r="D265" t="s">
        <v>65</v>
      </c>
      <c r="F265">
        <v>2542.7199999999998</v>
      </c>
      <c r="H265">
        <v>0</v>
      </c>
      <c r="I265" t="s">
        <v>14</v>
      </c>
      <c r="K265">
        <v>-136.41</v>
      </c>
    </row>
    <row r="266" spans="1:11" x14ac:dyDescent="0.3">
      <c r="A266">
        <v>1264</v>
      </c>
      <c r="B266" t="s">
        <v>315</v>
      </c>
      <c r="C266" t="s">
        <v>32</v>
      </c>
      <c r="D266" t="s">
        <v>81</v>
      </c>
      <c r="F266">
        <v>3382.08</v>
      </c>
      <c r="H266">
        <v>0</v>
      </c>
      <c r="I266" t="s">
        <v>14</v>
      </c>
      <c r="K266">
        <v>1647.48</v>
      </c>
    </row>
    <row r="267" spans="1:11" x14ac:dyDescent="0.3">
      <c r="A267">
        <v>1265</v>
      </c>
      <c r="B267" t="s">
        <v>316</v>
      </c>
      <c r="C267" t="s">
        <v>32</v>
      </c>
      <c r="D267" t="s">
        <v>81</v>
      </c>
      <c r="E267">
        <v>0</v>
      </c>
      <c r="F267">
        <v>721.41</v>
      </c>
      <c r="G267">
        <v>1.1599999999999999</v>
      </c>
      <c r="H267">
        <v>0</v>
      </c>
      <c r="I267" t="s">
        <v>51</v>
      </c>
      <c r="J267" t="s">
        <v>15</v>
      </c>
      <c r="K267">
        <v>1718.95</v>
      </c>
    </row>
    <row r="268" spans="1:11" x14ac:dyDescent="0.3">
      <c r="A268">
        <v>1266</v>
      </c>
      <c r="B268" t="s">
        <v>317</v>
      </c>
      <c r="C268" t="s">
        <v>24</v>
      </c>
      <c r="D268" t="s">
        <v>65</v>
      </c>
      <c r="G268">
        <v>1.1200000000000001</v>
      </c>
      <c r="H268">
        <v>0</v>
      </c>
      <c r="I268" t="s">
        <v>14</v>
      </c>
      <c r="J268" t="s">
        <v>15</v>
      </c>
      <c r="K268">
        <v>1024.8599999999999</v>
      </c>
    </row>
    <row r="269" spans="1:11" x14ac:dyDescent="0.3">
      <c r="A269">
        <v>1267</v>
      </c>
      <c r="B269" t="s">
        <v>318</v>
      </c>
      <c r="C269" t="s">
        <v>19</v>
      </c>
      <c r="D269" t="s">
        <v>79</v>
      </c>
      <c r="E269">
        <v>3</v>
      </c>
      <c r="F269">
        <v>3255.23</v>
      </c>
      <c r="H269">
        <v>0</v>
      </c>
      <c r="I269" t="s">
        <v>14</v>
      </c>
      <c r="J269" t="s">
        <v>22</v>
      </c>
      <c r="K269">
        <v>650.79999999999995</v>
      </c>
    </row>
    <row r="270" spans="1:11" x14ac:dyDescent="0.3">
      <c r="A270">
        <v>1268</v>
      </c>
      <c r="B270" t="s">
        <v>319</v>
      </c>
      <c r="C270" t="s">
        <v>19</v>
      </c>
      <c r="D270" t="s">
        <v>87</v>
      </c>
      <c r="E270">
        <v>1</v>
      </c>
      <c r="G270">
        <v>1.03</v>
      </c>
      <c r="H270">
        <v>0</v>
      </c>
      <c r="I270" t="s">
        <v>45</v>
      </c>
      <c r="K270">
        <v>2668.22</v>
      </c>
    </row>
    <row r="271" spans="1:11" x14ac:dyDescent="0.3">
      <c r="A271">
        <v>1269</v>
      </c>
      <c r="B271" t="s">
        <v>320</v>
      </c>
      <c r="C271" t="s">
        <v>32</v>
      </c>
      <c r="D271" t="s">
        <v>81</v>
      </c>
      <c r="H271">
        <v>0</v>
      </c>
      <c r="I271" t="s">
        <v>21</v>
      </c>
      <c r="K271">
        <v>483.01</v>
      </c>
    </row>
    <row r="272" spans="1:11" x14ac:dyDescent="0.3">
      <c r="A272">
        <v>1270</v>
      </c>
      <c r="B272" t="s">
        <v>321</v>
      </c>
      <c r="C272" t="s">
        <v>32</v>
      </c>
      <c r="D272" t="s">
        <v>81</v>
      </c>
      <c r="E272">
        <v>0</v>
      </c>
      <c r="F272">
        <v>4446.82</v>
      </c>
      <c r="H272">
        <v>0</v>
      </c>
      <c r="I272" t="s">
        <v>51</v>
      </c>
      <c r="J272" t="s">
        <v>22</v>
      </c>
      <c r="K272">
        <v>-293.05</v>
      </c>
    </row>
    <row r="273" spans="1:11" x14ac:dyDescent="0.3">
      <c r="A273">
        <v>1271</v>
      </c>
      <c r="B273" t="s">
        <v>322</v>
      </c>
      <c r="C273" t="s">
        <v>32</v>
      </c>
      <c r="D273" t="s">
        <v>43</v>
      </c>
      <c r="H273">
        <v>0</v>
      </c>
      <c r="I273" t="s">
        <v>39</v>
      </c>
      <c r="J273" t="s">
        <v>22</v>
      </c>
      <c r="K273">
        <v>1295.93</v>
      </c>
    </row>
    <row r="274" spans="1:11" x14ac:dyDescent="0.3">
      <c r="A274">
        <v>1272</v>
      </c>
      <c r="B274" t="s">
        <v>323</v>
      </c>
      <c r="C274" t="s">
        <v>28</v>
      </c>
      <c r="D274" t="s">
        <v>29</v>
      </c>
      <c r="F274">
        <v>1429.94</v>
      </c>
      <c r="H274">
        <v>0</v>
      </c>
      <c r="I274" t="s">
        <v>51</v>
      </c>
      <c r="J274" t="s">
        <v>22</v>
      </c>
      <c r="K274">
        <v>484.51</v>
      </c>
    </row>
    <row r="275" spans="1:11" x14ac:dyDescent="0.3">
      <c r="A275">
        <v>1273</v>
      </c>
      <c r="B275" t="s">
        <v>324</v>
      </c>
      <c r="C275" t="s">
        <v>32</v>
      </c>
      <c r="D275" t="s">
        <v>43</v>
      </c>
      <c r="H275">
        <v>0</v>
      </c>
      <c r="I275" t="s">
        <v>51</v>
      </c>
      <c r="J275" t="s">
        <v>15</v>
      </c>
      <c r="K275">
        <v>-431.92</v>
      </c>
    </row>
    <row r="276" spans="1:11" x14ac:dyDescent="0.3">
      <c r="A276">
        <v>1274</v>
      </c>
      <c r="B276" t="s">
        <v>325</v>
      </c>
      <c r="C276" t="s">
        <v>37</v>
      </c>
      <c r="D276" t="s">
        <v>62</v>
      </c>
      <c r="G276">
        <v>0.59</v>
      </c>
      <c r="H276">
        <v>0</v>
      </c>
      <c r="I276" t="s">
        <v>17</v>
      </c>
      <c r="J276" t="s">
        <v>22</v>
      </c>
      <c r="K276">
        <v>62.98</v>
      </c>
    </row>
    <row r="277" spans="1:11" x14ac:dyDescent="0.3">
      <c r="A277">
        <v>1275</v>
      </c>
      <c r="B277" t="s">
        <v>326</v>
      </c>
      <c r="C277" t="s">
        <v>37</v>
      </c>
      <c r="D277" t="s">
        <v>38</v>
      </c>
      <c r="E277">
        <v>3</v>
      </c>
      <c r="F277">
        <v>4132</v>
      </c>
      <c r="H277">
        <v>0</v>
      </c>
      <c r="I277" t="s">
        <v>26</v>
      </c>
      <c r="J277" t="s">
        <v>22</v>
      </c>
      <c r="K277">
        <v>2732.47</v>
      </c>
    </row>
    <row r="278" spans="1:11" x14ac:dyDescent="0.3">
      <c r="A278">
        <v>1276</v>
      </c>
      <c r="B278" t="s">
        <v>327</v>
      </c>
      <c r="C278" t="s">
        <v>24</v>
      </c>
      <c r="D278" t="s">
        <v>85</v>
      </c>
      <c r="F278">
        <v>3243.45</v>
      </c>
      <c r="G278">
        <v>0.61</v>
      </c>
      <c r="H278">
        <v>0</v>
      </c>
      <c r="I278" t="s">
        <v>21</v>
      </c>
      <c r="K278">
        <v>-869.12</v>
      </c>
    </row>
    <row r="279" spans="1:11" x14ac:dyDescent="0.3">
      <c r="A279">
        <v>1277</v>
      </c>
      <c r="B279" t="s">
        <v>328</v>
      </c>
      <c r="C279" t="s">
        <v>28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t="s">
        <v>14</v>
      </c>
      <c r="J279" t="s">
        <v>15</v>
      </c>
      <c r="K279">
        <v>1255.6600000000001</v>
      </c>
    </row>
    <row r="280" spans="1:11" x14ac:dyDescent="0.3">
      <c r="A280">
        <v>1278</v>
      </c>
      <c r="B280" t="s">
        <v>329</v>
      </c>
      <c r="C280" t="s">
        <v>28</v>
      </c>
      <c r="D280" t="s">
        <v>41</v>
      </c>
      <c r="F280">
        <v>3550.91</v>
      </c>
      <c r="H280">
        <v>0</v>
      </c>
      <c r="I280" t="s">
        <v>14</v>
      </c>
      <c r="J280" t="s">
        <v>15</v>
      </c>
      <c r="K280">
        <v>466.53</v>
      </c>
    </row>
    <row r="281" spans="1:11" x14ac:dyDescent="0.3">
      <c r="A281">
        <v>1279</v>
      </c>
      <c r="B281" t="s">
        <v>330</v>
      </c>
      <c r="C281" t="s">
        <v>24</v>
      </c>
      <c r="D281" t="s">
        <v>85</v>
      </c>
      <c r="F281">
        <v>2600.33</v>
      </c>
      <c r="H281">
        <v>0</v>
      </c>
      <c r="I281" t="s">
        <v>17</v>
      </c>
      <c r="J281" t="s">
        <v>15</v>
      </c>
      <c r="K281">
        <v>1430.67</v>
      </c>
    </row>
    <row r="282" spans="1:11" x14ac:dyDescent="0.3">
      <c r="A282">
        <v>1280</v>
      </c>
      <c r="B282" t="s">
        <v>331</v>
      </c>
      <c r="C282" t="s">
        <v>32</v>
      </c>
      <c r="D282" t="s">
        <v>33</v>
      </c>
      <c r="E282">
        <v>3</v>
      </c>
      <c r="H282">
        <v>0</v>
      </c>
      <c r="I282" t="s">
        <v>17</v>
      </c>
      <c r="J282" t="s">
        <v>22</v>
      </c>
      <c r="K282">
        <v>263.41000000000003</v>
      </c>
    </row>
    <row r="283" spans="1:11" x14ac:dyDescent="0.3">
      <c r="A283">
        <v>1003</v>
      </c>
      <c r="B283" t="s">
        <v>332</v>
      </c>
      <c r="C283" t="s">
        <v>19</v>
      </c>
      <c r="D283" t="s">
        <v>20</v>
      </c>
      <c r="E283">
        <v>-2</v>
      </c>
      <c r="F283">
        <v>548.19000000000005</v>
      </c>
      <c r="H283">
        <v>0</v>
      </c>
      <c r="I283" t="s">
        <v>21</v>
      </c>
      <c r="K283">
        <v>259.02999999999997</v>
      </c>
    </row>
    <row r="284" spans="1:11" x14ac:dyDescent="0.3">
      <c r="A284">
        <v>1282</v>
      </c>
      <c r="B284" t="s">
        <v>333</v>
      </c>
      <c r="C284" t="s">
        <v>24</v>
      </c>
      <c r="D284" t="s">
        <v>25</v>
      </c>
      <c r="E284">
        <v>-1</v>
      </c>
      <c r="G284">
        <v>0.14000000000000001</v>
      </c>
      <c r="H284">
        <v>0</v>
      </c>
      <c r="I284" t="s">
        <v>21</v>
      </c>
      <c r="J284" t="s">
        <v>22</v>
      </c>
      <c r="K284">
        <v>-909.75</v>
      </c>
    </row>
    <row r="285" spans="1:11" x14ac:dyDescent="0.3">
      <c r="A285">
        <v>1283</v>
      </c>
      <c r="B285" t="s">
        <v>334</v>
      </c>
      <c r="C285" t="s">
        <v>24</v>
      </c>
      <c r="D285" t="s">
        <v>65</v>
      </c>
      <c r="G285">
        <v>0.08</v>
      </c>
      <c r="H285">
        <v>0</v>
      </c>
      <c r="I285" t="s">
        <v>55</v>
      </c>
      <c r="J285" t="s">
        <v>22</v>
      </c>
      <c r="K285">
        <v>379.24</v>
      </c>
    </row>
    <row r="286" spans="1:11" x14ac:dyDescent="0.3">
      <c r="A286">
        <v>1284</v>
      </c>
      <c r="B286" t="s">
        <v>335</v>
      </c>
      <c r="C286" t="s">
        <v>19</v>
      </c>
      <c r="D286" t="s">
        <v>20</v>
      </c>
      <c r="F286">
        <v>1500.19</v>
      </c>
      <c r="H286">
        <v>0</v>
      </c>
      <c r="I286" t="s">
        <v>51</v>
      </c>
      <c r="K286">
        <v>-348.48</v>
      </c>
    </row>
    <row r="287" spans="1:11" x14ac:dyDescent="0.3">
      <c r="A287">
        <v>1285</v>
      </c>
      <c r="B287" t="s">
        <v>336</v>
      </c>
      <c r="C287" t="s">
        <v>28</v>
      </c>
      <c r="D287" t="s">
        <v>29</v>
      </c>
      <c r="E287">
        <v>5</v>
      </c>
      <c r="H287">
        <v>0</v>
      </c>
      <c r="I287" t="s">
        <v>14</v>
      </c>
      <c r="K287">
        <v>2024.84</v>
      </c>
    </row>
    <row r="288" spans="1:11" x14ac:dyDescent="0.3">
      <c r="A288">
        <v>1286</v>
      </c>
      <c r="B288" t="s">
        <v>337</v>
      </c>
      <c r="C288" t="s">
        <v>32</v>
      </c>
      <c r="D288" t="s">
        <v>81</v>
      </c>
      <c r="F288">
        <v>2972.45</v>
      </c>
      <c r="H288">
        <v>0</v>
      </c>
      <c r="I288" t="s">
        <v>21</v>
      </c>
      <c r="J288" t="s">
        <v>15</v>
      </c>
      <c r="K288">
        <v>2562.54</v>
      </c>
    </row>
    <row r="289" spans="1:11" x14ac:dyDescent="0.3">
      <c r="A289">
        <v>1287</v>
      </c>
      <c r="B289" t="s">
        <v>338</v>
      </c>
      <c r="C289" t="s">
        <v>12</v>
      </c>
      <c r="D289" t="s">
        <v>13</v>
      </c>
      <c r="H289">
        <v>0</v>
      </c>
      <c r="I289" t="s">
        <v>26</v>
      </c>
      <c r="J289" t="s">
        <v>22</v>
      </c>
      <c r="K289">
        <v>802.66</v>
      </c>
    </row>
    <row r="290" spans="1:11" x14ac:dyDescent="0.3">
      <c r="A290">
        <v>1288</v>
      </c>
      <c r="B290" t="s">
        <v>339</v>
      </c>
      <c r="C290" t="s">
        <v>24</v>
      </c>
      <c r="D290" t="s">
        <v>65</v>
      </c>
      <c r="E290">
        <v>4</v>
      </c>
      <c r="H290">
        <v>0</v>
      </c>
      <c r="I290" t="s">
        <v>14</v>
      </c>
      <c r="J290" t="s">
        <v>22</v>
      </c>
      <c r="K290">
        <v>-492.73</v>
      </c>
    </row>
    <row r="291" spans="1:11" x14ac:dyDescent="0.3">
      <c r="A291">
        <v>1289</v>
      </c>
      <c r="B291" t="s">
        <v>340</v>
      </c>
      <c r="C291" t="s">
        <v>19</v>
      </c>
      <c r="D291" t="s">
        <v>87</v>
      </c>
      <c r="F291">
        <v>3590.85</v>
      </c>
      <c r="H291">
        <v>0</v>
      </c>
      <c r="I291" t="s">
        <v>21</v>
      </c>
      <c r="J291" t="s">
        <v>15</v>
      </c>
      <c r="K291">
        <v>2052.5700000000002</v>
      </c>
    </row>
    <row r="292" spans="1:11" x14ac:dyDescent="0.3">
      <c r="A292">
        <v>1290</v>
      </c>
      <c r="B292" t="s">
        <v>341</v>
      </c>
      <c r="C292" t="s">
        <v>12</v>
      </c>
      <c r="D292" t="s">
        <v>13</v>
      </c>
      <c r="F292">
        <v>1412.12</v>
      </c>
      <c r="G292">
        <v>1.2</v>
      </c>
      <c r="H292">
        <v>0</v>
      </c>
      <c r="I292" t="s">
        <v>14</v>
      </c>
      <c r="J292" t="s">
        <v>22</v>
      </c>
      <c r="K292">
        <v>430.92</v>
      </c>
    </row>
    <row r="293" spans="1:11" x14ac:dyDescent="0.3">
      <c r="A293">
        <v>1291</v>
      </c>
      <c r="B293" t="s">
        <v>342</v>
      </c>
      <c r="C293" t="s">
        <v>19</v>
      </c>
      <c r="D293" t="s">
        <v>20</v>
      </c>
      <c r="H293">
        <v>0</v>
      </c>
      <c r="I293" t="s">
        <v>51</v>
      </c>
      <c r="K293">
        <v>1073.44</v>
      </c>
    </row>
    <row r="294" spans="1:11" x14ac:dyDescent="0.3">
      <c r="A294">
        <v>1292</v>
      </c>
      <c r="B294" t="s">
        <v>343</v>
      </c>
      <c r="C294" t="s">
        <v>37</v>
      </c>
      <c r="D294" t="s">
        <v>58</v>
      </c>
      <c r="E294">
        <v>3</v>
      </c>
      <c r="G294">
        <v>0.46</v>
      </c>
      <c r="H294">
        <v>0</v>
      </c>
      <c r="I294" t="s">
        <v>21</v>
      </c>
      <c r="K294">
        <v>1165.8599999999999</v>
      </c>
    </row>
    <row r="295" spans="1:11" x14ac:dyDescent="0.3">
      <c r="A295">
        <v>1293</v>
      </c>
      <c r="B295" t="s">
        <v>344</v>
      </c>
      <c r="C295" t="s">
        <v>19</v>
      </c>
      <c r="D295" t="s">
        <v>87</v>
      </c>
      <c r="H295">
        <v>0</v>
      </c>
      <c r="I295" t="s">
        <v>30</v>
      </c>
      <c r="J295" t="s">
        <v>22</v>
      </c>
      <c r="K295">
        <v>2073.16</v>
      </c>
    </row>
    <row r="296" spans="1:11" x14ac:dyDescent="0.3">
      <c r="A296">
        <v>1294</v>
      </c>
      <c r="B296" t="s">
        <v>345</v>
      </c>
      <c r="C296" t="s">
        <v>28</v>
      </c>
      <c r="D296" t="s">
        <v>119</v>
      </c>
      <c r="G296">
        <v>0.56000000000000005</v>
      </c>
      <c r="H296">
        <v>0</v>
      </c>
      <c r="I296" t="s">
        <v>14</v>
      </c>
      <c r="J296" t="s">
        <v>22</v>
      </c>
      <c r="K296">
        <v>898.24</v>
      </c>
    </row>
    <row r="297" spans="1:11" x14ac:dyDescent="0.3">
      <c r="A297">
        <v>1295</v>
      </c>
      <c r="B297" t="s">
        <v>346</v>
      </c>
      <c r="C297" t="s">
        <v>19</v>
      </c>
      <c r="D297" t="s">
        <v>121</v>
      </c>
      <c r="E297">
        <v>-1</v>
      </c>
      <c r="H297">
        <v>0</v>
      </c>
      <c r="I297" t="s">
        <v>39</v>
      </c>
      <c r="J297" t="s">
        <v>15</v>
      </c>
      <c r="K297">
        <v>2967.72</v>
      </c>
    </row>
    <row r="298" spans="1:11" x14ac:dyDescent="0.3">
      <c r="A298">
        <v>1296</v>
      </c>
      <c r="B298" t="s">
        <v>347</v>
      </c>
      <c r="C298" t="s">
        <v>12</v>
      </c>
      <c r="D298" t="s">
        <v>13</v>
      </c>
      <c r="E298">
        <v>-2</v>
      </c>
      <c r="F298">
        <v>2795.79</v>
      </c>
      <c r="H298">
        <v>0</v>
      </c>
      <c r="I298" t="s">
        <v>26</v>
      </c>
      <c r="J298" t="s">
        <v>22</v>
      </c>
      <c r="K298">
        <v>1438.47</v>
      </c>
    </row>
    <row r="299" spans="1:11" x14ac:dyDescent="0.3">
      <c r="A299">
        <v>1297</v>
      </c>
      <c r="B299" t="s">
        <v>348</v>
      </c>
      <c r="C299" t="s">
        <v>19</v>
      </c>
      <c r="D299" t="s">
        <v>20</v>
      </c>
      <c r="F299">
        <v>4524.2</v>
      </c>
      <c r="H299">
        <v>0</v>
      </c>
      <c r="I299" t="s">
        <v>14</v>
      </c>
      <c r="J299" t="s">
        <v>15</v>
      </c>
      <c r="K299">
        <v>1637.33</v>
      </c>
    </row>
    <row r="300" spans="1:11" x14ac:dyDescent="0.3">
      <c r="A300">
        <v>1298</v>
      </c>
      <c r="B300" t="s">
        <v>349</v>
      </c>
      <c r="C300" t="s">
        <v>32</v>
      </c>
      <c r="D300" t="s">
        <v>81</v>
      </c>
      <c r="H300">
        <v>0</v>
      </c>
      <c r="I300" t="s">
        <v>17</v>
      </c>
      <c r="J300" t="s">
        <v>15</v>
      </c>
      <c r="K300">
        <v>2490.23</v>
      </c>
    </row>
    <row r="301" spans="1:11" x14ac:dyDescent="0.3">
      <c r="A301">
        <v>1299</v>
      </c>
      <c r="B301" t="s">
        <v>350</v>
      </c>
      <c r="C301" t="s">
        <v>19</v>
      </c>
      <c r="D301" t="s">
        <v>87</v>
      </c>
      <c r="E301">
        <v>1</v>
      </c>
      <c r="F301">
        <v>1026.58</v>
      </c>
      <c r="H301">
        <v>0</v>
      </c>
      <c r="I301" t="s">
        <v>30</v>
      </c>
      <c r="J301" t="s">
        <v>15</v>
      </c>
      <c r="K301">
        <v>1178.3699999999999</v>
      </c>
    </row>
    <row r="302" spans="1:11" x14ac:dyDescent="0.3">
      <c r="A302">
        <v>1300</v>
      </c>
      <c r="B302" t="s">
        <v>351</v>
      </c>
      <c r="C302" t="s">
        <v>12</v>
      </c>
      <c r="D302" t="s">
        <v>13</v>
      </c>
      <c r="F302">
        <v>4611.8999999999996</v>
      </c>
      <c r="H302">
        <v>0</v>
      </c>
      <c r="I302" t="s">
        <v>14</v>
      </c>
      <c r="J302" t="s">
        <v>22</v>
      </c>
      <c r="K302">
        <v>703.48</v>
      </c>
    </row>
    <row r="303" spans="1:11" x14ac:dyDescent="0.3">
      <c r="A303">
        <v>1047</v>
      </c>
      <c r="B303" t="s">
        <v>352</v>
      </c>
      <c r="C303" t="s">
        <v>12</v>
      </c>
      <c r="D303" t="s">
        <v>48</v>
      </c>
      <c r="E303">
        <v>5</v>
      </c>
      <c r="G303">
        <v>1.1499999999999999</v>
      </c>
      <c r="H303">
        <v>0</v>
      </c>
      <c r="I303" t="s">
        <v>51</v>
      </c>
      <c r="K303">
        <v>1368.68</v>
      </c>
    </row>
    <row r="304" spans="1:11" x14ac:dyDescent="0.3">
      <c r="A304">
        <v>1302</v>
      </c>
      <c r="B304" t="s">
        <v>353</v>
      </c>
      <c r="C304" t="s">
        <v>12</v>
      </c>
      <c r="D304" t="s">
        <v>101</v>
      </c>
      <c r="E304">
        <v>5</v>
      </c>
      <c r="G304">
        <v>0.09</v>
      </c>
      <c r="H304">
        <v>0</v>
      </c>
      <c r="I304" t="s">
        <v>17</v>
      </c>
      <c r="J304" t="s">
        <v>15</v>
      </c>
      <c r="K304">
        <v>339.17</v>
      </c>
    </row>
    <row r="305" spans="1:11" x14ac:dyDescent="0.3">
      <c r="A305">
        <v>1303</v>
      </c>
      <c r="B305" t="s">
        <v>354</v>
      </c>
      <c r="C305" t="s">
        <v>12</v>
      </c>
      <c r="D305" t="s">
        <v>48</v>
      </c>
      <c r="E305">
        <v>3</v>
      </c>
      <c r="F305">
        <v>1192.1600000000001</v>
      </c>
      <c r="H305">
        <v>0</v>
      </c>
      <c r="I305" t="s">
        <v>45</v>
      </c>
      <c r="J305" t="s">
        <v>22</v>
      </c>
      <c r="K305">
        <v>505.33</v>
      </c>
    </row>
    <row r="306" spans="1:11" x14ac:dyDescent="0.3">
      <c r="A306">
        <v>1047</v>
      </c>
      <c r="B306" t="s">
        <v>355</v>
      </c>
      <c r="C306" t="s">
        <v>37</v>
      </c>
      <c r="D306" t="s">
        <v>58</v>
      </c>
      <c r="F306">
        <v>3218.39</v>
      </c>
      <c r="H306">
        <v>0</v>
      </c>
      <c r="I306" t="s">
        <v>21</v>
      </c>
      <c r="J306" t="s">
        <v>22</v>
      </c>
      <c r="K306">
        <v>-442.98</v>
      </c>
    </row>
    <row r="307" spans="1:11" x14ac:dyDescent="0.3">
      <c r="A307">
        <v>1305</v>
      </c>
      <c r="B307" t="s">
        <v>356</v>
      </c>
      <c r="C307" t="s">
        <v>19</v>
      </c>
      <c r="D307" t="s">
        <v>79</v>
      </c>
      <c r="E307">
        <v>3</v>
      </c>
      <c r="H307">
        <v>0</v>
      </c>
      <c r="I307" t="s">
        <v>14</v>
      </c>
      <c r="K307">
        <v>2861.3</v>
      </c>
    </row>
    <row r="308" spans="1:11" x14ac:dyDescent="0.3">
      <c r="A308">
        <v>1306</v>
      </c>
      <c r="B308" t="s">
        <v>357</v>
      </c>
      <c r="C308" t="s">
        <v>28</v>
      </c>
      <c r="D308" t="s">
        <v>29</v>
      </c>
      <c r="E308">
        <v>4</v>
      </c>
      <c r="H308">
        <v>0</v>
      </c>
      <c r="I308" t="s">
        <v>17</v>
      </c>
      <c r="K308">
        <v>99.1</v>
      </c>
    </row>
    <row r="309" spans="1:11" x14ac:dyDescent="0.3">
      <c r="A309">
        <v>1307</v>
      </c>
      <c r="B309" t="s">
        <v>358</v>
      </c>
      <c r="C309" t="s">
        <v>37</v>
      </c>
      <c r="D309" t="s">
        <v>58</v>
      </c>
      <c r="E309">
        <v>2</v>
      </c>
      <c r="F309">
        <v>2648.43</v>
      </c>
      <c r="H309">
        <v>0</v>
      </c>
      <c r="I309" t="s">
        <v>17</v>
      </c>
      <c r="J309" t="s">
        <v>22</v>
      </c>
      <c r="K309">
        <v>642</v>
      </c>
    </row>
    <row r="310" spans="1:11" x14ac:dyDescent="0.3">
      <c r="A310">
        <v>1308</v>
      </c>
      <c r="B310" t="s">
        <v>359</v>
      </c>
      <c r="C310" t="s">
        <v>37</v>
      </c>
      <c r="D310" t="s">
        <v>90</v>
      </c>
      <c r="E310">
        <v>2</v>
      </c>
      <c r="F310">
        <v>4203.62</v>
      </c>
      <c r="H310">
        <v>0</v>
      </c>
      <c r="I310" t="s">
        <v>21</v>
      </c>
      <c r="J310" t="s">
        <v>22</v>
      </c>
      <c r="K310">
        <v>464.65</v>
      </c>
    </row>
    <row r="311" spans="1:11" x14ac:dyDescent="0.3">
      <c r="A311">
        <v>1309</v>
      </c>
      <c r="B311" t="s">
        <v>360</v>
      </c>
      <c r="C311" t="s">
        <v>28</v>
      </c>
      <c r="D311" t="s">
        <v>140</v>
      </c>
      <c r="H311">
        <v>0</v>
      </c>
      <c r="I311" t="s">
        <v>45</v>
      </c>
      <c r="J311" t="s">
        <v>22</v>
      </c>
      <c r="K311">
        <v>481.45</v>
      </c>
    </row>
    <row r="312" spans="1:11" x14ac:dyDescent="0.3">
      <c r="A312">
        <v>1310</v>
      </c>
      <c r="B312" t="s">
        <v>361</v>
      </c>
      <c r="C312" t="s">
        <v>37</v>
      </c>
      <c r="D312" t="s">
        <v>58</v>
      </c>
      <c r="H312">
        <v>0</v>
      </c>
      <c r="I312" t="s">
        <v>45</v>
      </c>
      <c r="J312" t="s">
        <v>22</v>
      </c>
      <c r="K312">
        <v>1516.35</v>
      </c>
    </row>
    <row r="313" spans="1:11" x14ac:dyDescent="0.3">
      <c r="A313">
        <v>1311</v>
      </c>
      <c r="B313" t="s">
        <v>362</v>
      </c>
      <c r="C313" t="s">
        <v>19</v>
      </c>
      <c r="D313" t="s">
        <v>79</v>
      </c>
      <c r="E313">
        <v>3</v>
      </c>
      <c r="G313">
        <v>0.13</v>
      </c>
      <c r="H313">
        <v>0</v>
      </c>
      <c r="I313" t="s">
        <v>21</v>
      </c>
      <c r="J313" t="s">
        <v>22</v>
      </c>
      <c r="K313">
        <v>-109.19</v>
      </c>
    </row>
    <row r="314" spans="1:11" x14ac:dyDescent="0.3">
      <c r="A314">
        <v>1312</v>
      </c>
      <c r="B314" t="s">
        <v>363</v>
      </c>
      <c r="C314" t="s">
        <v>28</v>
      </c>
      <c r="D314" t="s">
        <v>41</v>
      </c>
      <c r="H314">
        <v>0</v>
      </c>
      <c r="I314" t="s">
        <v>45</v>
      </c>
      <c r="J314" t="s">
        <v>22</v>
      </c>
      <c r="K314">
        <v>-646.16</v>
      </c>
    </row>
    <row r="315" spans="1:11" x14ac:dyDescent="0.3">
      <c r="A315">
        <v>1313</v>
      </c>
      <c r="B315" t="s">
        <v>364</v>
      </c>
      <c r="C315" t="s">
        <v>28</v>
      </c>
      <c r="D315" t="s">
        <v>119</v>
      </c>
      <c r="F315">
        <v>4763.45</v>
      </c>
      <c r="G315">
        <v>0.96</v>
      </c>
      <c r="H315">
        <v>0</v>
      </c>
      <c r="I315" t="s">
        <v>45</v>
      </c>
      <c r="J315" t="s">
        <v>15</v>
      </c>
      <c r="K315">
        <v>-581.35</v>
      </c>
    </row>
    <row r="316" spans="1:11" x14ac:dyDescent="0.3">
      <c r="A316">
        <v>1314</v>
      </c>
      <c r="B316" t="s">
        <v>365</v>
      </c>
      <c r="C316" t="s">
        <v>24</v>
      </c>
      <c r="D316" t="s">
        <v>65</v>
      </c>
      <c r="E316">
        <v>-1</v>
      </c>
      <c r="H316">
        <v>0</v>
      </c>
      <c r="I316" t="s">
        <v>55</v>
      </c>
      <c r="J316" t="s">
        <v>15</v>
      </c>
      <c r="K316">
        <v>1148.06</v>
      </c>
    </row>
    <row r="317" spans="1:11" x14ac:dyDescent="0.3">
      <c r="A317">
        <v>1315</v>
      </c>
      <c r="B317" t="s">
        <v>366</v>
      </c>
      <c r="C317" t="s">
        <v>12</v>
      </c>
      <c r="D317" t="s">
        <v>35</v>
      </c>
      <c r="E317">
        <v>-2</v>
      </c>
      <c r="F317">
        <v>515.04</v>
      </c>
      <c r="H317">
        <v>0</v>
      </c>
      <c r="I317" t="s">
        <v>26</v>
      </c>
      <c r="K317">
        <v>-279.01</v>
      </c>
    </row>
    <row r="318" spans="1:11" x14ac:dyDescent="0.3">
      <c r="A318">
        <v>1316</v>
      </c>
      <c r="B318" t="s">
        <v>367</v>
      </c>
      <c r="C318" t="s">
        <v>32</v>
      </c>
      <c r="D318" t="s">
        <v>33</v>
      </c>
      <c r="F318">
        <v>1345.98</v>
      </c>
      <c r="H318">
        <v>0</v>
      </c>
      <c r="I318" t="s">
        <v>45</v>
      </c>
      <c r="K318">
        <v>-177.6</v>
      </c>
    </row>
    <row r="319" spans="1:11" x14ac:dyDescent="0.3">
      <c r="A319">
        <v>1317</v>
      </c>
      <c r="B319" t="s">
        <v>368</v>
      </c>
      <c r="C319" t="s">
        <v>28</v>
      </c>
      <c r="D319" t="s">
        <v>119</v>
      </c>
      <c r="E319">
        <v>0</v>
      </c>
      <c r="H319">
        <v>0</v>
      </c>
      <c r="I319" t="s">
        <v>21</v>
      </c>
      <c r="J319" t="s">
        <v>22</v>
      </c>
      <c r="K319">
        <v>-476.45</v>
      </c>
    </row>
    <row r="320" spans="1:11" x14ac:dyDescent="0.3">
      <c r="A320">
        <v>1318</v>
      </c>
      <c r="B320" t="s">
        <v>369</v>
      </c>
      <c r="C320" t="s">
        <v>28</v>
      </c>
      <c r="D320" t="s">
        <v>29</v>
      </c>
      <c r="E320">
        <v>3</v>
      </c>
      <c r="H320">
        <v>0</v>
      </c>
      <c r="I320" t="s">
        <v>45</v>
      </c>
      <c r="J320" t="s">
        <v>15</v>
      </c>
      <c r="K320">
        <v>1830.14</v>
      </c>
    </row>
    <row r="321" spans="1:11" x14ac:dyDescent="0.3">
      <c r="A321">
        <v>1319</v>
      </c>
      <c r="B321" t="s">
        <v>370</v>
      </c>
      <c r="C321" t="s">
        <v>37</v>
      </c>
      <c r="D321" t="s">
        <v>90</v>
      </c>
      <c r="E321">
        <v>0</v>
      </c>
      <c r="H321">
        <v>0</v>
      </c>
      <c r="I321" t="s">
        <v>17</v>
      </c>
      <c r="K321">
        <v>-66.17</v>
      </c>
    </row>
    <row r="322" spans="1:11" x14ac:dyDescent="0.3">
      <c r="A322">
        <v>1320</v>
      </c>
      <c r="B322" t="s">
        <v>371</v>
      </c>
      <c r="C322" t="s">
        <v>28</v>
      </c>
      <c r="D322" t="s">
        <v>29</v>
      </c>
      <c r="E322">
        <v>4</v>
      </c>
      <c r="H322">
        <v>0</v>
      </c>
      <c r="I322" t="s">
        <v>14</v>
      </c>
      <c r="J322" t="s">
        <v>22</v>
      </c>
      <c r="K322">
        <v>2011.4</v>
      </c>
    </row>
    <row r="323" spans="1:11" x14ac:dyDescent="0.3">
      <c r="A323">
        <v>1321</v>
      </c>
      <c r="B323" t="s">
        <v>372</v>
      </c>
      <c r="C323" t="s">
        <v>19</v>
      </c>
      <c r="D323" t="s">
        <v>121</v>
      </c>
      <c r="E323">
        <v>3</v>
      </c>
      <c r="G323">
        <v>1.02</v>
      </c>
      <c r="H323">
        <v>0</v>
      </c>
      <c r="I323" t="s">
        <v>14</v>
      </c>
      <c r="K323">
        <v>632.23</v>
      </c>
    </row>
    <row r="324" spans="1:11" x14ac:dyDescent="0.3">
      <c r="A324">
        <v>1322</v>
      </c>
      <c r="B324" t="s">
        <v>373</v>
      </c>
      <c r="C324" t="s">
        <v>32</v>
      </c>
      <c r="D324" t="s">
        <v>71</v>
      </c>
      <c r="F324">
        <v>2387.61</v>
      </c>
      <c r="H324">
        <v>0</v>
      </c>
      <c r="I324" t="s">
        <v>14</v>
      </c>
      <c r="J324" t="s">
        <v>15</v>
      </c>
      <c r="K324">
        <v>822.46</v>
      </c>
    </row>
    <row r="325" spans="1:11" x14ac:dyDescent="0.3">
      <c r="A325">
        <v>1323</v>
      </c>
      <c r="B325" t="s">
        <v>374</v>
      </c>
      <c r="C325" t="s">
        <v>19</v>
      </c>
      <c r="D325" t="s">
        <v>20</v>
      </c>
      <c r="G325">
        <v>1.1200000000000001</v>
      </c>
      <c r="H325">
        <v>0</v>
      </c>
      <c r="I325" t="s">
        <v>45</v>
      </c>
      <c r="K325">
        <v>-96.6</v>
      </c>
    </row>
    <row r="326" spans="1:11" x14ac:dyDescent="0.3">
      <c r="A326">
        <v>1324</v>
      </c>
      <c r="B326" t="s">
        <v>375</v>
      </c>
      <c r="C326" t="s">
        <v>19</v>
      </c>
      <c r="D326" t="s">
        <v>79</v>
      </c>
      <c r="H326">
        <v>0</v>
      </c>
      <c r="I326" t="s">
        <v>21</v>
      </c>
      <c r="J326" t="s">
        <v>15</v>
      </c>
      <c r="K326">
        <v>-610.52</v>
      </c>
    </row>
    <row r="327" spans="1:11" x14ac:dyDescent="0.3">
      <c r="A327">
        <v>1325</v>
      </c>
      <c r="B327" t="s">
        <v>376</v>
      </c>
      <c r="C327" t="s">
        <v>12</v>
      </c>
      <c r="D327" t="s">
        <v>101</v>
      </c>
      <c r="F327">
        <v>1315.93</v>
      </c>
      <c r="H327">
        <v>0</v>
      </c>
      <c r="I327" t="s">
        <v>39</v>
      </c>
      <c r="K327">
        <v>1435.03</v>
      </c>
    </row>
    <row r="328" spans="1:11" x14ac:dyDescent="0.3">
      <c r="A328">
        <v>1326</v>
      </c>
      <c r="B328" t="s">
        <v>377</v>
      </c>
      <c r="C328" t="s">
        <v>37</v>
      </c>
      <c r="D328" t="s">
        <v>38</v>
      </c>
      <c r="F328">
        <v>4104.3599999999997</v>
      </c>
      <c r="G328">
        <v>1.1100000000000001</v>
      </c>
      <c r="H328">
        <v>0</v>
      </c>
      <c r="I328" t="s">
        <v>21</v>
      </c>
      <c r="K328">
        <v>1404.45</v>
      </c>
    </row>
    <row r="329" spans="1:11" x14ac:dyDescent="0.3">
      <c r="A329">
        <v>1327</v>
      </c>
      <c r="B329" t="s">
        <v>378</v>
      </c>
      <c r="C329" t="s">
        <v>24</v>
      </c>
      <c r="D329" t="s">
        <v>65</v>
      </c>
      <c r="F329">
        <v>2964.44</v>
      </c>
      <c r="H329">
        <v>0</v>
      </c>
      <c r="I329" t="s">
        <v>21</v>
      </c>
      <c r="K329">
        <v>2021.54</v>
      </c>
    </row>
    <row r="330" spans="1:11" x14ac:dyDescent="0.3">
      <c r="A330">
        <v>1328</v>
      </c>
      <c r="B330" t="s">
        <v>379</v>
      </c>
      <c r="C330" t="s">
        <v>24</v>
      </c>
      <c r="D330" t="s">
        <v>85</v>
      </c>
      <c r="E330">
        <v>4</v>
      </c>
      <c r="F330">
        <v>3250.24</v>
      </c>
      <c r="G330">
        <v>0.56000000000000005</v>
      </c>
      <c r="H330">
        <v>5720.42</v>
      </c>
      <c r="I330" t="s">
        <v>45</v>
      </c>
      <c r="J330" t="s">
        <v>22</v>
      </c>
      <c r="K330">
        <v>2269.54</v>
      </c>
    </row>
    <row r="331" spans="1:11" x14ac:dyDescent="0.3">
      <c r="A331">
        <v>1329</v>
      </c>
      <c r="B331" t="s">
        <v>380</v>
      </c>
      <c r="C331" t="s">
        <v>32</v>
      </c>
      <c r="D331" t="s">
        <v>81</v>
      </c>
      <c r="E331">
        <v>1</v>
      </c>
      <c r="F331">
        <v>2587.7800000000002</v>
      </c>
      <c r="H331">
        <v>0</v>
      </c>
      <c r="I331" t="s">
        <v>55</v>
      </c>
      <c r="J331" t="s">
        <v>15</v>
      </c>
      <c r="K331">
        <v>1667.02</v>
      </c>
    </row>
    <row r="332" spans="1:11" x14ac:dyDescent="0.3">
      <c r="A332">
        <v>1330</v>
      </c>
      <c r="B332" t="s">
        <v>381</v>
      </c>
      <c r="C332" t="s">
        <v>37</v>
      </c>
      <c r="D332" t="s">
        <v>58</v>
      </c>
      <c r="E332">
        <v>-2</v>
      </c>
      <c r="H332">
        <v>0</v>
      </c>
      <c r="I332" t="s">
        <v>17</v>
      </c>
      <c r="J332" t="s">
        <v>15</v>
      </c>
      <c r="K332">
        <v>-587.38</v>
      </c>
    </row>
    <row r="333" spans="1:11" x14ac:dyDescent="0.3">
      <c r="A333">
        <v>1331</v>
      </c>
      <c r="B333" t="s">
        <v>382</v>
      </c>
      <c r="C333" t="s">
        <v>28</v>
      </c>
      <c r="D333" t="s">
        <v>29</v>
      </c>
      <c r="E333">
        <v>6</v>
      </c>
      <c r="H333">
        <v>0</v>
      </c>
      <c r="I333" t="s">
        <v>26</v>
      </c>
      <c r="K333">
        <v>1301.18</v>
      </c>
    </row>
    <row r="334" spans="1:11" x14ac:dyDescent="0.3">
      <c r="A334">
        <v>1332</v>
      </c>
      <c r="B334" t="s">
        <v>383</v>
      </c>
      <c r="C334" t="s">
        <v>32</v>
      </c>
      <c r="D334" t="s">
        <v>81</v>
      </c>
      <c r="G334">
        <v>0</v>
      </c>
      <c r="H334">
        <v>0</v>
      </c>
      <c r="I334" t="s">
        <v>21</v>
      </c>
      <c r="J334" t="s">
        <v>15</v>
      </c>
      <c r="K334">
        <v>2301.09</v>
      </c>
    </row>
    <row r="335" spans="1:11" x14ac:dyDescent="0.3">
      <c r="A335">
        <v>1028</v>
      </c>
      <c r="B335" t="s">
        <v>384</v>
      </c>
      <c r="C335" t="s">
        <v>28</v>
      </c>
      <c r="D335" t="s">
        <v>119</v>
      </c>
      <c r="H335">
        <v>0</v>
      </c>
      <c r="I335" t="s">
        <v>17</v>
      </c>
      <c r="J335" t="s">
        <v>22</v>
      </c>
      <c r="K335">
        <v>2502.73</v>
      </c>
    </row>
    <row r="336" spans="1:11" x14ac:dyDescent="0.3">
      <c r="A336">
        <v>1334</v>
      </c>
      <c r="B336" t="s">
        <v>385</v>
      </c>
      <c r="C336" t="s">
        <v>37</v>
      </c>
      <c r="D336" t="s">
        <v>58</v>
      </c>
      <c r="E336">
        <v>6</v>
      </c>
      <c r="F336">
        <v>1454.69</v>
      </c>
      <c r="H336">
        <v>0</v>
      </c>
      <c r="I336" t="s">
        <v>14</v>
      </c>
      <c r="K336">
        <v>652.87</v>
      </c>
    </row>
    <row r="337" spans="1:11" x14ac:dyDescent="0.3">
      <c r="A337">
        <v>1335</v>
      </c>
      <c r="B337" t="s">
        <v>386</v>
      </c>
      <c r="C337" t="s">
        <v>24</v>
      </c>
      <c r="D337" t="s">
        <v>65</v>
      </c>
      <c r="E337">
        <v>5</v>
      </c>
      <c r="H337">
        <v>0</v>
      </c>
      <c r="I337" t="s">
        <v>55</v>
      </c>
      <c r="J337" t="s">
        <v>15</v>
      </c>
      <c r="K337">
        <v>-815.88</v>
      </c>
    </row>
    <row r="338" spans="1:11" x14ac:dyDescent="0.3">
      <c r="A338">
        <v>1336</v>
      </c>
      <c r="B338" t="s">
        <v>387</v>
      </c>
      <c r="C338" t="s">
        <v>19</v>
      </c>
      <c r="D338" t="s">
        <v>87</v>
      </c>
      <c r="H338">
        <v>0</v>
      </c>
      <c r="I338" t="s">
        <v>14</v>
      </c>
      <c r="J338" t="s">
        <v>22</v>
      </c>
      <c r="K338">
        <v>2000.91</v>
      </c>
    </row>
    <row r="339" spans="1:11" x14ac:dyDescent="0.3">
      <c r="A339">
        <v>1337</v>
      </c>
      <c r="B339" t="s">
        <v>388</v>
      </c>
      <c r="C339" t="s">
        <v>19</v>
      </c>
      <c r="D339" t="s">
        <v>87</v>
      </c>
      <c r="E339">
        <v>6</v>
      </c>
      <c r="F339">
        <v>2286.6799999999998</v>
      </c>
      <c r="G339">
        <v>1.27</v>
      </c>
      <c r="H339">
        <v>-3704.42</v>
      </c>
      <c r="I339" t="s">
        <v>30</v>
      </c>
      <c r="J339" t="s">
        <v>15</v>
      </c>
      <c r="K339">
        <v>716.16</v>
      </c>
    </row>
    <row r="340" spans="1:11" x14ac:dyDescent="0.3">
      <c r="A340">
        <v>1338</v>
      </c>
      <c r="B340" t="s">
        <v>389</v>
      </c>
      <c r="C340" t="s">
        <v>32</v>
      </c>
      <c r="D340" t="s">
        <v>81</v>
      </c>
      <c r="E340">
        <v>0</v>
      </c>
      <c r="H340">
        <v>0</v>
      </c>
      <c r="I340" t="s">
        <v>17</v>
      </c>
      <c r="J340" t="s">
        <v>22</v>
      </c>
      <c r="K340">
        <v>415.06</v>
      </c>
    </row>
    <row r="341" spans="1:11" x14ac:dyDescent="0.3">
      <c r="A341">
        <v>1339</v>
      </c>
      <c r="B341" t="s">
        <v>390</v>
      </c>
      <c r="C341" t="s">
        <v>37</v>
      </c>
      <c r="D341" t="s">
        <v>58</v>
      </c>
      <c r="F341">
        <v>4507.5</v>
      </c>
      <c r="H341">
        <v>0</v>
      </c>
      <c r="I341" t="s">
        <v>26</v>
      </c>
      <c r="K341">
        <v>2552.65</v>
      </c>
    </row>
    <row r="342" spans="1:11" x14ac:dyDescent="0.3">
      <c r="A342">
        <v>1340</v>
      </c>
      <c r="B342" t="s">
        <v>391</v>
      </c>
      <c r="C342" t="s">
        <v>12</v>
      </c>
      <c r="D342" t="s">
        <v>48</v>
      </c>
      <c r="G342">
        <v>0.06</v>
      </c>
      <c r="H342">
        <v>0</v>
      </c>
      <c r="I342" t="s">
        <v>21</v>
      </c>
      <c r="K342">
        <v>1282.27</v>
      </c>
    </row>
    <row r="343" spans="1:11" x14ac:dyDescent="0.3">
      <c r="A343">
        <v>1341</v>
      </c>
      <c r="B343" t="s">
        <v>392</v>
      </c>
      <c r="C343" t="s">
        <v>24</v>
      </c>
      <c r="D343" t="s">
        <v>65</v>
      </c>
      <c r="E343">
        <v>-1</v>
      </c>
      <c r="F343">
        <v>3074.06</v>
      </c>
      <c r="G343">
        <v>1.24</v>
      </c>
      <c r="H343">
        <v>737.77</v>
      </c>
      <c r="I343" t="s">
        <v>17</v>
      </c>
      <c r="K343">
        <v>2634.42</v>
      </c>
    </row>
    <row r="344" spans="1:11" x14ac:dyDescent="0.3">
      <c r="A344">
        <v>1342</v>
      </c>
      <c r="B344" t="s">
        <v>393</v>
      </c>
      <c r="C344" t="s">
        <v>37</v>
      </c>
      <c r="D344" t="s">
        <v>62</v>
      </c>
      <c r="E344">
        <v>-1</v>
      </c>
      <c r="F344">
        <v>4707.2</v>
      </c>
      <c r="H344">
        <v>0</v>
      </c>
      <c r="I344" t="s">
        <v>45</v>
      </c>
      <c r="J344" t="s">
        <v>22</v>
      </c>
      <c r="K344">
        <v>1395.82</v>
      </c>
    </row>
    <row r="345" spans="1:11" x14ac:dyDescent="0.3">
      <c r="A345">
        <v>1343</v>
      </c>
      <c r="B345" t="s">
        <v>394</v>
      </c>
      <c r="C345" t="s">
        <v>12</v>
      </c>
      <c r="D345" t="s">
        <v>101</v>
      </c>
      <c r="F345">
        <v>4012.48</v>
      </c>
      <c r="H345">
        <v>0</v>
      </c>
      <c r="I345" t="s">
        <v>21</v>
      </c>
      <c r="J345" t="s">
        <v>15</v>
      </c>
      <c r="K345">
        <v>730.98</v>
      </c>
    </row>
    <row r="346" spans="1:11" x14ac:dyDescent="0.3">
      <c r="A346">
        <v>1344</v>
      </c>
      <c r="B346" t="s">
        <v>395</v>
      </c>
      <c r="C346" t="s">
        <v>12</v>
      </c>
      <c r="D346" t="s">
        <v>48</v>
      </c>
      <c r="E346">
        <v>4</v>
      </c>
      <c r="F346">
        <v>3386.91</v>
      </c>
      <c r="H346">
        <v>0</v>
      </c>
      <c r="I346" t="s">
        <v>21</v>
      </c>
      <c r="J346" t="s">
        <v>15</v>
      </c>
      <c r="K346">
        <v>2006.17</v>
      </c>
    </row>
    <row r="347" spans="1:11" x14ac:dyDescent="0.3">
      <c r="A347">
        <v>1040</v>
      </c>
      <c r="B347" t="s">
        <v>396</v>
      </c>
      <c r="C347" t="s">
        <v>32</v>
      </c>
      <c r="D347" t="s">
        <v>71</v>
      </c>
      <c r="E347">
        <v>2</v>
      </c>
      <c r="G347">
        <v>0.18</v>
      </c>
      <c r="H347">
        <v>0</v>
      </c>
      <c r="I347" t="s">
        <v>26</v>
      </c>
      <c r="J347" t="s">
        <v>22</v>
      </c>
      <c r="K347">
        <v>2721.4</v>
      </c>
    </row>
    <row r="348" spans="1:11" x14ac:dyDescent="0.3">
      <c r="A348">
        <v>1346</v>
      </c>
      <c r="B348" t="s">
        <v>397</v>
      </c>
      <c r="C348" t="s">
        <v>24</v>
      </c>
      <c r="D348" t="s">
        <v>65</v>
      </c>
      <c r="E348">
        <v>-2</v>
      </c>
      <c r="F348">
        <v>1622.65</v>
      </c>
      <c r="H348">
        <v>0</v>
      </c>
      <c r="I348" t="s">
        <v>21</v>
      </c>
      <c r="J348" t="s">
        <v>15</v>
      </c>
      <c r="K348">
        <v>-891.76</v>
      </c>
    </row>
    <row r="349" spans="1:11" x14ac:dyDescent="0.3">
      <c r="A349">
        <v>1005</v>
      </c>
      <c r="B349" t="s">
        <v>398</v>
      </c>
      <c r="C349" t="s">
        <v>12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t="s">
        <v>39</v>
      </c>
      <c r="J349" t="s">
        <v>15</v>
      </c>
      <c r="K349">
        <v>2728.03</v>
      </c>
    </row>
    <row r="350" spans="1:11" x14ac:dyDescent="0.3">
      <c r="A350">
        <v>1348</v>
      </c>
      <c r="B350" t="s">
        <v>399</v>
      </c>
      <c r="C350" t="s">
        <v>32</v>
      </c>
      <c r="D350" t="s">
        <v>71</v>
      </c>
      <c r="E350">
        <v>2</v>
      </c>
      <c r="F350">
        <v>1219.2</v>
      </c>
      <c r="G350">
        <v>1.17</v>
      </c>
      <c r="H350">
        <v>-414.53</v>
      </c>
      <c r="I350" t="s">
        <v>55</v>
      </c>
      <c r="J350" t="s">
        <v>22</v>
      </c>
      <c r="K350">
        <v>2694.39</v>
      </c>
    </row>
    <row r="351" spans="1:11" x14ac:dyDescent="0.3">
      <c r="A351">
        <v>1349</v>
      </c>
      <c r="B351" t="s">
        <v>400</v>
      </c>
      <c r="C351" t="s">
        <v>19</v>
      </c>
      <c r="D351" t="s">
        <v>121</v>
      </c>
      <c r="E351">
        <v>-2</v>
      </c>
      <c r="G351">
        <v>0.82</v>
      </c>
      <c r="H351">
        <v>0</v>
      </c>
      <c r="I351" t="s">
        <v>45</v>
      </c>
      <c r="J351" t="s">
        <v>22</v>
      </c>
      <c r="K351">
        <v>2085.75</v>
      </c>
    </row>
    <row r="352" spans="1:11" x14ac:dyDescent="0.3">
      <c r="A352">
        <v>1008</v>
      </c>
      <c r="B352" t="s">
        <v>401</v>
      </c>
      <c r="C352" t="s">
        <v>32</v>
      </c>
      <c r="D352" t="s">
        <v>71</v>
      </c>
      <c r="E352">
        <v>2</v>
      </c>
      <c r="F352">
        <v>2319.84</v>
      </c>
      <c r="H352">
        <v>0</v>
      </c>
      <c r="I352" t="s">
        <v>26</v>
      </c>
      <c r="J352" t="s">
        <v>22</v>
      </c>
      <c r="K352">
        <v>1669.55</v>
      </c>
    </row>
    <row r="353" spans="1:11" x14ac:dyDescent="0.3">
      <c r="A353">
        <v>1351</v>
      </c>
      <c r="B353" t="s">
        <v>402</v>
      </c>
      <c r="C353" t="s">
        <v>24</v>
      </c>
      <c r="D353" t="s">
        <v>65</v>
      </c>
      <c r="H353">
        <v>0</v>
      </c>
      <c r="I353" t="s">
        <v>30</v>
      </c>
      <c r="J353" t="s">
        <v>15</v>
      </c>
      <c r="K353">
        <v>2621.66</v>
      </c>
    </row>
    <row r="354" spans="1:11" x14ac:dyDescent="0.3">
      <c r="A354">
        <v>1034</v>
      </c>
      <c r="B354" t="s">
        <v>403</v>
      </c>
      <c r="C354" t="s">
        <v>32</v>
      </c>
      <c r="D354" t="s">
        <v>81</v>
      </c>
      <c r="F354">
        <v>3991.4</v>
      </c>
      <c r="H354">
        <v>0</v>
      </c>
      <c r="I354" t="s">
        <v>45</v>
      </c>
      <c r="K354">
        <v>-555.4</v>
      </c>
    </row>
    <row r="355" spans="1:11" x14ac:dyDescent="0.3">
      <c r="A355">
        <v>1042</v>
      </c>
      <c r="B355" t="s">
        <v>404</v>
      </c>
      <c r="C355" t="s">
        <v>12</v>
      </c>
      <c r="D355" t="s">
        <v>48</v>
      </c>
      <c r="G355">
        <v>0.84</v>
      </c>
      <c r="H355">
        <v>0</v>
      </c>
      <c r="I355" t="s">
        <v>39</v>
      </c>
      <c r="K355">
        <v>1558.99</v>
      </c>
    </row>
    <row r="356" spans="1:11" x14ac:dyDescent="0.3">
      <c r="A356">
        <v>1354</v>
      </c>
      <c r="B356" t="s">
        <v>405</v>
      </c>
      <c r="C356" t="s">
        <v>12</v>
      </c>
      <c r="D356" t="s">
        <v>48</v>
      </c>
      <c r="E356">
        <v>1</v>
      </c>
      <c r="H356">
        <v>0</v>
      </c>
      <c r="I356" t="s">
        <v>17</v>
      </c>
      <c r="K356">
        <v>-678.38</v>
      </c>
    </row>
    <row r="357" spans="1:11" x14ac:dyDescent="0.3">
      <c r="A357">
        <v>1355</v>
      </c>
      <c r="B357" t="s">
        <v>406</v>
      </c>
      <c r="C357" t="s">
        <v>37</v>
      </c>
      <c r="D357" t="s">
        <v>90</v>
      </c>
      <c r="E357">
        <v>1</v>
      </c>
      <c r="F357">
        <v>1054.69</v>
      </c>
      <c r="G357">
        <v>0.18</v>
      </c>
      <c r="H357">
        <v>864.85</v>
      </c>
      <c r="I357" t="s">
        <v>21</v>
      </c>
      <c r="J357" t="s">
        <v>22</v>
      </c>
      <c r="K357">
        <v>698.05</v>
      </c>
    </row>
    <row r="358" spans="1:11" x14ac:dyDescent="0.3">
      <c r="A358">
        <v>1356</v>
      </c>
      <c r="B358" t="s">
        <v>407</v>
      </c>
      <c r="C358" t="s">
        <v>19</v>
      </c>
      <c r="D358" t="s">
        <v>87</v>
      </c>
      <c r="F358">
        <v>2418.5500000000002</v>
      </c>
      <c r="G358">
        <v>0.88</v>
      </c>
      <c r="H358">
        <v>0</v>
      </c>
      <c r="I358" t="s">
        <v>17</v>
      </c>
      <c r="J358" t="s">
        <v>15</v>
      </c>
      <c r="K358">
        <v>428.96</v>
      </c>
    </row>
    <row r="359" spans="1:11" x14ac:dyDescent="0.3">
      <c r="A359">
        <v>1357</v>
      </c>
      <c r="B359" t="s">
        <v>408</v>
      </c>
      <c r="C359" t="s">
        <v>19</v>
      </c>
      <c r="D359" t="s">
        <v>20</v>
      </c>
      <c r="F359">
        <v>1128.57</v>
      </c>
      <c r="G359">
        <v>0.39</v>
      </c>
      <c r="H359">
        <v>0</v>
      </c>
      <c r="I359" t="s">
        <v>51</v>
      </c>
      <c r="K359">
        <v>684.88</v>
      </c>
    </row>
    <row r="360" spans="1:11" x14ac:dyDescent="0.3">
      <c r="A360">
        <v>1358</v>
      </c>
      <c r="B360" t="s">
        <v>409</v>
      </c>
      <c r="C360" t="s">
        <v>28</v>
      </c>
      <c r="D360" t="s">
        <v>41</v>
      </c>
      <c r="G360">
        <v>1.23</v>
      </c>
      <c r="H360">
        <v>0</v>
      </c>
      <c r="I360" t="s">
        <v>39</v>
      </c>
      <c r="J360" t="s">
        <v>15</v>
      </c>
      <c r="K360">
        <v>1347.26</v>
      </c>
    </row>
    <row r="361" spans="1:11" x14ac:dyDescent="0.3">
      <c r="A361">
        <v>1359</v>
      </c>
      <c r="B361" t="s">
        <v>410</v>
      </c>
      <c r="C361" t="s">
        <v>32</v>
      </c>
      <c r="D361" t="s">
        <v>33</v>
      </c>
      <c r="F361">
        <v>4625.84</v>
      </c>
      <c r="H361">
        <v>0</v>
      </c>
      <c r="I361" t="s">
        <v>21</v>
      </c>
      <c r="K361">
        <v>1663.88</v>
      </c>
    </row>
    <row r="362" spans="1:11" x14ac:dyDescent="0.3">
      <c r="A362">
        <v>1360</v>
      </c>
      <c r="B362" t="s">
        <v>411</v>
      </c>
      <c r="C362" t="s">
        <v>12</v>
      </c>
      <c r="D362" t="s">
        <v>35</v>
      </c>
      <c r="G362">
        <v>1.1299999999999999</v>
      </c>
      <c r="H362">
        <v>0</v>
      </c>
      <c r="I362" t="s">
        <v>14</v>
      </c>
      <c r="K362">
        <v>1316.73</v>
      </c>
    </row>
    <row r="363" spans="1:11" x14ac:dyDescent="0.3">
      <c r="A363">
        <v>1361</v>
      </c>
      <c r="B363" t="s">
        <v>412</v>
      </c>
      <c r="C363" t="s">
        <v>32</v>
      </c>
      <c r="D363" t="s">
        <v>71</v>
      </c>
      <c r="H363">
        <v>0</v>
      </c>
      <c r="I363" t="s">
        <v>21</v>
      </c>
      <c r="J363" t="s">
        <v>15</v>
      </c>
      <c r="K363">
        <v>528.79999999999995</v>
      </c>
    </row>
    <row r="364" spans="1:11" x14ac:dyDescent="0.3">
      <c r="A364">
        <v>1362</v>
      </c>
      <c r="B364" t="s">
        <v>413</v>
      </c>
      <c r="C364" t="s">
        <v>32</v>
      </c>
      <c r="D364" t="s">
        <v>71</v>
      </c>
      <c r="E364">
        <v>-1</v>
      </c>
      <c r="F364">
        <v>4953.0200000000004</v>
      </c>
      <c r="H364">
        <v>0</v>
      </c>
      <c r="I364" t="s">
        <v>17</v>
      </c>
      <c r="J364" t="s">
        <v>15</v>
      </c>
      <c r="K364">
        <v>-499.33</v>
      </c>
    </row>
    <row r="365" spans="1:11" x14ac:dyDescent="0.3">
      <c r="A365">
        <v>1363</v>
      </c>
      <c r="B365" t="s">
        <v>414</v>
      </c>
      <c r="C365" t="s">
        <v>37</v>
      </c>
      <c r="D365" t="s">
        <v>90</v>
      </c>
      <c r="E365">
        <v>6</v>
      </c>
      <c r="H365">
        <v>0</v>
      </c>
      <c r="I365" t="s">
        <v>21</v>
      </c>
      <c r="J365" t="s">
        <v>22</v>
      </c>
      <c r="K365">
        <v>2143.4</v>
      </c>
    </row>
    <row r="366" spans="1:11" x14ac:dyDescent="0.3">
      <c r="A366">
        <v>1364</v>
      </c>
      <c r="B366" t="s">
        <v>415</v>
      </c>
      <c r="C366" t="s">
        <v>32</v>
      </c>
      <c r="D366" t="s">
        <v>71</v>
      </c>
      <c r="G366">
        <v>0.01</v>
      </c>
      <c r="H366">
        <v>0</v>
      </c>
      <c r="I366" t="s">
        <v>17</v>
      </c>
      <c r="J366" t="s">
        <v>15</v>
      </c>
      <c r="K366">
        <v>1839.35</v>
      </c>
    </row>
    <row r="367" spans="1:11" x14ac:dyDescent="0.3">
      <c r="A367">
        <v>1365</v>
      </c>
      <c r="B367" t="s">
        <v>416</v>
      </c>
      <c r="C367" t="s">
        <v>37</v>
      </c>
      <c r="D367" t="s">
        <v>58</v>
      </c>
      <c r="E367">
        <v>1</v>
      </c>
      <c r="F367">
        <v>776.52</v>
      </c>
      <c r="H367">
        <v>0</v>
      </c>
      <c r="I367" t="s">
        <v>14</v>
      </c>
      <c r="J367" t="s">
        <v>15</v>
      </c>
      <c r="K367">
        <v>2757.77</v>
      </c>
    </row>
    <row r="368" spans="1:11" x14ac:dyDescent="0.3">
      <c r="A368">
        <v>1366</v>
      </c>
      <c r="B368" t="s">
        <v>417</v>
      </c>
      <c r="C368" t="s">
        <v>37</v>
      </c>
      <c r="D368" t="s">
        <v>90</v>
      </c>
      <c r="F368">
        <v>1927.12</v>
      </c>
      <c r="G368">
        <v>0.44</v>
      </c>
      <c r="H368">
        <v>0</v>
      </c>
      <c r="I368" t="s">
        <v>26</v>
      </c>
      <c r="J368" t="s">
        <v>15</v>
      </c>
      <c r="K368">
        <v>928.57</v>
      </c>
    </row>
    <row r="369" spans="1:11" x14ac:dyDescent="0.3">
      <c r="A369">
        <v>1367</v>
      </c>
      <c r="B369" t="s">
        <v>418</v>
      </c>
      <c r="C369" t="s">
        <v>28</v>
      </c>
      <c r="D369" t="s">
        <v>140</v>
      </c>
      <c r="F369">
        <v>573.79999999999995</v>
      </c>
      <c r="H369">
        <v>0</v>
      </c>
      <c r="I369" t="s">
        <v>17</v>
      </c>
      <c r="J369" t="s">
        <v>22</v>
      </c>
      <c r="K369">
        <v>2546.35</v>
      </c>
    </row>
    <row r="370" spans="1:11" x14ac:dyDescent="0.3">
      <c r="A370">
        <v>1368</v>
      </c>
      <c r="B370" t="s">
        <v>419</v>
      </c>
      <c r="C370" t="s">
        <v>32</v>
      </c>
      <c r="D370" t="s">
        <v>71</v>
      </c>
      <c r="E370">
        <v>4</v>
      </c>
      <c r="F370">
        <v>4032.95</v>
      </c>
      <c r="H370">
        <v>0</v>
      </c>
      <c r="I370" t="s">
        <v>17</v>
      </c>
      <c r="J370" t="s">
        <v>15</v>
      </c>
      <c r="K370">
        <v>-20.09</v>
      </c>
    </row>
    <row r="371" spans="1:11" x14ac:dyDescent="0.3">
      <c r="A371">
        <v>1369</v>
      </c>
      <c r="B371" t="s">
        <v>420</v>
      </c>
      <c r="C371" t="s">
        <v>28</v>
      </c>
      <c r="D371" t="s">
        <v>140</v>
      </c>
      <c r="G371">
        <v>1.1000000000000001</v>
      </c>
      <c r="H371">
        <v>0</v>
      </c>
      <c r="I371" t="s">
        <v>30</v>
      </c>
      <c r="K371">
        <v>-844.78</v>
      </c>
    </row>
    <row r="372" spans="1:11" x14ac:dyDescent="0.3">
      <c r="A372">
        <v>1370</v>
      </c>
      <c r="B372" t="s">
        <v>421</v>
      </c>
      <c r="C372" t="s">
        <v>37</v>
      </c>
      <c r="D372" t="s">
        <v>90</v>
      </c>
      <c r="E372">
        <v>-2</v>
      </c>
      <c r="F372">
        <v>2345.4899999999998</v>
      </c>
      <c r="G372">
        <v>1.18</v>
      </c>
      <c r="H372">
        <v>844.38</v>
      </c>
      <c r="I372" t="s">
        <v>55</v>
      </c>
      <c r="J372" t="s">
        <v>22</v>
      </c>
      <c r="K372">
        <v>212.66</v>
      </c>
    </row>
    <row r="373" spans="1:11" x14ac:dyDescent="0.3">
      <c r="A373">
        <v>1371</v>
      </c>
      <c r="B373" t="s">
        <v>422</v>
      </c>
      <c r="C373" t="s">
        <v>12</v>
      </c>
      <c r="D373" t="s">
        <v>101</v>
      </c>
      <c r="H373">
        <v>0</v>
      </c>
      <c r="I373" t="s">
        <v>21</v>
      </c>
      <c r="J373" t="s">
        <v>22</v>
      </c>
      <c r="K373">
        <v>72.959999999999994</v>
      </c>
    </row>
    <row r="374" spans="1:11" x14ac:dyDescent="0.3">
      <c r="A374">
        <v>1372</v>
      </c>
      <c r="B374" t="s">
        <v>423</v>
      </c>
      <c r="C374" t="s">
        <v>28</v>
      </c>
      <c r="D374" t="s">
        <v>41</v>
      </c>
      <c r="E374">
        <v>1</v>
      </c>
      <c r="G374">
        <v>0.19</v>
      </c>
      <c r="H374">
        <v>0</v>
      </c>
      <c r="I374" t="s">
        <v>14</v>
      </c>
      <c r="K374">
        <v>418.89</v>
      </c>
    </row>
    <row r="375" spans="1:11" x14ac:dyDescent="0.3">
      <c r="A375">
        <v>1373</v>
      </c>
      <c r="B375" t="s">
        <v>424</v>
      </c>
      <c r="C375" t="s">
        <v>19</v>
      </c>
      <c r="D375" t="s">
        <v>121</v>
      </c>
      <c r="E375">
        <v>-2</v>
      </c>
      <c r="F375">
        <v>3523.43</v>
      </c>
      <c r="G375">
        <v>0.19</v>
      </c>
      <c r="H375">
        <v>-5707.96</v>
      </c>
      <c r="I375" t="s">
        <v>14</v>
      </c>
      <c r="K375">
        <v>-892.76</v>
      </c>
    </row>
    <row r="376" spans="1:11" x14ac:dyDescent="0.3">
      <c r="A376">
        <v>1374</v>
      </c>
      <c r="B376" t="s">
        <v>425</v>
      </c>
      <c r="C376" t="s">
        <v>32</v>
      </c>
      <c r="D376" t="s">
        <v>71</v>
      </c>
      <c r="E376">
        <v>1</v>
      </c>
      <c r="H376">
        <v>0</v>
      </c>
      <c r="I376" t="s">
        <v>39</v>
      </c>
      <c r="K376">
        <v>2519.16</v>
      </c>
    </row>
    <row r="377" spans="1:11" x14ac:dyDescent="0.3">
      <c r="A377">
        <v>1375</v>
      </c>
      <c r="B377" t="s">
        <v>426</v>
      </c>
      <c r="C377" t="s">
        <v>12</v>
      </c>
      <c r="D377" t="s">
        <v>48</v>
      </c>
      <c r="E377">
        <v>3</v>
      </c>
      <c r="F377">
        <v>420.42</v>
      </c>
      <c r="H377">
        <v>0</v>
      </c>
      <c r="I377" t="s">
        <v>51</v>
      </c>
      <c r="K377">
        <v>1318.19</v>
      </c>
    </row>
    <row r="378" spans="1:11" x14ac:dyDescent="0.3">
      <c r="A378">
        <v>1376</v>
      </c>
      <c r="B378" t="s">
        <v>427</v>
      </c>
      <c r="C378" t="s">
        <v>28</v>
      </c>
      <c r="D378" t="s">
        <v>140</v>
      </c>
      <c r="E378">
        <v>4</v>
      </c>
      <c r="F378">
        <v>1447.28</v>
      </c>
      <c r="H378">
        <v>0</v>
      </c>
      <c r="I378" t="s">
        <v>55</v>
      </c>
      <c r="J378" t="s">
        <v>22</v>
      </c>
      <c r="K378">
        <v>175.33</v>
      </c>
    </row>
    <row r="379" spans="1:11" x14ac:dyDescent="0.3">
      <c r="A379">
        <v>1377</v>
      </c>
      <c r="B379" t="s">
        <v>428</v>
      </c>
      <c r="C379" t="s">
        <v>19</v>
      </c>
      <c r="D379" t="s">
        <v>87</v>
      </c>
      <c r="E379">
        <v>0</v>
      </c>
      <c r="G379">
        <v>0.65</v>
      </c>
      <c r="H379">
        <v>0</v>
      </c>
      <c r="I379" t="s">
        <v>26</v>
      </c>
      <c r="J379" t="s">
        <v>22</v>
      </c>
      <c r="K379">
        <v>2229.9499999999998</v>
      </c>
    </row>
    <row r="380" spans="1:11" x14ac:dyDescent="0.3">
      <c r="A380">
        <v>1378</v>
      </c>
      <c r="B380" t="s">
        <v>429</v>
      </c>
      <c r="C380" t="s">
        <v>19</v>
      </c>
      <c r="D380" t="s">
        <v>20</v>
      </c>
      <c r="E380">
        <v>5</v>
      </c>
      <c r="F380">
        <v>4581.26</v>
      </c>
      <c r="G380">
        <v>1.18</v>
      </c>
      <c r="H380">
        <v>-4123.13</v>
      </c>
      <c r="I380" t="s">
        <v>39</v>
      </c>
      <c r="K380">
        <v>-345.1</v>
      </c>
    </row>
    <row r="381" spans="1:11" x14ac:dyDescent="0.3">
      <c r="A381">
        <v>1013</v>
      </c>
      <c r="B381" t="s">
        <v>430</v>
      </c>
      <c r="C381" t="s">
        <v>19</v>
      </c>
      <c r="D381" t="s">
        <v>20</v>
      </c>
      <c r="E381">
        <v>2</v>
      </c>
      <c r="H381">
        <v>0</v>
      </c>
      <c r="I381" t="s">
        <v>14</v>
      </c>
      <c r="K381">
        <v>1647.38</v>
      </c>
    </row>
    <row r="382" spans="1:11" x14ac:dyDescent="0.3">
      <c r="A382">
        <v>1380</v>
      </c>
      <c r="B382" t="s">
        <v>431</v>
      </c>
      <c r="C382" t="s">
        <v>37</v>
      </c>
      <c r="D382" t="s">
        <v>90</v>
      </c>
      <c r="E382">
        <v>2</v>
      </c>
      <c r="H382">
        <v>0</v>
      </c>
      <c r="I382" t="s">
        <v>14</v>
      </c>
      <c r="J382" t="s">
        <v>22</v>
      </c>
      <c r="K382">
        <v>-475.94</v>
      </c>
    </row>
    <row r="383" spans="1:11" x14ac:dyDescent="0.3">
      <c r="A383">
        <v>1381</v>
      </c>
      <c r="B383" t="s">
        <v>432</v>
      </c>
      <c r="C383" t="s">
        <v>12</v>
      </c>
      <c r="D383" t="s">
        <v>101</v>
      </c>
      <c r="E383">
        <v>1</v>
      </c>
      <c r="G383">
        <v>1.07</v>
      </c>
      <c r="H383">
        <v>0</v>
      </c>
      <c r="I383" t="s">
        <v>39</v>
      </c>
      <c r="J383" t="s">
        <v>15</v>
      </c>
      <c r="K383">
        <v>-136.30000000000001</v>
      </c>
    </row>
    <row r="384" spans="1:11" x14ac:dyDescent="0.3">
      <c r="A384">
        <v>1382</v>
      </c>
      <c r="B384" t="s">
        <v>433</v>
      </c>
      <c r="C384" t="s">
        <v>12</v>
      </c>
      <c r="D384" t="s">
        <v>35</v>
      </c>
      <c r="E384">
        <v>-2</v>
      </c>
      <c r="H384">
        <v>0</v>
      </c>
      <c r="I384" t="s">
        <v>39</v>
      </c>
      <c r="J384" t="s">
        <v>22</v>
      </c>
      <c r="K384">
        <v>-165.59</v>
      </c>
    </row>
    <row r="385" spans="1:11" x14ac:dyDescent="0.3">
      <c r="A385">
        <v>1383</v>
      </c>
      <c r="B385" t="s">
        <v>434</v>
      </c>
      <c r="C385" t="s">
        <v>37</v>
      </c>
      <c r="D385" t="s">
        <v>58</v>
      </c>
      <c r="E385">
        <v>5</v>
      </c>
      <c r="F385">
        <v>2409.13</v>
      </c>
      <c r="H385">
        <v>0</v>
      </c>
      <c r="I385" t="s">
        <v>45</v>
      </c>
      <c r="J385" t="s">
        <v>15</v>
      </c>
      <c r="K385">
        <v>127.63</v>
      </c>
    </row>
    <row r="386" spans="1:11" x14ac:dyDescent="0.3">
      <c r="A386">
        <v>1048</v>
      </c>
      <c r="B386" t="s">
        <v>435</v>
      </c>
      <c r="C386" t="s">
        <v>24</v>
      </c>
      <c r="D386" t="s">
        <v>65</v>
      </c>
      <c r="E386">
        <v>2</v>
      </c>
      <c r="H386">
        <v>0</v>
      </c>
      <c r="I386" t="s">
        <v>17</v>
      </c>
      <c r="K386">
        <v>2393.9899999999998</v>
      </c>
    </row>
    <row r="387" spans="1:11" x14ac:dyDescent="0.3">
      <c r="A387">
        <v>1385</v>
      </c>
      <c r="B387" t="s">
        <v>436</v>
      </c>
      <c r="C387" t="s">
        <v>37</v>
      </c>
      <c r="D387" t="s">
        <v>62</v>
      </c>
      <c r="E387">
        <v>1</v>
      </c>
      <c r="H387">
        <v>0</v>
      </c>
      <c r="I387" t="s">
        <v>39</v>
      </c>
      <c r="J387" t="s">
        <v>15</v>
      </c>
      <c r="K387">
        <v>2744.77</v>
      </c>
    </row>
    <row r="388" spans="1:11" x14ac:dyDescent="0.3">
      <c r="A388">
        <v>1386</v>
      </c>
      <c r="B388" t="s">
        <v>437</v>
      </c>
      <c r="C388" t="s">
        <v>24</v>
      </c>
      <c r="D388" t="s">
        <v>85</v>
      </c>
      <c r="E388">
        <v>5</v>
      </c>
      <c r="F388">
        <v>4439.8100000000004</v>
      </c>
      <c r="G388">
        <v>1.1000000000000001</v>
      </c>
      <c r="H388">
        <v>-2219.91</v>
      </c>
      <c r="I388" t="s">
        <v>14</v>
      </c>
      <c r="J388" t="s">
        <v>22</v>
      </c>
      <c r="K388">
        <v>1669.09</v>
      </c>
    </row>
    <row r="389" spans="1:11" x14ac:dyDescent="0.3">
      <c r="A389">
        <v>1387</v>
      </c>
      <c r="B389" t="s">
        <v>438</v>
      </c>
      <c r="C389" t="s">
        <v>19</v>
      </c>
      <c r="D389" t="s">
        <v>20</v>
      </c>
      <c r="E389">
        <v>3</v>
      </c>
      <c r="H389">
        <v>0</v>
      </c>
      <c r="I389" t="s">
        <v>45</v>
      </c>
      <c r="K389">
        <v>-505.47</v>
      </c>
    </row>
    <row r="390" spans="1:11" x14ac:dyDescent="0.3">
      <c r="A390">
        <v>1388</v>
      </c>
      <c r="B390" t="s">
        <v>439</v>
      </c>
      <c r="C390" t="s">
        <v>37</v>
      </c>
      <c r="D390" t="s">
        <v>38</v>
      </c>
      <c r="E390">
        <v>4</v>
      </c>
      <c r="H390">
        <v>0</v>
      </c>
      <c r="I390" t="s">
        <v>14</v>
      </c>
      <c r="J390" t="s">
        <v>15</v>
      </c>
      <c r="K390">
        <v>475.79</v>
      </c>
    </row>
    <row r="391" spans="1:11" x14ac:dyDescent="0.3">
      <c r="A391">
        <v>1389</v>
      </c>
      <c r="B391" t="s">
        <v>440</v>
      </c>
      <c r="C391" t="s">
        <v>37</v>
      </c>
      <c r="D391" t="s">
        <v>62</v>
      </c>
      <c r="E391">
        <v>2</v>
      </c>
      <c r="F391">
        <v>2742.38</v>
      </c>
      <c r="H391">
        <v>0</v>
      </c>
      <c r="I391" t="s">
        <v>17</v>
      </c>
      <c r="K391">
        <v>1987.46</v>
      </c>
    </row>
    <row r="392" spans="1:11" x14ac:dyDescent="0.3">
      <c r="A392">
        <v>1390</v>
      </c>
      <c r="B392" t="s">
        <v>441</v>
      </c>
      <c r="C392" t="s">
        <v>12</v>
      </c>
      <c r="D392" t="s">
        <v>13</v>
      </c>
      <c r="E392">
        <v>4</v>
      </c>
      <c r="H392">
        <v>0</v>
      </c>
      <c r="I392" t="s">
        <v>45</v>
      </c>
      <c r="K392">
        <v>1789.75</v>
      </c>
    </row>
    <row r="393" spans="1:11" x14ac:dyDescent="0.3">
      <c r="A393">
        <v>1391</v>
      </c>
      <c r="B393" t="s">
        <v>442</v>
      </c>
      <c r="C393" t="s">
        <v>24</v>
      </c>
      <c r="D393" t="s">
        <v>65</v>
      </c>
      <c r="E393">
        <v>0</v>
      </c>
      <c r="F393">
        <v>2213.79</v>
      </c>
      <c r="G393">
        <v>0.01</v>
      </c>
      <c r="H393">
        <v>0</v>
      </c>
      <c r="I393" t="s">
        <v>30</v>
      </c>
      <c r="K393">
        <v>418.24</v>
      </c>
    </row>
    <row r="394" spans="1:11" x14ac:dyDescent="0.3">
      <c r="A394">
        <v>1014</v>
      </c>
      <c r="B394" t="s">
        <v>443</v>
      </c>
      <c r="C394" t="s">
        <v>12</v>
      </c>
      <c r="D394" t="s">
        <v>101</v>
      </c>
      <c r="F394">
        <v>784.1</v>
      </c>
      <c r="H394">
        <v>0</v>
      </c>
      <c r="I394" t="s">
        <v>14</v>
      </c>
      <c r="K394">
        <v>401.24</v>
      </c>
    </row>
    <row r="395" spans="1:11" x14ac:dyDescent="0.3">
      <c r="A395">
        <v>1393</v>
      </c>
      <c r="B395" t="s">
        <v>444</v>
      </c>
      <c r="C395" t="s">
        <v>19</v>
      </c>
      <c r="D395" t="s">
        <v>79</v>
      </c>
      <c r="E395">
        <v>6</v>
      </c>
      <c r="H395">
        <v>0</v>
      </c>
      <c r="I395" t="s">
        <v>55</v>
      </c>
      <c r="J395" t="s">
        <v>15</v>
      </c>
      <c r="K395">
        <v>2001.24</v>
      </c>
    </row>
    <row r="396" spans="1:11" x14ac:dyDescent="0.3">
      <c r="A396">
        <v>1394</v>
      </c>
      <c r="B396" t="s">
        <v>445</v>
      </c>
      <c r="C396" t="s">
        <v>19</v>
      </c>
      <c r="D396" t="s">
        <v>79</v>
      </c>
      <c r="F396">
        <v>1218.6500000000001</v>
      </c>
      <c r="H396">
        <v>0</v>
      </c>
      <c r="I396" t="s">
        <v>51</v>
      </c>
      <c r="J396" t="s">
        <v>15</v>
      </c>
      <c r="K396">
        <v>2538.59</v>
      </c>
    </row>
    <row r="397" spans="1:11" x14ac:dyDescent="0.3">
      <c r="A397">
        <v>1395</v>
      </c>
      <c r="B397" t="s">
        <v>446</v>
      </c>
      <c r="C397" t="s">
        <v>37</v>
      </c>
      <c r="D397" t="s">
        <v>62</v>
      </c>
      <c r="H397">
        <v>0</v>
      </c>
      <c r="I397" t="s">
        <v>21</v>
      </c>
      <c r="J397" t="s">
        <v>22</v>
      </c>
      <c r="K397">
        <v>-357.08</v>
      </c>
    </row>
    <row r="398" spans="1:11" x14ac:dyDescent="0.3">
      <c r="A398">
        <v>1396</v>
      </c>
      <c r="B398" t="s">
        <v>447</v>
      </c>
      <c r="C398" t="s">
        <v>12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I398" t="s">
        <v>17</v>
      </c>
      <c r="J398" t="s">
        <v>22</v>
      </c>
      <c r="K398">
        <v>1553.44</v>
      </c>
    </row>
    <row r="399" spans="1:11" x14ac:dyDescent="0.3">
      <c r="A399">
        <v>1397</v>
      </c>
      <c r="B399" t="s">
        <v>448</v>
      </c>
      <c r="C399" t="s">
        <v>19</v>
      </c>
      <c r="D399" t="s">
        <v>121</v>
      </c>
      <c r="H399">
        <v>0</v>
      </c>
      <c r="I399" t="s">
        <v>39</v>
      </c>
      <c r="J399" t="s">
        <v>15</v>
      </c>
      <c r="K399">
        <v>1239.6199999999999</v>
      </c>
    </row>
    <row r="400" spans="1:11" x14ac:dyDescent="0.3">
      <c r="A400">
        <v>1398</v>
      </c>
      <c r="B400" t="s">
        <v>449</v>
      </c>
      <c r="C400" t="s">
        <v>37</v>
      </c>
      <c r="D400" t="s">
        <v>38</v>
      </c>
      <c r="H400">
        <v>0</v>
      </c>
      <c r="I400" t="s">
        <v>55</v>
      </c>
      <c r="K400">
        <v>-43.7</v>
      </c>
    </row>
    <row r="401" spans="1:11" x14ac:dyDescent="0.3">
      <c r="A401">
        <v>1399</v>
      </c>
      <c r="B401" t="s">
        <v>450</v>
      </c>
      <c r="C401" t="s">
        <v>19</v>
      </c>
      <c r="D401" t="s">
        <v>87</v>
      </c>
      <c r="E401">
        <v>4</v>
      </c>
      <c r="G401">
        <v>0.35</v>
      </c>
      <c r="H401">
        <v>0</v>
      </c>
      <c r="I401" t="s">
        <v>14</v>
      </c>
      <c r="J401" t="s">
        <v>15</v>
      </c>
      <c r="K401">
        <v>-444.08</v>
      </c>
    </row>
    <row r="402" spans="1:11" x14ac:dyDescent="0.3">
      <c r="A402">
        <v>1400</v>
      </c>
      <c r="B402" t="s">
        <v>451</v>
      </c>
      <c r="C402" t="s">
        <v>32</v>
      </c>
      <c r="D402" t="s">
        <v>71</v>
      </c>
      <c r="H402">
        <v>0</v>
      </c>
      <c r="I402" t="s">
        <v>14</v>
      </c>
      <c r="K402">
        <v>1385.55</v>
      </c>
    </row>
    <row r="403" spans="1:11" x14ac:dyDescent="0.3">
      <c r="A403">
        <v>1401</v>
      </c>
      <c r="B403" t="s">
        <v>452</v>
      </c>
      <c r="C403" t="s">
        <v>32</v>
      </c>
      <c r="D403" t="s">
        <v>71</v>
      </c>
      <c r="E403">
        <v>-2</v>
      </c>
      <c r="H403">
        <v>0</v>
      </c>
      <c r="I403" t="s">
        <v>55</v>
      </c>
      <c r="K403">
        <v>-751.05</v>
      </c>
    </row>
    <row r="404" spans="1:11" x14ac:dyDescent="0.3">
      <c r="A404">
        <v>1402</v>
      </c>
      <c r="B404" t="s">
        <v>453</v>
      </c>
      <c r="C404" t="s">
        <v>28</v>
      </c>
      <c r="D404" t="s">
        <v>119</v>
      </c>
      <c r="F404">
        <v>603.51</v>
      </c>
      <c r="G404">
        <v>1.23</v>
      </c>
      <c r="H404">
        <v>0</v>
      </c>
      <c r="I404" t="s">
        <v>30</v>
      </c>
      <c r="J404" t="s">
        <v>15</v>
      </c>
      <c r="K404">
        <v>982.01</v>
      </c>
    </row>
    <row r="405" spans="1:11" x14ac:dyDescent="0.3">
      <c r="A405">
        <v>1403</v>
      </c>
      <c r="B405" t="s">
        <v>454</v>
      </c>
      <c r="C405" t="s">
        <v>32</v>
      </c>
      <c r="D405" t="s">
        <v>33</v>
      </c>
      <c r="H405">
        <v>0</v>
      </c>
      <c r="I405" t="s">
        <v>51</v>
      </c>
      <c r="K405">
        <v>2210.0700000000002</v>
      </c>
    </row>
    <row r="406" spans="1:11" x14ac:dyDescent="0.3">
      <c r="A406">
        <v>1404</v>
      </c>
      <c r="B406" t="s">
        <v>455</v>
      </c>
      <c r="C406" t="s">
        <v>28</v>
      </c>
      <c r="D406" t="s">
        <v>119</v>
      </c>
      <c r="F406">
        <v>3074.59</v>
      </c>
      <c r="H406">
        <v>0</v>
      </c>
      <c r="I406" t="s">
        <v>39</v>
      </c>
      <c r="J406" t="s">
        <v>15</v>
      </c>
      <c r="K406">
        <v>1979.07</v>
      </c>
    </row>
    <row r="407" spans="1:11" x14ac:dyDescent="0.3">
      <c r="A407">
        <v>1405</v>
      </c>
      <c r="B407" t="s">
        <v>456</v>
      </c>
      <c r="C407" t="s">
        <v>37</v>
      </c>
      <c r="D407" t="s">
        <v>58</v>
      </c>
      <c r="G407">
        <v>0.56000000000000005</v>
      </c>
      <c r="H407">
        <v>0</v>
      </c>
      <c r="I407" t="s">
        <v>21</v>
      </c>
      <c r="J407" t="s">
        <v>15</v>
      </c>
      <c r="K407">
        <v>2345.6799999999998</v>
      </c>
    </row>
    <row r="408" spans="1:11" x14ac:dyDescent="0.3">
      <c r="A408">
        <v>1406</v>
      </c>
      <c r="B408" t="s">
        <v>457</v>
      </c>
      <c r="C408" t="s">
        <v>37</v>
      </c>
      <c r="D408" t="s">
        <v>58</v>
      </c>
      <c r="H408">
        <v>0</v>
      </c>
      <c r="I408" t="s">
        <v>39</v>
      </c>
      <c r="K408">
        <v>-863.17</v>
      </c>
    </row>
    <row r="409" spans="1:11" x14ac:dyDescent="0.3">
      <c r="A409">
        <v>1407</v>
      </c>
      <c r="B409" t="s">
        <v>458</v>
      </c>
      <c r="C409" t="s">
        <v>32</v>
      </c>
      <c r="D409" t="s">
        <v>81</v>
      </c>
      <c r="F409">
        <v>4977.8100000000004</v>
      </c>
      <c r="H409">
        <v>0</v>
      </c>
      <c r="I409" t="s">
        <v>17</v>
      </c>
      <c r="J409" t="s">
        <v>22</v>
      </c>
      <c r="K409">
        <v>2041.12</v>
      </c>
    </row>
    <row r="410" spans="1:11" x14ac:dyDescent="0.3">
      <c r="A410">
        <v>1408</v>
      </c>
      <c r="B410" t="s">
        <v>459</v>
      </c>
      <c r="C410" t="s">
        <v>24</v>
      </c>
      <c r="D410" t="s">
        <v>85</v>
      </c>
      <c r="H410">
        <v>0</v>
      </c>
      <c r="I410" t="s">
        <v>21</v>
      </c>
      <c r="J410" t="s">
        <v>22</v>
      </c>
      <c r="K410">
        <v>2305.3200000000002</v>
      </c>
    </row>
    <row r="411" spans="1:11" x14ac:dyDescent="0.3">
      <c r="A411">
        <v>1409</v>
      </c>
      <c r="B411" t="s">
        <v>460</v>
      </c>
      <c r="C411" t="s">
        <v>28</v>
      </c>
      <c r="D411" t="s">
        <v>140</v>
      </c>
      <c r="E411">
        <v>6</v>
      </c>
      <c r="H411">
        <v>0</v>
      </c>
      <c r="I411" t="s">
        <v>45</v>
      </c>
      <c r="J411" t="s">
        <v>15</v>
      </c>
      <c r="K411">
        <v>-941.44</v>
      </c>
    </row>
    <row r="412" spans="1:11" x14ac:dyDescent="0.3">
      <c r="A412">
        <v>1410</v>
      </c>
      <c r="B412" t="s">
        <v>461</v>
      </c>
      <c r="C412" t="s">
        <v>12</v>
      </c>
      <c r="D412" t="s">
        <v>101</v>
      </c>
      <c r="E412">
        <v>6</v>
      </c>
      <c r="F412">
        <v>4445.8100000000004</v>
      </c>
      <c r="H412">
        <v>0</v>
      </c>
      <c r="I412" t="s">
        <v>14</v>
      </c>
      <c r="K412">
        <v>-654.59</v>
      </c>
    </row>
    <row r="413" spans="1:11" x14ac:dyDescent="0.3">
      <c r="A413">
        <v>1411</v>
      </c>
      <c r="B413" t="s">
        <v>462</v>
      </c>
      <c r="C413" t="s">
        <v>37</v>
      </c>
      <c r="D413" t="s">
        <v>62</v>
      </c>
      <c r="F413">
        <v>4946.7700000000004</v>
      </c>
      <c r="H413">
        <v>0</v>
      </c>
      <c r="I413" t="s">
        <v>21</v>
      </c>
      <c r="K413">
        <v>1520.19</v>
      </c>
    </row>
    <row r="414" spans="1:11" x14ac:dyDescent="0.3">
      <c r="A414">
        <v>1412</v>
      </c>
      <c r="B414" t="s">
        <v>463</v>
      </c>
      <c r="C414" t="s">
        <v>24</v>
      </c>
      <c r="D414" t="s">
        <v>65</v>
      </c>
      <c r="H414">
        <v>0</v>
      </c>
      <c r="I414" t="s">
        <v>55</v>
      </c>
      <c r="J414" t="s">
        <v>15</v>
      </c>
      <c r="K414">
        <v>2314.9299999999998</v>
      </c>
    </row>
    <row r="415" spans="1:11" x14ac:dyDescent="0.3">
      <c r="A415">
        <v>1413</v>
      </c>
      <c r="B415" t="s">
        <v>464</v>
      </c>
      <c r="C415" t="s">
        <v>37</v>
      </c>
      <c r="D415" t="s">
        <v>58</v>
      </c>
      <c r="E415">
        <v>1</v>
      </c>
      <c r="G415">
        <v>0.17</v>
      </c>
      <c r="H415">
        <v>0</v>
      </c>
      <c r="I415" t="s">
        <v>17</v>
      </c>
      <c r="J415" t="s">
        <v>15</v>
      </c>
      <c r="K415">
        <v>1539.28</v>
      </c>
    </row>
    <row r="416" spans="1:11" x14ac:dyDescent="0.3">
      <c r="A416">
        <v>1414</v>
      </c>
      <c r="B416" t="s">
        <v>465</v>
      </c>
      <c r="C416" t="s">
        <v>32</v>
      </c>
      <c r="D416" t="s">
        <v>43</v>
      </c>
      <c r="H416">
        <v>0</v>
      </c>
      <c r="I416" t="s">
        <v>17</v>
      </c>
      <c r="K416">
        <v>2843.55</v>
      </c>
    </row>
    <row r="417" spans="1:11" x14ac:dyDescent="0.3">
      <c r="A417">
        <v>1415</v>
      </c>
      <c r="B417" t="s">
        <v>466</v>
      </c>
      <c r="C417" t="s">
        <v>19</v>
      </c>
      <c r="D417" t="s">
        <v>20</v>
      </c>
      <c r="F417">
        <v>3149</v>
      </c>
      <c r="H417">
        <v>0</v>
      </c>
      <c r="I417" t="s">
        <v>26</v>
      </c>
      <c r="K417">
        <v>2661.23</v>
      </c>
    </row>
    <row r="418" spans="1:11" x14ac:dyDescent="0.3">
      <c r="A418">
        <v>1416</v>
      </c>
      <c r="B418" t="s">
        <v>467</v>
      </c>
      <c r="C418" t="s">
        <v>28</v>
      </c>
      <c r="D418" t="s">
        <v>119</v>
      </c>
      <c r="F418">
        <v>3527.15</v>
      </c>
      <c r="H418">
        <v>0</v>
      </c>
      <c r="I418" t="s">
        <v>51</v>
      </c>
      <c r="K418">
        <v>2286.48</v>
      </c>
    </row>
    <row r="419" spans="1:11" x14ac:dyDescent="0.3">
      <c r="A419">
        <v>1417</v>
      </c>
      <c r="B419" t="s">
        <v>468</v>
      </c>
      <c r="C419" t="s">
        <v>37</v>
      </c>
      <c r="D419" t="s">
        <v>62</v>
      </c>
      <c r="H419">
        <v>0</v>
      </c>
      <c r="I419" t="s">
        <v>39</v>
      </c>
      <c r="J419" t="s">
        <v>22</v>
      </c>
      <c r="K419">
        <v>888.59</v>
      </c>
    </row>
    <row r="420" spans="1:11" x14ac:dyDescent="0.3">
      <c r="A420">
        <v>1418</v>
      </c>
      <c r="B420" t="s">
        <v>469</v>
      </c>
      <c r="C420" t="s">
        <v>37</v>
      </c>
      <c r="D420" t="s">
        <v>90</v>
      </c>
      <c r="G420">
        <v>0.13</v>
      </c>
      <c r="H420">
        <v>0</v>
      </c>
      <c r="I420" t="s">
        <v>39</v>
      </c>
      <c r="J420" t="s">
        <v>22</v>
      </c>
      <c r="K420">
        <v>1403.76</v>
      </c>
    </row>
    <row r="421" spans="1:11" x14ac:dyDescent="0.3">
      <c r="A421">
        <v>1419</v>
      </c>
      <c r="B421" t="s">
        <v>470</v>
      </c>
      <c r="C421" t="s">
        <v>19</v>
      </c>
      <c r="D421" t="s">
        <v>79</v>
      </c>
      <c r="E421">
        <v>2</v>
      </c>
      <c r="H421">
        <v>0</v>
      </c>
      <c r="I421" t="s">
        <v>51</v>
      </c>
      <c r="J421" t="s">
        <v>22</v>
      </c>
      <c r="K421">
        <v>-565.16999999999996</v>
      </c>
    </row>
    <row r="422" spans="1:11" x14ac:dyDescent="0.3">
      <c r="A422">
        <v>1420</v>
      </c>
      <c r="B422" t="s">
        <v>471</v>
      </c>
      <c r="C422" t="s">
        <v>24</v>
      </c>
      <c r="D422" t="s">
        <v>25</v>
      </c>
      <c r="G422">
        <v>0.96</v>
      </c>
      <c r="H422">
        <v>0</v>
      </c>
      <c r="I422" t="s">
        <v>17</v>
      </c>
      <c r="J422" t="s">
        <v>22</v>
      </c>
      <c r="K422">
        <v>2790.42</v>
      </c>
    </row>
    <row r="423" spans="1:11" x14ac:dyDescent="0.3">
      <c r="A423">
        <v>1421</v>
      </c>
      <c r="B423" t="s">
        <v>472</v>
      </c>
      <c r="C423" t="s">
        <v>32</v>
      </c>
      <c r="D423" t="s">
        <v>71</v>
      </c>
      <c r="E423">
        <v>0</v>
      </c>
      <c r="H423">
        <v>0</v>
      </c>
      <c r="I423" t="s">
        <v>17</v>
      </c>
      <c r="K423">
        <v>575.19000000000005</v>
      </c>
    </row>
    <row r="424" spans="1:11" x14ac:dyDescent="0.3">
      <c r="A424">
        <v>1422</v>
      </c>
      <c r="B424" t="s">
        <v>473</v>
      </c>
      <c r="C424" t="s">
        <v>12</v>
      </c>
      <c r="D424" t="s">
        <v>35</v>
      </c>
      <c r="F424">
        <v>4466.49</v>
      </c>
      <c r="H424">
        <v>0</v>
      </c>
      <c r="I424" t="s">
        <v>17</v>
      </c>
      <c r="J424" t="s">
        <v>22</v>
      </c>
      <c r="K424">
        <v>2168.7800000000002</v>
      </c>
    </row>
    <row r="425" spans="1:11" x14ac:dyDescent="0.3">
      <c r="A425">
        <v>1423</v>
      </c>
      <c r="B425" t="s">
        <v>474</v>
      </c>
      <c r="C425" t="s">
        <v>19</v>
      </c>
      <c r="D425" t="s">
        <v>121</v>
      </c>
      <c r="H425">
        <v>0</v>
      </c>
      <c r="I425" t="s">
        <v>51</v>
      </c>
      <c r="K425">
        <v>1302.05</v>
      </c>
    </row>
    <row r="426" spans="1:11" x14ac:dyDescent="0.3">
      <c r="A426">
        <v>1424</v>
      </c>
      <c r="B426" t="s">
        <v>475</v>
      </c>
      <c r="C426" t="s">
        <v>32</v>
      </c>
      <c r="D426" t="s">
        <v>71</v>
      </c>
      <c r="E426">
        <v>-1</v>
      </c>
      <c r="F426">
        <v>538.6</v>
      </c>
      <c r="G426">
        <v>1.18</v>
      </c>
      <c r="H426">
        <v>96.95</v>
      </c>
      <c r="I426" t="s">
        <v>30</v>
      </c>
      <c r="K426">
        <v>752.81</v>
      </c>
    </row>
    <row r="427" spans="1:11" x14ac:dyDescent="0.3">
      <c r="A427">
        <v>1425</v>
      </c>
      <c r="B427" t="s">
        <v>476</v>
      </c>
      <c r="C427" t="s">
        <v>28</v>
      </c>
      <c r="D427" t="s">
        <v>140</v>
      </c>
      <c r="F427">
        <v>1133.73</v>
      </c>
      <c r="H427">
        <v>0</v>
      </c>
      <c r="I427" t="s">
        <v>45</v>
      </c>
      <c r="J427" t="s">
        <v>22</v>
      </c>
      <c r="K427">
        <v>2604.14</v>
      </c>
    </row>
    <row r="428" spans="1:11" x14ac:dyDescent="0.3">
      <c r="A428">
        <v>1426</v>
      </c>
      <c r="B428" t="s">
        <v>477</v>
      </c>
      <c r="C428" t="s">
        <v>12</v>
      </c>
      <c r="D428" t="s">
        <v>101</v>
      </c>
      <c r="E428">
        <v>-2</v>
      </c>
      <c r="F428">
        <v>3175.17</v>
      </c>
      <c r="G428">
        <v>0.86</v>
      </c>
      <c r="H428">
        <v>-889.05</v>
      </c>
      <c r="I428" t="s">
        <v>55</v>
      </c>
      <c r="J428" t="s">
        <v>22</v>
      </c>
      <c r="K428">
        <v>2860.99</v>
      </c>
    </row>
    <row r="429" spans="1:11" x14ac:dyDescent="0.3">
      <c r="A429">
        <v>1427</v>
      </c>
      <c r="B429" t="s">
        <v>478</v>
      </c>
      <c r="C429" t="s">
        <v>24</v>
      </c>
      <c r="D429" t="s">
        <v>85</v>
      </c>
      <c r="H429">
        <v>0</v>
      </c>
      <c r="I429" t="s">
        <v>21</v>
      </c>
      <c r="J429" t="s">
        <v>15</v>
      </c>
      <c r="K429">
        <v>2795.17</v>
      </c>
    </row>
    <row r="430" spans="1:11" x14ac:dyDescent="0.3">
      <c r="A430">
        <v>1015</v>
      </c>
      <c r="B430" t="s">
        <v>479</v>
      </c>
      <c r="C430" t="s">
        <v>12</v>
      </c>
      <c r="D430" t="s">
        <v>35</v>
      </c>
      <c r="H430">
        <v>0</v>
      </c>
      <c r="I430" t="s">
        <v>14</v>
      </c>
      <c r="K430">
        <v>1869.46</v>
      </c>
    </row>
    <row r="431" spans="1:11" x14ac:dyDescent="0.3">
      <c r="A431">
        <v>1429</v>
      </c>
      <c r="B431" t="s">
        <v>480</v>
      </c>
      <c r="C431" t="s">
        <v>37</v>
      </c>
      <c r="D431" t="s">
        <v>90</v>
      </c>
      <c r="F431">
        <v>3292.01</v>
      </c>
      <c r="H431">
        <v>0</v>
      </c>
      <c r="I431" t="s">
        <v>14</v>
      </c>
      <c r="J431" t="s">
        <v>22</v>
      </c>
      <c r="K431">
        <v>-358.22</v>
      </c>
    </row>
    <row r="432" spans="1:11" x14ac:dyDescent="0.3">
      <c r="A432">
        <v>1430</v>
      </c>
      <c r="B432" t="s">
        <v>481</v>
      </c>
      <c r="C432" t="s">
        <v>12</v>
      </c>
      <c r="D432" t="s">
        <v>48</v>
      </c>
      <c r="E432">
        <v>-2</v>
      </c>
      <c r="G432">
        <v>0.67</v>
      </c>
      <c r="H432">
        <v>0</v>
      </c>
      <c r="I432" t="s">
        <v>45</v>
      </c>
      <c r="J432" t="s">
        <v>15</v>
      </c>
      <c r="K432">
        <v>2045.56</v>
      </c>
    </row>
    <row r="433" spans="1:11" x14ac:dyDescent="0.3">
      <c r="A433">
        <v>1431</v>
      </c>
      <c r="B433" t="s">
        <v>482</v>
      </c>
      <c r="C433" t="s">
        <v>28</v>
      </c>
      <c r="D433" t="s">
        <v>119</v>
      </c>
      <c r="H433">
        <v>0</v>
      </c>
      <c r="I433" t="s">
        <v>14</v>
      </c>
      <c r="J433" t="s">
        <v>22</v>
      </c>
      <c r="K433">
        <v>2191.02</v>
      </c>
    </row>
    <row r="434" spans="1:11" x14ac:dyDescent="0.3">
      <c r="A434">
        <v>1432</v>
      </c>
      <c r="B434" t="s">
        <v>483</v>
      </c>
      <c r="C434" t="s">
        <v>24</v>
      </c>
      <c r="D434" t="s">
        <v>53</v>
      </c>
      <c r="H434">
        <v>0</v>
      </c>
      <c r="I434" t="s">
        <v>17</v>
      </c>
      <c r="J434" t="s">
        <v>22</v>
      </c>
      <c r="K434">
        <v>-849.15</v>
      </c>
    </row>
    <row r="435" spans="1:11" x14ac:dyDescent="0.3">
      <c r="A435">
        <v>1433</v>
      </c>
      <c r="B435" t="s">
        <v>484</v>
      </c>
      <c r="C435" t="s">
        <v>32</v>
      </c>
      <c r="D435" t="s">
        <v>43</v>
      </c>
      <c r="E435">
        <v>2</v>
      </c>
      <c r="G435">
        <v>0.7</v>
      </c>
      <c r="H435">
        <v>0</v>
      </c>
      <c r="I435" t="s">
        <v>21</v>
      </c>
      <c r="J435" t="s">
        <v>22</v>
      </c>
      <c r="K435">
        <v>-878.85</v>
      </c>
    </row>
    <row r="436" spans="1:11" x14ac:dyDescent="0.3">
      <c r="A436">
        <v>1434</v>
      </c>
      <c r="B436" t="s">
        <v>485</v>
      </c>
      <c r="C436" t="s">
        <v>12</v>
      </c>
      <c r="D436" t="s">
        <v>35</v>
      </c>
      <c r="E436">
        <v>0</v>
      </c>
      <c r="F436">
        <v>476.2</v>
      </c>
      <c r="G436">
        <v>1.03</v>
      </c>
      <c r="H436">
        <v>0</v>
      </c>
      <c r="I436" t="s">
        <v>55</v>
      </c>
      <c r="J436" t="s">
        <v>15</v>
      </c>
      <c r="K436">
        <v>-310.8</v>
      </c>
    </row>
    <row r="437" spans="1:11" x14ac:dyDescent="0.3">
      <c r="A437">
        <v>1435</v>
      </c>
      <c r="B437" t="s">
        <v>486</v>
      </c>
      <c r="C437" t="s">
        <v>32</v>
      </c>
      <c r="D437" t="s">
        <v>71</v>
      </c>
      <c r="E437">
        <v>3</v>
      </c>
      <c r="H437">
        <v>0</v>
      </c>
      <c r="I437" t="s">
        <v>51</v>
      </c>
      <c r="J437" t="s">
        <v>22</v>
      </c>
      <c r="K437">
        <v>904.65</v>
      </c>
    </row>
    <row r="438" spans="1:11" x14ac:dyDescent="0.3">
      <c r="A438">
        <v>1436</v>
      </c>
      <c r="B438" t="s">
        <v>487</v>
      </c>
      <c r="C438" t="s">
        <v>32</v>
      </c>
      <c r="D438" t="s">
        <v>71</v>
      </c>
      <c r="G438">
        <v>1.26</v>
      </c>
      <c r="H438">
        <v>0</v>
      </c>
      <c r="I438" t="s">
        <v>17</v>
      </c>
      <c r="J438" t="s">
        <v>15</v>
      </c>
      <c r="K438">
        <v>1445.93</v>
      </c>
    </row>
    <row r="439" spans="1:11" x14ac:dyDescent="0.3">
      <c r="A439">
        <v>1437</v>
      </c>
      <c r="B439" t="s">
        <v>488</v>
      </c>
      <c r="C439" t="s">
        <v>12</v>
      </c>
      <c r="D439" t="s">
        <v>35</v>
      </c>
      <c r="E439">
        <v>0</v>
      </c>
      <c r="F439">
        <v>3886.3</v>
      </c>
      <c r="G439">
        <v>0.34</v>
      </c>
      <c r="H439">
        <v>0</v>
      </c>
      <c r="I439" t="s">
        <v>14</v>
      </c>
      <c r="J439" t="s">
        <v>15</v>
      </c>
      <c r="K439">
        <v>131.47999999999999</v>
      </c>
    </row>
    <row r="440" spans="1:11" x14ac:dyDescent="0.3">
      <c r="A440">
        <v>1438</v>
      </c>
      <c r="B440" t="s">
        <v>489</v>
      </c>
      <c r="C440" t="s">
        <v>37</v>
      </c>
      <c r="D440" t="s">
        <v>62</v>
      </c>
      <c r="F440">
        <v>2663.97</v>
      </c>
      <c r="G440">
        <v>0.84</v>
      </c>
      <c r="H440">
        <v>0</v>
      </c>
      <c r="I440" t="s">
        <v>45</v>
      </c>
      <c r="K440">
        <v>1014.29</v>
      </c>
    </row>
    <row r="441" spans="1:11" x14ac:dyDescent="0.3">
      <c r="A441">
        <v>1439</v>
      </c>
      <c r="B441" t="s">
        <v>490</v>
      </c>
      <c r="C441" t="s">
        <v>32</v>
      </c>
      <c r="D441" t="s">
        <v>81</v>
      </c>
      <c r="H441">
        <v>0</v>
      </c>
      <c r="I441" t="s">
        <v>17</v>
      </c>
      <c r="J441" t="s">
        <v>22</v>
      </c>
      <c r="K441">
        <v>726.42</v>
      </c>
    </row>
    <row r="442" spans="1:11" x14ac:dyDescent="0.3">
      <c r="A442">
        <v>1440</v>
      </c>
      <c r="B442" t="s">
        <v>491</v>
      </c>
      <c r="C442" t="s">
        <v>37</v>
      </c>
      <c r="D442" t="s">
        <v>90</v>
      </c>
      <c r="E442">
        <v>0</v>
      </c>
      <c r="F442">
        <v>635.12</v>
      </c>
      <c r="G442">
        <v>0.32</v>
      </c>
      <c r="H442">
        <v>0</v>
      </c>
      <c r="I442" t="s">
        <v>30</v>
      </c>
      <c r="J442" t="s">
        <v>15</v>
      </c>
      <c r="K442">
        <v>-476.72</v>
      </c>
    </row>
    <row r="443" spans="1:11" x14ac:dyDescent="0.3">
      <c r="A443">
        <v>1441</v>
      </c>
      <c r="B443" t="s">
        <v>492</v>
      </c>
      <c r="C443" t="s">
        <v>12</v>
      </c>
      <c r="D443" t="s">
        <v>13</v>
      </c>
      <c r="H443">
        <v>0</v>
      </c>
      <c r="I443" t="s">
        <v>26</v>
      </c>
      <c r="K443">
        <v>-316.51</v>
      </c>
    </row>
    <row r="444" spans="1:11" x14ac:dyDescent="0.3">
      <c r="A444">
        <v>1442</v>
      </c>
      <c r="B444" t="s">
        <v>493</v>
      </c>
      <c r="C444" t="s">
        <v>24</v>
      </c>
      <c r="D444" t="s">
        <v>65</v>
      </c>
      <c r="E444">
        <v>0</v>
      </c>
      <c r="F444">
        <v>3001.28</v>
      </c>
      <c r="H444">
        <v>0</v>
      </c>
      <c r="I444" t="s">
        <v>14</v>
      </c>
      <c r="J444" t="s">
        <v>15</v>
      </c>
      <c r="K444">
        <v>1218.28</v>
      </c>
    </row>
    <row r="445" spans="1:11" x14ac:dyDescent="0.3">
      <c r="A445">
        <v>1443</v>
      </c>
      <c r="B445" t="s">
        <v>494</v>
      </c>
      <c r="C445" t="s">
        <v>32</v>
      </c>
      <c r="D445" t="s">
        <v>33</v>
      </c>
      <c r="H445">
        <v>0</v>
      </c>
      <c r="I445" t="s">
        <v>39</v>
      </c>
      <c r="K445">
        <v>2962.6</v>
      </c>
    </row>
    <row r="446" spans="1:11" x14ac:dyDescent="0.3">
      <c r="A446">
        <v>1444</v>
      </c>
      <c r="B446" t="s">
        <v>495</v>
      </c>
      <c r="C446" t="s">
        <v>28</v>
      </c>
      <c r="D446" t="s">
        <v>119</v>
      </c>
      <c r="E446">
        <v>3</v>
      </c>
      <c r="F446">
        <v>3452.16</v>
      </c>
      <c r="H446">
        <v>0</v>
      </c>
      <c r="I446" t="s">
        <v>21</v>
      </c>
      <c r="K446">
        <v>810.8</v>
      </c>
    </row>
    <row r="447" spans="1:11" x14ac:dyDescent="0.3">
      <c r="A447">
        <v>1445</v>
      </c>
      <c r="B447" t="s">
        <v>496</v>
      </c>
      <c r="C447" t="s">
        <v>19</v>
      </c>
      <c r="D447" t="s">
        <v>79</v>
      </c>
      <c r="F447">
        <v>1370.36</v>
      </c>
      <c r="G447">
        <v>0.54</v>
      </c>
      <c r="H447">
        <v>0</v>
      </c>
      <c r="I447" t="s">
        <v>21</v>
      </c>
      <c r="J447" t="s">
        <v>15</v>
      </c>
      <c r="K447">
        <v>2846.13</v>
      </c>
    </row>
    <row r="448" spans="1:11" x14ac:dyDescent="0.3">
      <c r="A448">
        <v>1446</v>
      </c>
      <c r="B448" t="s">
        <v>497</v>
      </c>
      <c r="C448" t="s">
        <v>24</v>
      </c>
      <c r="D448" t="s">
        <v>25</v>
      </c>
      <c r="F448">
        <v>2827.68</v>
      </c>
      <c r="G448">
        <v>0.86</v>
      </c>
      <c r="H448">
        <v>0</v>
      </c>
      <c r="I448" t="s">
        <v>14</v>
      </c>
      <c r="K448">
        <v>-602.57000000000005</v>
      </c>
    </row>
    <row r="449" spans="1:11" x14ac:dyDescent="0.3">
      <c r="A449">
        <v>1031</v>
      </c>
      <c r="B449" t="s">
        <v>498</v>
      </c>
      <c r="C449" t="s">
        <v>32</v>
      </c>
      <c r="D449" t="s">
        <v>71</v>
      </c>
      <c r="E449">
        <v>6</v>
      </c>
      <c r="F449">
        <v>3792.09</v>
      </c>
      <c r="H449">
        <v>0</v>
      </c>
      <c r="I449" t="s">
        <v>39</v>
      </c>
      <c r="J449" t="s">
        <v>15</v>
      </c>
      <c r="K449">
        <v>194.31</v>
      </c>
    </row>
    <row r="450" spans="1:11" x14ac:dyDescent="0.3">
      <c r="A450">
        <v>1448</v>
      </c>
      <c r="B450" t="s">
        <v>499</v>
      </c>
      <c r="C450" t="s">
        <v>12</v>
      </c>
      <c r="D450" t="s">
        <v>13</v>
      </c>
      <c r="F450">
        <v>1657.95</v>
      </c>
      <c r="H450">
        <v>0</v>
      </c>
      <c r="I450" t="s">
        <v>45</v>
      </c>
      <c r="J450" t="s">
        <v>22</v>
      </c>
      <c r="K450">
        <v>1948.49</v>
      </c>
    </row>
    <row r="451" spans="1:11" x14ac:dyDescent="0.3">
      <c r="A451">
        <v>1449</v>
      </c>
      <c r="B451" t="s">
        <v>500</v>
      </c>
      <c r="C451" t="s">
        <v>12</v>
      </c>
      <c r="D451" t="s">
        <v>48</v>
      </c>
      <c r="F451">
        <v>2855.53</v>
      </c>
      <c r="G451">
        <v>0.55000000000000004</v>
      </c>
      <c r="H451">
        <v>0</v>
      </c>
      <c r="I451" t="s">
        <v>17</v>
      </c>
      <c r="J451" t="s">
        <v>15</v>
      </c>
      <c r="K451">
        <v>2598.7399999999998</v>
      </c>
    </row>
    <row r="452" spans="1:11" x14ac:dyDescent="0.3">
      <c r="A452">
        <v>1043</v>
      </c>
      <c r="B452" t="s">
        <v>501</v>
      </c>
      <c r="C452" t="s">
        <v>32</v>
      </c>
      <c r="D452" t="s">
        <v>81</v>
      </c>
      <c r="E452">
        <v>4</v>
      </c>
      <c r="H452">
        <v>0</v>
      </c>
      <c r="I452" t="s">
        <v>14</v>
      </c>
      <c r="J452" t="s">
        <v>15</v>
      </c>
      <c r="K452">
        <v>-401.44</v>
      </c>
    </row>
    <row r="453" spans="1:11" x14ac:dyDescent="0.3">
      <c r="A453">
        <v>1451</v>
      </c>
      <c r="B453" t="s">
        <v>502</v>
      </c>
      <c r="C453" t="s">
        <v>24</v>
      </c>
      <c r="D453" t="s">
        <v>65</v>
      </c>
      <c r="F453">
        <v>620.64</v>
      </c>
      <c r="H453">
        <v>0</v>
      </c>
      <c r="I453" t="s">
        <v>30</v>
      </c>
      <c r="K453">
        <v>1553.39</v>
      </c>
    </row>
    <row r="454" spans="1:11" x14ac:dyDescent="0.3">
      <c r="A454">
        <v>1452</v>
      </c>
      <c r="B454" t="s">
        <v>503</v>
      </c>
      <c r="C454" t="s">
        <v>28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I454" t="s">
        <v>14</v>
      </c>
      <c r="J454" t="s">
        <v>15</v>
      </c>
      <c r="K454">
        <v>918.54</v>
      </c>
    </row>
    <row r="455" spans="1:11" x14ac:dyDescent="0.3">
      <c r="A455">
        <v>1453</v>
      </c>
      <c r="B455" t="s">
        <v>504</v>
      </c>
      <c r="C455" t="s">
        <v>12</v>
      </c>
      <c r="D455" t="s">
        <v>48</v>
      </c>
      <c r="E455">
        <v>0</v>
      </c>
      <c r="G455">
        <v>0.18</v>
      </c>
      <c r="H455">
        <v>0</v>
      </c>
      <c r="I455" t="s">
        <v>39</v>
      </c>
      <c r="J455" t="s">
        <v>22</v>
      </c>
      <c r="K455">
        <v>1465.97</v>
      </c>
    </row>
    <row r="456" spans="1:11" x14ac:dyDescent="0.3">
      <c r="A456">
        <v>1454</v>
      </c>
      <c r="B456" t="s">
        <v>505</v>
      </c>
      <c r="C456" t="s">
        <v>28</v>
      </c>
      <c r="D456" t="s">
        <v>41</v>
      </c>
      <c r="F456">
        <v>4523.58</v>
      </c>
      <c r="H456">
        <v>0</v>
      </c>
      <c r="I456" t="s">
        <v>45</v>
      </c>
      <c r="K456">
        <v>2424.44</v>
      </c>
    </row>
    <row r="457" spans="1:11" x14ac:dyDescent="0.3">
      <c r="A457">
        <v>1455</v>
      </c>
      <c r="B457" t="s">
        <v>506</v>
      </c>
      <c r="C457" t="s">
        <v>32</v>
      </c>
      <c r="D457" t="s">
        <v>71</v>
      </c>
      <c r="H457">
        <v>0</v>
      </c>
      <c r="I457" t="s">
        <v>14</v>
      </c>
      <c r="K457">
        <v>743.47</v>
      </c>
    </row>
    <row r="458" spans="1:11" x14ac:dyDescent="0.3">
      <c r="A458">
        <v>1456</v>
      </c>
      <c r="B458" t="s">
        <v>507</v>
      </c>
      <c r="C458" t="s">
        <v>32</v>
      </c>
      <c r="D458" t="s">
        <v>81</v>
      </c>
      <c r="E458">
        <v>2</v>
      </c>
      <c r="H458">
        <v>0</v>
      </c>
      <c r="I458" t="s">
        <v>39</v>
      </c>
      <c r="J458" t="s">
        <v>15</v>
      </c>
      <c r="K458">
        <v>1350.12</v>
      </c>
    </row>
    <row r="459" spans="1:11" x14ac:dyDescent="0.3">
      <c r="A459">
        <v>1457</v>
      </c>
      <c r="B459" t="s">
        <v>508</v>
      </c>
      <c r="C459" t="s">
        <v>28</v>
      </c>
      <c r="D459" t="s">
        <v>119</v>
      </c>
      <c r="E459">
        <v>0</v>
      </c>
      <c r="F459">
        <v>2342.25</v>
      </c>
      <c r="H459">
        <v>0</v>
      </c>
      <c r="I459" t="s">
        <v>26</v>
      </c>
      <c r="J459" t="s">
        <v>22</v>
      </c>
      <c r="K459">
        <v>750.64</v>
      </c>
    </row>
    <row r="460" spans="1:11" x14ac:dyDescent="0.3">
      <c r="A460">
        <v>1458</v>
      </c>
      <c r="B460" t="s">
        <v>509</v>
      </c>
      <c r="C460" t="s">
        <v>19</v>
      </c>
      <c r="D460" t="s">
        <v>20</v>
      </c>
      <c r="E460">
        <v>6</v>
      </c>
      <c r="G460">
        <v>0.27</v>
      </c>
      <c r="H460">
        <v>0</v>
      </c>
      <c r="I460" t="s">
        <v>21</v>
      </c>
      <c r="K460">
        <v>1877.22</v>
      </c>
    </row>
    <row r="461" spans="1:11" x14ac:dyDescent="0.3">
      <c r="A461">
        <v>1459</v>
      </c>
      <c r="B461" t="s">
        <v>510</v>
      </c>
      <c r="C461" t="s">
        <v>28</v>
      </c>
      <c r="D461" t="s">
        <v>41</v>
      </c>
      <c r="F461">
        <v>2494.9899999999998</v>
      </c>
      <c r="G461">
        <v>0.98</v>
      </c>
      <c r="H461">
        <v>0</v>
      </c>
      <c r="I461" t="s">
        <v>45</v>
      </c>
      <c r="K461">
        <v>2959.95</v>
      </c>
    </row>
    <row r="462" spans="1:11" x14ac:dyDescent="0.3">
      <c r="A462">
        <v>1460</v>
      </c>
      <c r="B462" t="s">
        <v>511</v>
      </c>
      <c r="C462" t="s">
        <v>19</v>
      </c>
      <c r="D462" t="s">
        <v>121</v>
      </c>
      <c r="F462">
        <v>4264.16</v>
      </c>
      <c r="H462">
        <v>0</v>
      </c>
      <c r="I462" t="s">
        <v>14</v>
      </c>
      <c r="J462" t="s">
        <v>22</v>
      </c>
      <c r="K462">
        <v>921.96</v>
      </c>
    </row>
    <row r="463" spans="1:11" x14ac:dyDescent="0.3">
      <c r="A463">
        <v>1461</v>
      </c>
      <c r="B463" t="s">
        <v>512</v>
      </c>
      <c r="C463" t="s">
        <v>37</v>
      </c>
      <c r="D463" t="s">
        <v>38</v>
      </c>
      <c r="F463">
        <v>2708.35</v>
      </c>
      <c r="G463">
        <v>1.06</v>
      </c>
      <c r="H463">
        <v>0</v>
      </c>
      <c r="I463" t="s">
        <v>51</v>
      </c>
      <c r="J463" t="s">
        <v>15</v>
      </c>
      <c r="K463">
        <v>941.87</v>
      </c>
    </row>
    <row r="464" spans="1:11" x14ac:dyDescent="0.3">
      <c r="A464">
        <v>1462</v>
      </c>
      <c r="B464" t="s">
        <v>513</v>
      </c>
      <c r="C464" t="s">
        <v>19</v>
      </c>
      <c r="D464" t="s">
        <v>20</v>
      </c>
      <c r="E464">
        <v>-1</v>
      </c>
      <c r="H464">
        <v>0</v>
      </c>
      <c r="I464" t="s">
        <v>14</v>
      </c>
      <c r="J464" t="s">
        <v>15</v>
      </c>
      <c r="K464">
        <v>372.63</v>
      </c>
    </row>
    <row r="465" spans="1:11" x14ac:dyDescent="0.3">
      <c r="A465">
        <v>1463</v>
      </c>
      <c r="B465" t="s">
        <v>514</v>
      </c>
      <c r="C465" t="s">
        <v>37</v>
      </c>
      <c r="D465" t="s">
        <v>62</v>
      </c>
      <c r="E465">
        <v>1</v>
      </c>
      <c r="F465">
        <v>4606.09</v>
      </c>
      <c r="G465">
        <v>1.1200000000000001</v>
      </c>
      <c r="H465">
        <v>-552.73</v>
      </c>
      <c r="I465" t="s">
        <v>14</v>
      </c>
      <c r="J465" t="s">
        <v>22</v>
      </c>
      <c r="K465">
        <v>-877.13</v>
      </c>
    </row>
    <row r="466" spans="1:11" x14ac:dyDescent="0.3">
      <c r="A466">
        <v>1464</v>
      </c>
      <c r="B466" t="s">
        <v>515</v>
      </c>
      <c r="C466" t="s">
        <v>37</v>
      </c>
      <c r="D466" t="s">
        <v>62</v>
      </c>
      <c r="H466">
        <v>0</v>
      </c>
      <c r="I466" t="s">
        <v>26</v>
      </c>
      <c r="J466" t="s">
        <v>15</v>
      </c>
      <c r="K466">
        <v>837.3</v>
      </c>
    </row>
    <row r="467" spans="1:11" x14ac:dyDescent="0.3">
      <c r="A467">
        <v>1465</v>
      </c>
      <c r="B467" t="s">
        <v>516</v>
      </c>
      <c r="C467" t="s">
        <v>28</v>
      </c>
      <c r="D467" t="s">
        <v>29</v>
      </c>
      <c r="E467">
        <v>-2</v>
      </c>
      <c r="F467">
        <v>2215.4</v>
      </c>
      <c r="G467">
        <v>0.96</v>
      </c>
      <c r="H467">
        <v>-177.23</v>
      </c>
      <c r="I467" t="s">
        <v>51</v>
      </c>
      <c r="K467">
        <v>-85.73</v>
      </c>
    </row>
    <row r="468" spans="1:11" x14ac:dyDescent="0.3">
      <c r="A468">
        <v>1014</v>
      </c>
      <c r="B468" t="s">
        <v>517</v>
      </c>
      <c r="C468" t="s">
        <v>37</v>
      </c>
      <c r="D468" t="s">
        <v>62</v>
      </c>
      <c r="F468">
        <v>3172.11</v>
      </c>
      <c r="H468">
        <v>0</v>
      </c>
      <c r="I468" t="s">
        <v>21</v>
      </c>
      <c r="J468" t="s">
        <v>15</v>
      </c>
      <c r="K468">
        <v>673.33</v>
      </c>
    </row>
    <row r="469" spans="1:11" x14ac:dyDescent="0.3">
      <c r="A469">
        <v>1030</v>
      </c>
      <c r="B469" t="s">
        <v>518</v>
      </c>
      <c r="C469" t="s">
        <v>24</v>
      </c>
      <c r="D469" t="s">
        <v>53</v>
      </c>
      <c r="F469">
        <v>3389.44</v>
      </c>
      <c r="G469">
        <v>0.09</v>
      </c>
      <c r="H469">
        <v>0</v>
      </c>
      <c r="I469" t="s">
        <v>14</v>
      </c>
      <c r="J469" t="s">
        <v>22</v>
      </c>
      <c r="K469">
        <v>1663.45</v>
      </c>
    </row>
    <row r="470" spans="1:11" x14ac:dyDescent="0.3">
      <c r="A470">
        <v>1468</v>
      </c>
      <c r="B470" t="s">
        <v>519</v>
      </c>
      <c r="C470" t="s">
        <v>32</v>
      </c>
      <c r="D470" t="s">
        <v>81</v>
      </c>
      <c r="F470">
        <v>3332.84</v>
      </c>
      <c r="G470">
        <v>0.27</v>
      </c>
      <c r="H470">
        <v>0</v>
      </c>
      <c r="I470" t="s">
        <v>17</v>
      </c>
      <c r="K470">
        <v>733.66</v>
      </c>
    </row>
    <row r="471" spans="1:11" x14ac:dyDescent="0.3">
      <c r="A471">
        <v>1469</v>
      </c>
      <c r="B471" t="s">
        <v>520</v>
      </c>
      <c r="C471" t="s">
        <v>37</v>
      </c>
      <c r="D471" t="s">
        <v>62</v>
      </c>
      <c r="F471">
        <v>2665.7</v>
      </c>
      <c r="G471">
        <v>0.49</v>
      </c>
      <c r="H471">
        <v>0</v>
      </c>
      <c r="I471" t="s">
        <v>39</v>
      </c>
      <c r="J471" t="s">
        <v>22</v>
      </c>
      <c r="K471">
        <v>1644.72</v>
      </c>
    </row>
    <row r="472" spans="1:11" x14ac:dyDescent="0.3">
      <c r="A472">
        <v>1470</v>
      </c>
      <c r="B472" t="s">
        <v>521</v>
      </c>
      <c r="C472" t="s">
        <v>32</v>
      </c>
      <c r="D472" t="s">
        <v>43</v>
      </c>
      <c r="E472">
        <v>-1</v>
      </c>
      <c r="F472">
        <v>1376.54</v>
      </c>
      <c r="H472">
        <v>0</v>
      </c>
      <c r="I472" t="s">
        <v>30</v>
      </c>
      <c r="K472">
        <v>0.59</v>
      </c>
    </row>
    <row r="473" spans="1:11" x14ac:dyDescent="0.3">
      <c r="A473">
        <v>1471</v>
      </c>
      <c r="B473" t="s">
        <v>522</v>
      </c>
      <c r="C473" t="s">
        <v>28</v>
      </c>
      <c r="D473" t="s">
        <v>29</v>
      </c>
      <c r="E473">
        <v>-2</v>
      </c>
      <c r="F473">
        <v>4882.03</v>
      </c>
      <c r="G473">
        <v>0.23</v>
      </c>
      <c r="H473">
        <v>-7518.33</v>
      </c>
      <c r="I473" t="s">
        <v>55</v>
      </c>
      <c r="J473" t="s">
        <v>15</v>
      </c>
      <c r="K473">
        <v>-605.66999999999996</v>
      </c>
    </row>
    <row r="474" spans="1:11" x14ac:dyDescent="0.3">
      <c r="A474">
        <v>1472</v>
      </c>
      <c r="B474" t="s">
        <v>523</v>
      </c>
      <c r="C474" t="s">
        <v>28</v>
      </c>
      <c r="D474" t="s">
        <v>29</v>
      </c>
      <c r="G474">
        <v>1.01</v>
      </c>
      <c r="H474">
        <v>0</v>
      </c>
      <c r="I474" t="s">
        <v>21</v>
      </c>
      <c r="J474" t="s">
        <v>15</v>
      </c>
      <c r="K474">
        <v>-69.28</v>
      </c>
    </row>
    <row r="475" spans="1:11" x14ac:dyDescent="0.3">
      <c r="A475">
        <v>1473</v>
      </c>
      <c r="B475" t="s">
        <v>524</v>
      </c>
      <c r="C475" t="s">
        <v>32</v>
      </c>
      <c r="D475" t="s">
        <v>81</v>
      </c>
      <c r="G475">
        <v>0.08</v>
      </c>
      <c r="H475">
        <v>0</v>
      </c>
      <c r="I475" t="s">
        <v>39</v>
      </c>
      <c r="J475" t="s">
        <v>15</v>
      </c>
      <c r="K475">
        <v>1769.11</v>
      </c>
    </row>
    <row r="476" spans="1:11" x14ac:dyDescent="0.3">
      <c r="A476">
        <v>1474</v>
      </c>
      <c r="B476" t="s">
        <v>525</v>
      </c>
      <c r="C476" t="s">
        <v>19</v>
      </c>
      <c r="D476" t="s">
        <v>87</v>
      </c>
      <c r="E476">
        <v>4</v>
      </c>
      <c r="H476">
        <v>0</v>
      </c>
      <c r="I476" t="s">
        <v>39</v>
      </c>
      <c r="J476" t="s">
        <v>15</v>
      </c>
      <c r="K476">
        <v>1791.38</v>
      </c>
    </row>
    <row r="477" spans="1:11" x14ac:dyDescent="0.3">
      <c r="A477">
        <v>1475</v>
      </c>
      <c r="B477" t="s">
        <v>526</v>
      </c>
      <c r="C477" t="s">
        <v>32</v>
      </c>
      <c r="D477" t="s">
        <v>43</v>
      </c>
      <c r="E477">
        <v>-2</v>
      </c>
      <c r="F477">
        <v>3692.25</v>
      </c>
      <c r="H477">
        <v>0</v>
      </c>
      <c r="I477" t="s">
        <v>21</v>
      </c>
      <c r="J477" t="s">
        <v>15</v>
      </c>
      <c r="K477">
        <v>433.87</v>
      </c>
    </row>
    <row r="478" spans="1:11" x14ac:dyDescent="0.3">
      <c r="A478">
        <v>1476</v>
      </c>
      <c r="B478" t="s">
        <v>527</v>
      </c>
      <c r="C478" t="s">
        <v>12</v>
      </c>
      <c r="D478" t="s">
        <v>101</v>
      </c>
      <c r="E478">
        <v>5</v>
      </c>
      <c r="G478">
        <v>0.56999999999999995</v>
      </c>
      <c r="H478">
        <v>0</v>
      </c>
      <c r="I478" t="s">
        <v>39</v>
      </c>
      <c r="J478" t="s">
        <v>15</v>
      </c>
      <c r="K478">
        <v>1476.41</v>
      </c>
    </row>
    <row r="479" spans="1:11" x14ac:dyDescent="0.3">
      <c r="A479">
        <v>1477</v>
      </c>
      <c r="B479" t="s">
        <v>528</v>
      </c>
      <c r="C479" t="s">
        <v>37</v>
      </c>
      <c r="D479" t="s">
        <v>90</v>
      </c>
      <c r="F479">
        <v>2277.1999999999998</v>
      </c>
      <c r="H479">
        <v>0</v>
      </c>
      <c r="I479" t="s">
        <v>51</v>
      </c>
      <c r="K479">
        <v>1295.82</v>
      </c>
    </row>
    <row r="480" spans="1:11" x14ac:dyDescent="0.3">
      <c r="A480">
        <v>1478</v>
      </c>
      <c r="B480" t="s">
        <v>529</v>
      </c>
      <c r="C480" t="s">
        <v>19</v>
      </c>
      <c r="D480" t="s">
        <v>87</v>
      </c>
      <c r="F480">
        <v>2277.41</v>
      </c>
      <c r="H480">
        <v>0</v>
      </c>
      <c r="I480" t="s">
        <v>17</v>
      </c>
      <c r="K480">
        <v>-584.69000000000005</v>
      </c>
    </row>
    <row r="481" spans="1:11" x14ac:dyDescent="0.3">
      <c r="A481">
        <v>1479</v>
      </c>
      <c r="B481" t="s">
        <v>530</v>
      </c>
      <c r="C481" t="s">
        <v>37</v>
      </c>
      <c r="D481" t="s">
        <v>58</v>
      </c>
      <c r="E481">
        <v>1</v>
      </c>
      <c r="H481">
        <v>0</v>
      </c>
      <c r="I481" t="s">
        <v>17</v>
      </c>
      <c r="J481" t="s">
        <v>15</v>
      </c>
      <c r="K481">
        <v>-575.87</v>
      </c>
    </row>
    <row r="482" spans="1:11" x14ac:dyDescent="0.3">
      <c r="A482">
        <v>1480</v>
      </c>
      <c r="B482" t="s">
        <v>531</v>
      </c>
      <c r="C482" t="s">
        <v>19</v>
      </c>
      <c r="D482" t="s">
        <v>87</v>
      </c>
      <c r="F482">
        <v>755.42</v>
      </c>
      <c r="H482">
        <v>0</v>
      </c>
      <c r="I482" t="s">
        <v>45</v>
      </c>
      <c r="K482">
        <v>2956.26</v>
      </c>
    </row>
    <row r="483" spans="1:11" x14ac:dyDescent="0.3">
      <c r="A483">
        <v>1481</v>
      </c>
      <c r="B483" t="s">
        <v>532</v>
      </c>
      <c r="C483" t="s">
        <v>28</v>
      </c>
      <c r="D483" t="s">
        <v>119</v>
      </c>
      <c r="G483">
        <v>0.97</v>
      </c>
      <c r="H483">
        <v>0</v>
      </c>
      <c r="I483" t="s">
        <v>14</v>
      </c>
      <c r="J483" t="s">
        <v>15</v>
      </c>
      <c r="K483">
        <v>375</v>
      </c>
    </row>
    <row r="484" spans="1:11" x14ac:dyDescent="0.3">
      <c r="A484">
        <v>1482</v>
      </c>
      <c r="B484" t="s">
        <v>533</v>
      </c>
      <c r="C484" t="s">
        <v>24</v>
      </c>
      <c r="D484" t="s">
        <v>65</v>
      </c>
      <c r="F484">
        <v>1269.51</v>
      </c>
      <c r="H484">
        <v>0</v>
      </c>
      <c r="I484" t="s">
        <v>17</v>
      </c>
      <c r="J484" t="s">
        <v>15</v>
      </c>
      <c r="K484">
        <v>480.43</v>
      </c>
    </row>
    <row r="485" spans="1:11" x14ac:dyDescent="0.3">
      <c r="A485">
        <v>1483</v>
      </c>
      <c r="B485" t="s">
        <v>534</v>
      </c>
      <c r="C485" t="s">
        <v>32</v>
      </c>
      <c r="D485" t="s">
        <v>43</v>
      </c>
      <c r="F485">
        <v>2347.19</v>
      </c>
      <c r="H485">
        <v>0</v>
      </c>
      <c r="I485" t="s">
        <v>39</v>
      </c>
      <c r="K485">
        <v>2870.3</v>
      </c>
    </row>
    <row r="486" spans="1:11" x14ac:dyDescent="0.3">
      <c r="A486">
        <v>1484</v>
      </c>
      <c r="B486" t="s">
        <v>535</v>
      </c>
      <c r="C486" t="s">
        <v>19</v>
      </c>
      <c r="D486" t="s">
        <v>79</v>
      </c>
      <c r="E486">
        <v>2</v>
      </c>
      <c r="F486">
        <v>818.68</v>
      </c>
      <c r="H486">
        <v>0</v>
      </c>
      <c r="I486" t="s">
        <v>21</v>
      </c>
      <c r="K486">
        <v>2357.7399999999998</v>
      </c>
    </row>
    <row r="487" spans="1:11" x14ac:dyDescent="0.3">
      <c r="A487">
        <v>1485</v>
      </c>
      <c r="B487" t="s">
        <v>536</v>
      </c>
      <c r="C487" t="s">
        <v>24</v>
      </c>
      <c r="D487" t="s">
        <v>53</v>
      </c>
      <c r="H487">
        <v>0</v>
      </c>
      <c r="I487" t="s">
        <v>55</v>
      </c>
      <c r="J487" t="s">
        <v>22</v>
      </c>
      <c r="K487">
        <v>672.88</v>
      </c>
    </row>
    <row r="488" spans="1:11" x14ac:dyDescent="0.3">
      <c r="A488">
        <v>1486</v>
      </c>
      <c r="B488" t="s">
        <v>537</v>
      </c>
      <c r="C488" t="s">
        <v>12</v>
      </c>
      <c r="D488" t="s">
        <v>101</v>
      </c>
      <c r="E488">
        <v>6</v>
      </c>
      <c r="H488">
        <v>0</v>
      </c>
      <c r="I488" t="s">
        <v>21</v>
      </c>
      <c r="J488" t="s">
        <v>22</v>
      </c>
      <c r="K488">
        <v>2745.83</v>
      </c>
    </row>
    <row r="489" spans="1:11" x14ac:dyDescent="0.3">
      <c r="A489">
        <v>1487</v>
      </c>
      <c r="B489" t="s">
        <v>538</v>
      </c>
      <c r="C489" t="s">
        <v>28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t="s">
        <v>14</v>
      </c>
      <c r="J489" t="s">
        <v>15</v>
      </c>
      <c r="K489">
        <v>-849.81</v>
      </c>
    </row>
    <row r="490" spans="1:11" x14ac:dyDescent="0.3">
      <c r="A490">
        <v>1488</v>
      </c>
      <c r="B490" t="s">
        <v>539</v>
      </c>
      <c r="C490" t="s">
        <v>28</v>
      </c>
      <c r="D490" t="s">
        <v>140</v>
      </c>
      <c r="F490">
        <v>4925.93</v>
      </c>
      <c r="H490">
        <v>0</v>
      </c>
      <c r="I490" t="s">
        <v>26</v>
      </c>
      <c r="J490" t="s">
        <v>15</v>
      </c>
      <c r="K490">
        <v>2121.1999999999998</v>
      </c>
    </row>
    <row r="491" spans="1:11" x14ac:dyDescent="0.3">
      <c r="A491">
        <v>1489</v>
      </c>
      <c r="B491" t="s">
        <v>540</v>
      </c>
      <c r="C491" t="s">
        <v>24</v>
      </c>
      <c r="D491" t="s">
        <v>53</v>
      </c>
      <c r="E491">
        <v>-2</v>
      </c>
      <c r="H491">
        <v>0</v>
      </c>
      <c r="I491" t="s">
        <v>45</v>
      </c>
      <c r="J491" t="s">
        <v>22</v>
      </c>
      <c r="K491">
        <v>2102.1999999999998</v>
      </c>
    </row>
    <row r="492" spans="1:11" x14ac:dyDescent="0.3">
      <c r="A492">
        <v>1490</v>
      </c>
      <c r="B492" t="s">
        <v>541</v>
      </c>
      <c r="C492" t="s">
        <v>32</v>
      </c>
      <c r="D492" t="s">
        <v>71</v>
      </c>
      <c r="E492">
        <v>1</v>
      </c>
      <c r="H492">
        <v>0</v>
      </c>
      <c r="I492" t="s">
        <v>14</v>
      </c>
      <c r="K492">
        <v>230.97</v>
      </c>
    </row>
    <row r="493" spans="1:11" x14ac:dyDescent="0.3">
      <c r="A493">
        <v>1491</v>
      </c>
      <c r="B493" t="s">
        <v>542</v>
      </c>
      <c r="C493" t="s">
        <v>24</v>
      </c>
      <c r="D493" t="s">
        <v>53</v>
      </c>
      <c r="E493">
        <v>1</v>
      </c>
      <c r="G493">
        <v>0.28999999999999998</v>
      </c>
      <c r="H493">
        <v>0</v>
      </c>
      <c r="I493" t="s">
        <v>39</v>
      </c>
      <c r="J493" t="s">
        <v>22</v>
      </c>
      <c r="K493">
        <v>2039.1</v>
      </c>
    </row>
    <row r="494" spans="1:11" x14ac:dyDescent="0.3">
      <c r="A494">
        <v>1492</v>
      </c>
      <c r="B494" t="s">
        <v>543</v>
      </c>
      <c r="C494" t="s">
        <v>32</v>
      </c>
      <c r="D494" t="s">
        <v>71</v>
      </c>
      <c r="G494">
        <v>1.07</v>
      </c>
      <c r="H494">
        <v>0</v>
      </c>
      <c r="I494" t="s">
        <v>51</v>
      </c>
      <c r="J494" t="s">
        <v>22</v>
      </c>
      <c r="K494">
        <v>-308.83</v>
      </c>
    </row>
    <row r="495" spans="1:11" x14ac:dyDescent="0.3">
      <c r="A495">
        <v>1493</v>
      </c>
      <c r="B495" t="s">
        <v>544</v>
      </c>
      <c r="C495" t="s">
        <v>37</v>
      </c>
      <c r="D495" t="s">
        <v>62</v>
      </c>
      <c r="G495">
        <v>0.03</v>
      </c>
      <c r="H495">
        <v>0</v>
      </c>
      <c r="I495" t="s">
        <v>30</v>
      </c>
      <c r="K495">
        <v>478.28</v>
      </c>
    </row>
    <row r="496" spans="1:11" x14ac:dyDescent="0.3">
      <c r="A496">
        <v>1494</v>
      </c>
      <c r="B496" t="s">
        <v>545</v>
      </c>
      <c r="C496" t="s">
        <v>12</v>
      </c>
      <c r="D496" t="s">
        <v>48</v>
      </c>
      <c r="F496">
        <v>4338.0600000000004</v>
      </c>
      <c r="G496">
        <v>0.24</v>
      </c>
      <c r="H496">
        <v>0</v>
      </c>
      <c r="I496" t="s">
        <v>21</v>
      </c>
      <c r="K496">
        <v>386.01</v>
      </c>
    </row>
    <row r="497" spans="1:11" x14ac:dyDescent="0.3">
      <c r="A497">
        <v>1495</v>
      </c>
      <c r="B497" t="s">
        <v>546</v>
      </c>
      <c r="C497" t="s">
        <v>28</v>
      </c>
      <c r="D497" t="s">
        <v>119</v>
      </c>
      <c r="F497">
        <v>2261.4899999999998</v>
      </c>
      <c r="H497">
        <v>0</v>
      </c>
      <c r="I497" t="s">
        <v>26</v>
      </c>
      <c r="J497" t="s">
        <v>15</v>
      </c>
      <c r="K497">
        <v>2044.15</v>
      </c>
    </row>
    <row r="498" spans="1:11" x14ac:dyDescent="0.3">
      <c r="A498">
        <v>1496</v>
      </c>
      <c r="B498" t="s">
        <v>547</v>
      </c>
      <c r="C498" t="s">
        <v>19</v>
      </c>
      <c r="D498" t="s">
        <v>87</v>
      </c>
      <c r="E498">
        <v>-1</v>
      </c>
      <c r="F498">
        <v>4874.76</v>
      </c>
      <c r="H498">
        <v>0</v>
      </c>
      <c r="I498" t="s">
        <v>17</v>
      </c>
      <c r="J498" t="s">
        <v>22</v>
      </c>
      <c r="K498">
        <v>2438.13</v>
      </c>
    </row>
    <row r="499" spans="1:11" x14ac:dyDescent="0.3">
      <c r="A499">
        <v>1497</v>
      </c>
      <c r="B499" t="s">
        <v>548</v>
      </c>
      <c r="C499" t="s">
        <v>28</v>
      </c>
      <c r="D499" t="s">
        <v>29</v>
      </c>
      <c r="F499">
        <v>1461.5</v>
      </c>
      <c r="H499">
        <v>0</v>
      </c>
      <c r="I499" t="s">
        <v>45</v>
      </c>
      <c r="J499" t="s">
        <v>15</v>
      </c>
      <c r="K499">
        <v>1561.06</v>
      </c>
    </row>
    <row r="500" spans="1:11" x14ac:dyDescent="0.3">
      <c r="A500">
        <v>1498</v>
      </c>
      <c r="B500" t="s">
        <v>549</v>
      </c>
      <c r="C500" t="s">
        <v>12</v>
      </c>
      <c r="D500" t="s">
        <v>48</v>
      </c>
      <c r="E500">
        <v>6</v>
      </c>
      <c r="F500">
        <v>3771.67</v>
      </c>
      <c r="H500">
        <v>0</v>
      </c>
      <c r="I500" t="s">
        <v>21</v>
      </c>
      <c r="J500" t="s">
        <v>15</v>
      </c>
      <c r="K500">
        <v>2442.42</v>
      </c>
    </row>
    <row r="501" spans="1:11" x14ac:dyDescent="0.3">
      <c r="A501">
        <v>1499</v>
      </c>
      <c r="B501" t="s">
        <v>550</v>
      </c>
      <c r="C501" t="s">
        <v>32</v>
      </c>
      <c r="D501" t="s">
        <v>33</v>
      </c>
      <c r="E501">
        <v>2</v>
      </c>
      <c r="H501">
        <v>0</v>
      </c>
      <c r="I501" t="s">
        <v>26</v>
      </c>
      <c r="J501" t="s">
        <v>15</v>
      </c>
      <c r="K501">
        <v>2116.52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A37F-F51A-408C-84EC-A52A50C47659}">
  <dimension ref="A1:T474"/>
  <sheetViews>
    <sheetView topLeftCell="E1" workbookViewId="0">
      <selection activeCell="J9" sqref="J9"/>
    </sheetView>
  </sheetViews>
  <sheetFormatPr defaultRowHeight="14.4" x14ac:dyDescent="0.3"/>
  <cols>
    <col min="1" max="1" width="10.44140625" customWidth="1"/>
    <col min="2" max="2" width="19.6640625" bestFit="1" customWidth="1"/>
    <col min="3" max="3" width="17" customWidth="1"/>
    <col min="4" max="4" width="18.109375" customWidth="1"/>
    <col min="5" max="5" width="15.5546875" customWidth="1"/>
    <col min="6" max="6" width="22.5546875" bestFit="1" customWidth="1"/>
    <col min="7" max="7" width="15.5546875" customWidth="1"/>
    <col min="8" max="9" width="11.88671875" customWidth="1"/>
    <col min="10" max="11" width="11.5546875" customWidth="1"/>
    <col min="12" max="13" width="12.6640625" customWidth="1"/>
    <col min="14" max="14" width="15" customWidth="1"/>
    <col min="15" max="16" width="12.5546875" customWidth="1"/>
    <col min="18" max="18" width="10.33203125" customWidth="1"/>
    <col min="20" max="20" width="16.44140625" bestFit="1" customWidth="1"/>
    <col min="21" max="21" width="15.5546875" bestFit="1" customWidth="1"/>
    <col min="22" max="22" width="10.77734375" bestFit="1" customWidth="1"/>
  </cols>
  <sheetData>
    <row r="1" spans="1:20" x14ac:dyDescent="0.3">
      <c r="A1" t="s">
        <v>0</v>
      </c>
      <c r="B1" t="s">
        <v>551</v>
      </c>
      <c r="C1" s="1" t="s">
        <v>1</v>
      </c>
      <c r="D1" s="1" t="s">
        <v>2</v>
      </c>
      <c r="E1" s="1" t="s">
        <v>3</v>
      </c>
      <c r="F1" t="s">
        <v>557</v>
      </c>
      <c r="G1" t="s">
        <v>553</v>
      </c>
      <c r="H1" s="1" t="s">
        <v>4</v>
      </c>
      <c r="I1" t="s">
        <v>554</v>
      </c>
      <c r="J1" s="1" t="s">
        <v>5</v>
      </c>
      <c r="K1" t="s">
        <v>555</v>
      </c>
      <c r="L1" s="1" t="s">
        <v>6</v>
      </c>
      <c r="M1" t="s">
        <v>589</v>
      </c>
      <c r="N1" s="1" t="s">
        <v>7</v>
      </c>
      <c r="O1" t="s">
        <v>8</v>
      </c>
      <c r="P1" t="s">
        <v>9</v>
      </c>
      <c r="Q1" s="1" t="s">
        <v>556</v>
      </c>
      <c r="R1" t="s">
        <v>10</v>
      </c>
    </row>
    <row r="2" spans="1:20" ht="15" x14ac:dyDescent="0.3">
      <c r="A2">
        <v>1000</v>
      </c>
      <c r="B2" t="str">
        <f t="shared" ref="B2:B65" si="0">TRIM(SUBSTITUTE(SUBSTITUTE(SUBSTITUTE(SUBSTITUTE(C2,"Dr. ",""),"Mrs. ",""),"Mr. ",""),"Ms. ",""))</f>
        <v>Brian Thompson</v>
      </c>
      <c r="C2" t="s">
        <v>11</v>
      </c>
      <c r="D2" t="s">
        <v>12</v>
      </c>
      <c r="E2" t="s">
        <v>13</v>
      </c>
      <c r="F2" t="str">
        <f>CONCATENATE(Table1[[#This Row],[Product_Category]]," - ",Table1[[#This Row],[Product_Name]])</f>
        <v>Jeans - Slim Fit Jeans</v>
      </c>
      <c r="G2">
        <f>IF(H2="", AVERAGEIF(Table1[Product_Category],D2,$H$2:$H$474),H2)</f>
        <v>2</v>
      </c>
      <c r="I2" s="2">
        <f t="shared" ref="I2:I65" si="1">IF(J2="",AVERAGEIF($D$2:$D$474,D2,$J$2:$J$474),J2)</f>
        <v>842</v>
      </c>
      <c r="J2">
        <v>842</v>
      </c>
      <c r="K2">
        <f t="shared" ref="K2:K65" si="2">IF(AND(ISBLANK(L2),I2&gt;0,G2&gt;0,N2&gt;0), 1-(N2/(G2*I2)), L2)</f>
        <v>0.6</v>
      </c>
      <c r="L2">
        <v>0.6</v>
      </c>
      <c r="M2" s="2">
        <f t="shared" ref="M2:M65" si="3">G2*I2*(1-K2)</f>
        <v>673.6</v>
      </c>
      <c r="N2">
        <v>0</v>
      </c>
      <c r="O2" t="s">
        <v>14</v>
      </c>
      <c r="P2" t="str">
        <f t="shared" ref="P2:P65" si="4">IF(Q2="",IF(O2="Ahmedabad","B2C",IF(O2="Bangalore","B2C",IF(O2="Hyderabad","B2B",IF(O2="Mumbai","B2C","B2C")))),Q2)</f>
        <v>B2C</v>
      </c>
      <c r="Q2" t="s">
        <v>15</v>
      </c>
      <c r="R2">
        <v>2137.4499999999998</v>
      </c>
      <c r="T2" s="3"/>
    </row>
    <row r="3" spans="1:20" x14ac:dyDescent="0.3">
      <c r="A3">
        <v>1001</v>
      </c>
      <c r="B3" t="str">
        <f t="shared" si="0"/>
        <v>Shaun Ross</v>
      </c>
      <c r="C3" t="s">
        <v>16</v>
      </c>
      <c r="D3" t="s">
        <v>12</v>
      </c>
      <c r="E3" t="s">
        <v>13</v>
      </c>
      <c r="F3" t="str">
        <f>CONCATENATE(Table1[[#This Row],[Product_Category]]," - ",Table1[[#This Row],[Product_Name]])</f>
        <v>Jeans - Slim Fit Jeans</v>
      </c>
      <c r="G3">
        <f>IF(H3="", AVERAGEIF(Table1[Product_Category],D3,$H$2:$H$474),H3)</f>
        <v>1</v>
      </c>
      <c r="H3">
        <v>1</v>
      </c>
      <c r="I3" s="2">
        <f t="shared" si="1"/>
        <v>2592.8782222222212</v>
      </c>
      <c r="K3">
        <f t="shared" si="2"/>
        <v>0</v>
      </c>
      <c r="M3" s="2">
        <f t="shared" si="3"/>
        <v>2592.8782222222212</v>
      </c>
      <c r="N3">
        <v>0</v>
      </c>
      <c r="O3" t="s">
        <v>17</v>
      </c>
      <c r="P3" t="str">
        <f t="shared" si="4"/>
        <v>B2C</v>
      </c>
      <c r="R3">
        <v>1588.15</v>
      </c>
    </row>
    <row r="4" spans="1:20" x14ac:dyDescent="0.3">
      <c r="A4">
        <v>1002</v>
      </c>
      <c r="B4" t="str">
        <f t="shared" si="0"/>
        <v>Sarah Snyder</v>
      </c>
      <c r="C4" t="s">
        <v>18</v>
      </c>
      <c r="D4" t="s">
        <v>19</v>
      </c>
      <c r="E4" t="s">
        <v>20</v>
      </c>
      <c r="F4" t="str">
        <f>CONCATENATE(Table1[[#This Row],[Product_Category]]," - ",Table1[[#This Row],[Product_Name]])</f>
        <v>Jackets - Puffer Coat</v>
      </c>
      <c r="G4">
        <f>IF(H4="", AVERAGEIF(Table1[Product_Category],D4,$H$2:$H$474),H4)</f>
        <v>1</v>
      </c>
      <c r="H4">
        <v>1</v>
      </c>
      <c r="I4" s="2">
        <f t="shared" si="1"/>
        <v>637.82000000000005</v>
      </c>
      <c r="J4">
        <v>637.82000000000005</v>
      </c>
      <c r="K4">
        <f t="shared" si="2"/>
        <v>0</v>
      </c>
      <c r="M4" s="2">
        <f t="shared" si="3"/>
        <v>637.82000000000005</v>
      </c>
      <c r="N4">
        <v>0</v>
      </c>
      <c r="O4" t="s">
        <v>21</v>
      </c>
      <c r="P4" t="str">
        <f t="shared" si="4"/>
        <v>B2B</v>
      </c>
      <c r="Q4" t="s">
        <v>22</v>
      </c>
      <c r="R4">
        <v>-158.03</v>
      </c>
    </row>
    <row r="5" spans="1:20" x14ac:dyDescent="0.3">
      <c r="A5">
        <v>1003</v>
      </c>
      <c r="B5" t="str">
        <f t="shared" si="0"/>
        <v>Jay Briggs</v>
      </c>
      <c r="C5" t="s">
        <v>23</v>
      </c>
      <c r="D5" t="s">
        <v>24</v>
      </c>
      <c r="E5" t="s">
        <v>25</v>
      </c>
      <c r="F5" t="str">
        <f>CONCATENATE(Table1[[#This Row],[Product_Category]]," - ",Table1[[#This Row],[Product_Name]])</f>
        <v>Shoes - Loafers</v>
      </c>
      <c r="G5">
        <f>IF(H5="", AVERAGEIF(Table1[Product_Category],D5,$H$2:$H$474),H5)</f>
        <v>2</v>
      </c>
      <c r="H5">
        <v>2</v>
      </c>
      <c r="I5" s="2">
        <f t="shared" si="1"/>
        <v>2962.27</v>
      </c>
      <c r="J5">
        <v>2962.27</v>
      </c>
      <c r="K5">
        <f t="shared" si="2"/>
        <v>0</v>
      </c>
      <c r="M5" s="2">
        <f t="shared" si="3"/>
        <v>5924.54</v>
      </c>
      <c r="N5">
        <v>0</v>
      </c>
      <c r="O5" t="s">
        <v>39</v>
      </c>
      <c r="P5" t="str">
        <f t="shared" si="4"/>
        <v>B2B</v>
      </c>
      <c r="Q5" t="s">
        <v>22</v>
      </c>
      <c r="R5">
        <v>2296.5</v>
      </c>
    </row>
    <row r="6" spans="1:20" x14ac:dyDescent="0.3">
      <c r="A6">
        <v>1004</v>
      </c>
      <c r="B6" t="str">
        <f t="shared" si="0"/>
        <v>Maria Blake</v>
      </c>
      <c r="C6" t="s">
        <v>27</v>
      </c>
      <c r="D6" t="s">
        <v>28</v>
      </c>
      <c r="E6" t="s">
        <v>29</v>
      </c>
      <c r="F6" t="str">
        <f>CONCATENATE(Table1[[#This Row],[Product_Category]]," - ",Table1[[#This Row],[Product_Name]])</f>
        <v>Accessories - Belts</v>
      </c>
      <c r="G6">
        <f>IF(H6="", AVERAGEIF(Table1[Product_Category],D6,$H$2:$H$474),H6)</f>
        <v>1</v>
      </c>
      <c r="H6">
        <v>1</v>
      </c>
      <c r="I6" s="2">
        <f t="shared" si="1"/>
        <v>2881.07</v>
      </c>
      <c r="J6">
        <v>2881.07</v>
      </c>
      <c r="K6">
        <f t="shared" si="2"/>
        <v>0.27</v>
      </c>
      <c r="L6">
        <v>0.27</v>
      </c>
      <c r="M6" s="2">
        <f t="shared" si="3"/>
        <v>2103.1811000000002</v>
      </c>
      <c r="N6">
        <v>2103.1799999999998</v>
      </c>
      <c r="O6" t="s">
        <v>552</v>
      </c>
      <c r="P6" t="str">
        <f t="shared" si="4"/>
        <v>B2C</v>
      </c>
      <c r="R6">
        <v>63.66</v>
      </c>
    </row>
    <row r="7" spans="1:20" x14ac:dyDescent="0.3">
      <c r="A7">
        <v>1005</v>
      </c>
      <c r="B7" t="str">
        <f t="shared" si="0"/>
        <v>Samuel Miller</v>
      </c>
      <c r="C7" t="s">
        <v>31</v>
      </c>
      <c r="D7" t="s">
        <v>32</v>
      </c>
      <c r="E7" t="s">
        <v>33</v>
      </c>
      <c r="F7" t="str">
        <f>CONCATENATE(Table1[[#This Row],[Product_Category]]," - ",Table1[[#This Row],[Product_Name]])</f>
        <v>T-Shirts - Crop Top</v>
      </c>
      <c r="G7" s="2">
        <f>IF(H7="", AVERAGEIF(Table1[Product_Category],D7,$H$2:$H$474),H7)</f>
        <v>1.5813953488372092</v>
      </c>
      <c r="I7" s="2">
        <f t="shared" si="1"/>
        <v>2715.2732432432431</v>
      </c>
      <c r="K7">
        <f t="shared" si="2"/>
        <v>0</v>
      </c>
      <c r="M7" s="2">
        <f t="shared" si="3"/>
        <v>4293.9204776869892</v>
      </c>
      <c r="N7">
        <v>0</v>
      </c>
      <c r="O7" t="s">
        <v>21</v>
      </c>
      <c r="P7" t="str">
        <f t="shared" si="4"/>
        <v>B2B</v>
      </c>
      <c r="Q7" t="s">
        <v>22</v>
      </c>
      <c r="R7">
        <v>1477.73</v>
      </c>
    </row>
    <row r="8" spans="1:20" x14ac:dyDescent="0.3">
      <c r="A8">
        <v>1006</v>
      </c>
      <c r="B8" t="str">
        <f t="shared" si="0"/>
        <v>John Mclean</v>
      </c>
      <c r="C8" t="s">
        <v>34</v>
      </c>
      <c r="D8" t="s">
        <v>12</v>
      </c>
      <c r="E8" t="s">
        <v>35</v>
      </c>
      <c r="F8" t="str">
        <f>CONCATENATE(Table1[[#This Row],[Product_Category]]," - ",Table1[[#This Row],[Product_Name]])</f>
        <v>Jeans - Boyfriend Jeans</v>
      </c>
      <c r="G8">
        <f>IF(H8="", AVERAGEIF(Table1[Product_Category],D8,$H$2:$H$474),H8)</f>
        <v>1</v>
      </c>
      <c r="H8">
        <v>1</v>
      </c>
      <c r="I8" s="2">
        <f t="shared" si="1"/>
        <v>2060.85</v>
      </c>
      <c r="J8">
        <v>2060.85</v>
      </c>
      <c r="K8">
        <f t="shared" si="2"/>
        <v>0</v>
      </c>
      <c r="M8" s="2">
        <f t="shared" si="3"/>
        <v>2060.85</v>
      </c>
      <c r="N8">
        <v>0</v>
      </c>
      <c r="O8" t="s">
        <v>17</v>
      </c>
      <c r="P8" t="str">
        <f t="shared" si="4"/>
        <v>B2B</v>
      </c>
      <c r="Q8" t="s">
        <v>22</v>
      </c>
      <c r="R8">
        <v>198.36</v>
      </c>
    </row>
    <row r="9" spans="1:20" x14ac:dyDescent="0.3">
      <c r="A9">
        <v>1007</v>
      </c>
      <c r="B9" t="str">
        <f t="shared" si="0"/>
        <v>Kathryn Bass PhD</v>
      </c>
      <c r="C9" t="s">
        <v>36</v>
      </c>
      <c r="D9" t="s">
        <v>37</v>
      </c>
      <c r="E9" t="s">
        <v>38</v>
      </c>
      <c r="F9" t="str">
        <f>CONCATENATE(Table1[[#This Row],[Product_Category]]," - ",Table1[[#This Row],[Product_Name]])</f>
        <v>Dresses - Casual Midi</v>
      </c>
      <c r="G9" s="2">
        <f>IF(H9="", AVERAGEIF(Table1[Product_Category],D9,$H$2:$H$474),H9)</f>
        <v>2.0217391304347827</v>
      </c>
      <c r="I9" s="2">
        <f t="shared" si="1"/>
        <v>3669.56</v>
      </c>
      <c r="J9">
        <v>3669.56</v>
      </c>
      <c r="K9">
        <f t="shared" si="2"/>
        <v>0</v>
      </c>
      <c r="M9" s="2">
        <f t="shared" si="3"/>
        <v>7418.8930434782615</v>
      </c>
      <c r="N9">
        <v>0</v>
      </c>
      <c r="O9" t="s">
        <v>39</v>
      </c>
      <c r="P9" t="str">
        <f t="shared" si="4"/>
        <v>B2C</v>
      </c>
      <c r="Q9" t="s">
        <v>15</v>
      </c>
      <c r="R9">
        <v>2490.0100000000002</v>
      </c>
    </row>
    <row r="10" spans="1:20" x14ac:dyDescent="0.3">
      <c r="A10">
        <v>1008</v>
      </c>
      <c r="B10" t="str">
        <f t="shared" si="0"/>
        <v>Marie Fisher</v>
      </c>
      <c r="C10" t="s">
        <v>40</v>
      </c>
      <c r="D10" t="s">
        <v>28</v>
      </c>
      <c r="E10" t="s">
        <v>41</v>
      </c>
      <c r="F10" t="str">
        <f>CONCATENATE(Table1[[#This Row],[Product_Category]]," - ",Table1[[#This Row],[Product_Name]])</f>
        <v>Accessories - Sunglasses</v>
      </c>
      <c r="G10" s="2">
        <f>IF(H10="", AVERAGEIF(Table1[Product_Category],D10,$H$2:$H$474),H10)</f>
        <v>2.5249999999999999</v>
      </c>
      <c r="I10" s="2">
        <f t="shared" si="1"/>
        <v>2755.6936585365856</v>
      </c>
      <c r="K10">
        <f t="shared" si="2"/>
        <v>0</v>
      </c>
      <c r="M10" s="2">
        <f t="shared" si="3"/>
        <v>6958.1264878048787</v>
      </c>
      <c r="N10">
        <v>0</v>
      </c>
      <c r="O10" t="s">
        <v>17</v>
      </c>
      <c r="P10" t="str">
        <f t="shared" si="4"/>
        <v>B2C</v>
      </c>
      <c r="Q10" t="s">
        <v>15</v>
      </c>
      <c r="R10">
        <v>-886.8</v>
      </c>
    </row>
    <row r="11" spans="1:20" x14ac:dyDescent="0.3">
      <c r="A11">
        <v>1009</v>
      </c>
      <c r="B11" t="str">
        <f t="shared" si="0"/>
        <v>Dale Perry</v>
      </c>
      <c r="C11" t="s">
        <v>42</v>
      </c>
      <c r="D11" t="s">
        <v>32</v>
      </c>
      <c r="E11" t="s">
        <v>43</v>
      </c>
      <c r="F11" t="str">
        <f>CONCATENATE(Table1[[#This Row],[Product_Category]]," - ",Table1[[#This Row],[Product_Name]])</f>
        <v>T-Shirts - Oversized T-shirt</v>
      </c>
      <c r="G11">
        <f>IF(H11="", AVERAGEIF(Table1[Product_Category],D11,$H$2:$H$474),H11)</f>
        <v>5</v>
      </c>
      <c r="H11">
        <v>5</v>
      </c>
      <c r="I11" s="2">
        <f t="shared" si="1"/>
        <v>2715.2732432432431</v>
      </c>
      <c r="K11">
        <f t="shared" si="2"/>
        <v>0</v>
      </c>
      <c r="M11" s="2">
        <f t="shared" si="3"/>
        <v>13576.366216216215</v>
      </c>
      <c r="N11">
        <v>0</v>
      </c>
      <c r="O11" t="s">
        <v>39</v>
      </c>
      <c r="P11" t="str">
        <f t="shared" si="4"/>
        <v>B2B</v>
      </c>
      <c r="Q11" t="s">
        <v>22</v>
      </c>
      <c r="R11">
        <v>-972.73</v>
      </c>
    </row>
    <row r="12" spans="1:20" x14ac:dyDescent="0.3">
      <c r="A12">
        <v>1010</v>
      </c>
      <c r="B12" t="str">
        <f t="shared" si="0"/>
        <v>Oscar Turner</v>
      </c>
      <c r="C12" t="s">
        <v>44</v>
      </c>
      <c r="D12" t="s">
        <v>32</v>
      </c>
      <c r="E12" t="s">
        <v>33</v>
      </c>
      <c r="F12" t="str">
        <f>CONCATENATE(Table1[[#This Row],[Product_Category]]," - ",Table1[[#This Row],[Product_Name]])</f>
        <v>T-Shirts - Crop Top</v>
      </c>
      <c r="G12">
        <f>IF(H12="", AVERAGEIF(Table1[Product_Category],D12,$H$2:$H$474),H12)</f>
        <v>0</v>
      </c>
      <c r="H12">
        <v>0</v>
      </c>
      <c r="I12" s="2">
        <f t="shared" si="1"/>
        <v>4007.02</v>
      </c>
      <c r="J12">
        <v>4007.02</v>
      </c>
      <c r="K12">
        <f t="shared" si="2"/>
        <v>0</v>
      </c>
      <c r="M12" s="2">
        <f t="shared" si="3"/>
        <v>0</v>
      </c>
      <c r="N12">
        <v>0</v>
      </c>
      <c r="O12" t="s">
        <v>45</v>
      </c>
      <c r="P12" t="str">
        <f t="shared" si="4"/>
        <v>B2B</v>
      </c>
      <c r="Q12" t="s">
        <v>22</v>
      </c>
      <c r="R12">
        <v>-950.38</v>
      </c>
    </row>
    <row r="13" spans="1:20" x14ac:dyDescent="0.3">
      <c r="A13">
        <v>1011</v>
      </c>
      <c r="B13" t="str">
        <f t="shared" si="0"/>
        <v>Jacob Sanchez</v>
      </c>
      <c r="C13" t="s">
        <v>46</v>
      </c>
      <c r="D13" t="s">
        <v>28</v>
      </c>
      <c r="E13" t="s">
        <v>29</v>
      </c>
      <c r="F13" t="str">
        <f>CONCATENATE(Table1[[#This Row],[Product_Category]]," - ",Table1[[#This Row],[Product_Name]])</f>
        <v>Accessories - Belts</v>
      </c>
      <c r="G13">
        <f>IF(H13="", AVERAGEIF(Table1[Product_Category],D13,$H$2:$H$474),H13)</f>
        <v>0</v>
      </c>
      <c r="H13">
        <v>0</v>
      </c>
      <c r="I13" s="2">
        <f t="shared" si="1"/>
        <v>2755.6936585365856</v>
      </c>
      <c r="K13">
        <f t="shared" si="2"/>
        <v>0</v>
      </c>
      <c r="M13" s="2">
        <f t="shared" si="3"/>
        <v>0</v>
      </c>
      <c r="N13">
        <v>0</v>
      </c>
      <c r="O13" t="s">
        <v>14</v>
      </c>
      <c r="P13" t="str">
        <f t="shared" si="4"/>
        <v>B2C</v>
      </c>
      <c r="Q13" t="s">
        <v>15</v>
      </c>
      <c r="R13">
        <v>1370.67</v>
      </c>
    </row>
    <row r="14" spans="1:20" x14ac:dyDescent="0.3">
      <c r="A14">
        <v>1012</v>
      </c>
      <c r="B14" t="str">
        <f t="shared" si="0"/>
        <v>Valerie Hampton</v>
      </c>
      <c r="C14" t="s">
        <v>47</v>
      </c>
      <c r="D14" t="s">
        <v>12</v>
      </c>
      <c r="E14" t="s">
        <v>48</v>
      </c>
      <c r="F14" t="str">
        <f>CONCATENATE(Table1[[#This Row],[Product_Category]]," - ",Table1[[#This Row],[Product_Name]])</f>
        <v>Jeans - Straight Cut</v>
      </c>
      <c r="G14">
        <f>IF(H14="", AVERAGEIF(Table1[Product_Category],D14,$H$2:$H$474),H14)</f>
        <v>4</v>
      </c>
      <c r="H14">
        <v>4</v>
      </c>
      <c r="I14" s="2">
        <f t="shared" si="1"/>
        <v>2592.8782222222212</v>
      </c>
      <c r="K14">
        <f t="shared" si="2"/>
        <v>0.21</v>
      </c>
      <c r="L14">
        <v>0.21</v>
      </c>
      <c r="M14" s="2">
        <f t="shared" si="3"/>
        <v>8193.4951822222192</v>
      </c>
      <c r="N14">
        <v>0</v>
      </c>
      <c r="O14" t="s">
        <v>17</v>
      </c>
      <c r="P14" t="str">
        <f t="shared" si="4"/>
        <v>B2C</v>
      </c>
      <c r="R14">
        <v>843.61</v>
      </c>
    </row>
    <row r="15" spans="1:20" x14ac:dyDescent="0.3">
      <c r="A15">
        <v>1013</v>
      </c>
      <c r="B15" t="str">
        <f t="shared" si="0"/>
        <v>James Delgado</v>
      </c>
      <c r="C15" t="s">
        <v>49</v>
      </c>
      <c r="D15" t="s">
        <v>32</v>
      </c>
      <c r="E15" t="s">
        <v>33</v>
      </c>
      <c r="F15" t="str">
        <f>CONCATENATE(Table1[[#This Row],[Product_Category]]," - ",Table1[[#This Row],[Product_Name]])</f>
        <v>T-Shirts - Crop Top</v>
      </c>
      <c r="G15" s="2">
        <f>IF(H15="", AVERAGEIF(Table1[Product_Category],D15,$H$2:$H$474),H15)</f>
        <v>1.5813953488372092</v>
      </c>
      <c r="I15" s="2">
        <f t="shared" si="1"/>
        <v>2715.2732432432431</v>
      </c>
      <c r="K15">
        <f t="shared" si="2"/>
        <v>0.62</v>
      </c>
      <c r="L15">
        <v>0.62</v>
      </c>
      <c r="M15" s="2">
        <f t="shared" si="3"/>
        <v>1631.6897815210559</v>
      </c>
      <c r="N15">
        <v>0</v>
      </c>
      <c r="O15" t="s">
        <v>45</v>
      </c>
      <c r="P15" t="str">
        <f t="shared" si="4"/>
        <v>B2C</v>
      </c>
      <c r="Q15" t="s">
        <v>15</v>
      </c>
      <c r="R15">
        <v>1279.58</v>
      </c>
    </row>
    <row r="16" spans="1:20" x14ac:dyDescent="0.3">
      <c r="A16">
        <v>1014</v>
      </c>
      <c r="B16" t="str">
        <f t="shared" si="0"/>
        <v>Richard Hood</v>
      </c>
      <c r="C16" t="s">
        <v>50</v>
      </c>
      <c r="D16" t="s">
        <v>24</v>
      </c>
      <c r="E16" t="s">
        <v>25</v>
      </c>
      <c r="F16" t="str">
        <f>CONCATENATE(Table1[[#This Row],[Product_Category]]," - ",Table1[[#This Row],[Product_Name]])</f>
        <v>Shoes - Loafers</v>
      </c>
      <c r="G16">
        <f>IF(H16="", AVERAGEIF(Table1[Product_Category],D16,$H$2:$H$474),H16)</f>
        <v>4</v>
      </c>
      <c r="H16">
        <v>4</v>
      </c>
      <c r="I16" s="2">
        <f t="shared" si="1"/>
        <v>2676.5783333333325</v>
      </c>
      <c r="K16">
        <f t="shared" si="2"/>
        <v>0</v>
      </c>
      <c r="M16" s="2">
        <f t="shared" si="3"/>
        <v>10706.31333333333</v>
      </c>
      <c r="N16">
        <v>0</v>
      </c>
      <c r="O16" t="s">
        <v>552</v>
      </c>
      <c r="P16" t="str">
        <f t="shared" si="4"/>
        <v>B2C</v>
      </c>
      <c r="R16">
        <v>-889.25</v>
      </c>
    </row>
    <row r="17" spans="1:18" x14ac:dyDescent="0.3">
      <c r="A17">
        <v>1015</v>
      </c>
      <c r="B17" t="str">
        <f t="shared" si="0"/>
        <v>Julie Fox</v>
      </c>
      <c r="C17" t="s">
        <v>52</v>
      </c>
      <c r="D17" t="s">
        <v>24</v>
      </c>
      <c r="E17" t="s">
        <v>53</v>
      </c>
      <c r="F17" t="str">
        <f>CONCATENATE(Table1[[#This Row],[Product_Category]]," - ",Table1[[#This Row],[Product_Name]])</f>
        <v>Shoes - Sneakers</v>
      </c>
      <c r="G17">
        <f>IF(H17="", AVERAGEIF(Table1[Product_Category],D17,$H$2:$H$474),H17)</f>
        <v>6</v>
      </c>
      <c r="H17">
        <v>6</v>
      </c>
      <c r="I17" s="2">
        <f t="shared" si="1"/>
        <v>2676.5783333333325</v>
      </c>
      <c r="K17">
        <f t="shared" si="2"/>
        <v>0</v>
      </c>
      <c r="M17" s="2">
        <f t="shared" si="3"/>
        <v>16059.469999999994</v>
      </c>
      <c r="N17">
        <v>0</v>
      </c>
      <c r="O17" t="s">
        <v>17</v>
      </c>
      <c r="P17" t="str">
        <f t="shared" si="4"/>
        <v>B2C</v>
      </c>
      <c r="R17">
        <v>793.8</v>
      </c>
    </row>
    <row r="18" spans="1:18" x14ac:dyDescent="0.3">
      <c r="A18">
        <v>1016</v>
      </c>
      <c r="B18" t="str">
        <f t="shared" si="0"/>
        <v>Valerie Garner</v>
      </c>
      <c r="C18" t="s">
        <v>54</v>
      </c>
      <c r="D18" t="s">
        <v>32</v>
      </c>
      <c r="E18" t="s">
        <v>33</v>
      </c>
      <c r="F18" t="str">
        <f>CONCATENATE(Table1[[#This Row],[Product_Category]]," - ",Table1[[#This Row],[Product_Name]])</f>
        <v>T-Shirts - Crop Top</v>
      </c>
      <c r="G18" s="2">
        <f>IF(H18="", AVERAGEIF(Table1[Product_Category],D18,$H$2:$H$474),H18)</f>
        <v>1.5813953488372092</v>
      </c>
      <c r="I18" s="2">
        <f t="shared" si="1"/>
        <v>2715.2732432432431</v>
      </c>
      <c r="K18">
        <f t="shared" si="2"/>
        <v>0</v>
      </c>
      <c r="M18" s="2">
        <f t="shared" si="3"/>
        <v>4293.9204776869892</v>
      </c>
      <c r="N18">
        <v>0</v>
      </c>
      <c r="O18" t="s">
        <v>552</v>
      </c>
      <c r="P18" t="str">
        <f t="shared" si="4"/>
        <v>B2B</v>
      </c>
      <c r="Q18" t="s">
        <v>22</v>
      </c>
      <c r="R18">
        <v>1881.89</v>
      </c>
    </row>
    <row r="19" spans="1:18" x14ac:dyDescent="0.3">
      <c r="A19">
        <v>1017</v>
      </c>
      <c r="B19" t="str">
        <f t="shared" si="0"/>
        <v>Alejandro Johnson</v>
      </c>
      <c r="C19" t="s">
        <v>56</v>
      </c>
      <c r="D19" t="s">
        <v>32</v>
      </c>
      <c r="E19" t="s">
        <v>43</v>
      </c>
      <c r="F19" t="str">
        <f>CONCATENATE(Table1[[#This Row],[Product_Category]]," - ",Table1[[#This Row],[Product_Name]])</f>
        <v>T-Shirts - Oversized T-shirt</v>
      </c>
      <c r="G19">
        <f>IF(H19="", AVERAGEIF(Table1[Product_Category],D19,$H$2:$H$474),H19)</f>
        <v>3</v>
      </c>
      <c r="H19">
        <v>3</v>
      </c>
      <c r="I19" s="2">
        <f t="shared" si="1"/>
        <v>468.53</v>
      </c>
      <c r="J19">
        <v>468.53</v>
      </c>
      <c r="K19">
        <f t="shared" si="2"/>
        <v>0</v>
      </c>
      <c r="M19" s="2">
        <f t="shared" si="3"/>
        <v>1405.59</v>
      </c>
      <c r="N19">
        <v>0</v>
      </c>
      <c r="O19" t="s">
        <v>21</v>
      </c>
      <c r="P19" t="str">
        <f t="shared" si="4"/>
        <v>B2B</v>
      </c>
      <c r="Q19" t="s">
        <v>22</v>
      </c>
      <c r="R19">
        <v>-195.65</v>
      </c>
    </row>
    <row r="20" spans="1:18" x14ac:dyDescent="0.3">
      <c r="A20">
        <v>1018</v>
      </c>
      <c r="B20" t="str">
        <f t="shared" si="0"/>
        <v>Andrew Washington</v>
      </c>
      <c r="C20" t="s">
        <v>57</v>
      </c>
      <c r="D20" t="s">
        <v>37</v>
      </c>
      <c r="E20" t="s">
        <v>58</v>
      </c>
      <c r="F20" t="str">
        <f>CONCATENATE(Table1[[#This Row],[Product_Category]]," - ",Table1[[#This Row],[Product_Name]])</f>
        <v>Dresses - Maxi Dress</v>
      </c>
      <c r="G20">
        <f>IF(H20="", AVERAGEIF(Table1[Product_Category],D20,$H$2:$H$474),H20)</f>
        <v>4</v>
      </c>
      <c r="H20">
        <v>4</v>
      </c>
      <c r="I20" s="2">
        <f t="shared" si="1"/>
        <v>2878.0747619047615</v>
      </c>
      <c r="K20">
        <f t="shared" si="2"/>
        <v>0</v>
      </c>
      <c r="M20" s="2">
        <f t="shared" si="3"/>
        <v>11512.299047619046</v>
      </c>
      <c r="N20">
        <v>0</v>
      </c>
      <c r="O20" t="s">
        <v>39</v>
      </c>
      <c r="P20" t="str">
        <f t="shared" si="4"/>
        <v>B2C</v>
      </c>
      <c r="Q20" t="s">
        <v>15</v>
      </c>
      <c r="R20">
        <v>2102.56</v>
      </c>
    </row>
    <row r="21" spans="1:18" x14ac:dyDescent="0.3">
      <c r="A21">
        <v>1019</v>
      </c>
      <c r="B21" t="str">
        <f t="shared" si="0"/>
        <v>Mark Allison</v>
      </c>
      <c r="C21" t="s">
        <v>59</v>
      </c>
      <c r="D21" t="s">
        <v>37</v>
      </c>
      <c r="E21" t="s">
        <v>38</v>
      </c>
      <c r="F21" t="str">
        <f>CONCATENATE(Table1[[#This Row],[Product_Category]]," - ",Table1[[#This Row],[Product_Name]])</f>
        <v>Dresses - Casual Midi</v>
      </c>
      <c r="G21" s="2">
        <f>IF(H21="", AVERAGEIF(Table1[Product_Category],D21,$H$2:$H$474),H21)</f>
        <v>2.0217391304347827</v>
      </c>
      <c r="I21" s="2">
        <f t="shared" si="1"/>
        <v>4064.4</v>
      </c>
      <c r="J21">
        <v>4064.4</v>
      </c>
      <c r="K21">
        <f t="shared" si="2"/>
        <v>0.7</v>
      </c>
      <c r="L21">
        <v>0.7</v>
      </c>
      <c r="M21" s="2">
        <f t="shared" si="3"/>
        <v>2465.1469565217394</v>
      </c>
      <c r="N21">
        <v>0</v>
      </c>
      <c r="O21" t="s">
        <v>17</v>
      </c>
      <c r="P21" t="str">
        <f t="shared" si="4"/>
        <v>B2C</v>
      </c>
      <c r="Q21" t="s">
        <v>15</v>
      </c>
      <c r="R21">
        <v>877.21</v>
      </c>
    </row>
    <row r="22" spans="1:18" x14ac:dyDescent="0.3">
      <c r="A22">
        <v>1020</v>
      </c>
      <c r="B22" t="str">
        <f t="shared" si="0"/>
        <v>Russell Eaton</v>
      </c>
      <c r="C22" t="s">
        <v>60</v>
      </c>
      <c r="D22" t="s">
        <v>12</v>
      </c>
      <c r="E22" t="s">
        <v>35</v>
      </c>
      <c r="F22" t="str">
        <f>CONCATENATE(Table1[[#This Row],[Product_Category]]," - ",Table1[[#This Row],[Product_Name]])</f>
        <v>Jeans - Boyfriend Jeans</v>
      </c>
      <c r="G22">
        <f>IF(H22="", AVERAGEIF(Table1[Product_Category],D22,$H$2:$H$474),H22)</f>
        <v>1</v>
      </c>
      <c r="H22">
        <v>1</v>
      </c>
      <c r="I22" s="2">
        <f t="shared" si="1"/>
        <v>2592.8782222222212</v>
      </c>
      <c r="K22">
        <f t="shared" si="2"/>
        <v>0</v>
      </c>
      <c r="M22" s="2">
        <f t="shared" si="3"/>
        <v>2592.8782222222212</v>
      </c>
      <c r="N22">
        <v>0</v>
      </c>
      <c r="O22" t="s">
        <v>45</v>
      </c>
      <c r="P22" t="str">
        <f t="shared" si="4"/>
        <v>B2B</v>
      </c>
      <c r="Q22" t="s">
        <v>22</v>
      </c>
      <c r="R22">
        <v>669.75</v>
      </c>
    </row>
    <row r="23" spans="1:18" x14ac:dyDescent="0.3">
      <c r="A23">
        <v>1021</v>
      </c>
      <c r="B23" t="str">
        <f t="shared" si="0"/>
        <v>Amber Bowman</v>
      </c>
      <c r="C23" t="s">
        <v>61</v>
      </c>
      <c r="D23" t="s">
        <v>37</v>
      </c>
      <c r="E23" t="s">
        <v>62</v>
      </c>
      <c r="F23" t="str">
        <f>CONCATENATE(Table1[[#This Row],[Product_Category]]," - ",Table1[[#This Row],[Product_Name]])</f>
        <v>Dresses - Wrap Dress</v>
      </c>
      <c r="G23" s="2">
        <f>IF(H23="", AVERAGEIF(Table1[Product_Category],D23,$H$2:$H$474),H23)</f>
        <v>2.0217391304347827</v>
      </c>
      <c r="I23" s="2">
        <f t="shared" si="1"/>
        <v>2878.0747619047615</v>
      </c>
      <c r="K23">
        <f t="shared" si="2"/>
        <v>0</v>
      </c>
      <c r="M23" s="2">
        <f t="shared" si="3"/>
        <v>5818.7163664596264</v>
      </c>
      <c r="N23">
        <v>0</v>
      </c>
      <c r="O23" t="s">
        <v>39</v>
      </c>
      <c r="P23" t="str">
        <f t="shared" si="4"/>
        <v>B2B</v>
      </c>
      <c r="Q23" t="s">
        <v>22</v>
      </c>
      <c r="R23">
        <v>-705.72</v>
      </c>
    </row>
    <row r="24" spans="1:18" x14ac:dyDescent="0.3">
      <c r="A24">
        <v>1031</v>
      </c>
      <c r="B24" t="str">
        <f t="shared" si="0"/>
        <v>Lauren Jensen</v>
      </c>
      <c r="C24" t="s">
        <v>63</v>
      </c>
      <c r="D24" t="s">
        <v>37</v>
      </c>
      <c r="E24" t="s">
        <v>62</v>
      </c>
      <c r="F24" t="str">
        <f>CONCATENATE(Table1[[#This Row],[Product_Category]]," - ",Table1[[#This Row],[Product_Name]])</f>
        <v>Dresses - Wrap Dress</v>
      </c>
      <c r="G24" s="2">
        <f>IF(H24="", AVERAGEIF(Table1[Product_Category],D24,$H$2:$H$474),H24)</f>
        <v>2.0217391304347827</v>
      </c>
      <c r="I24" s="2">
        <f t="shared" si="1"/>
        <v>1872.05</v>
      </c>
      <c r="J24">
        <v>1872.05</v>
      </c>
      <c r="K24">
        <f t="shared" si="2"/>
        <v>0.15</v>
      </c>
      <c r="L24">
        <v>0.15</v>
      </c>
      <c r="M24" s="2">
        <f t="shared" si="3"/>
        <v>3217.0772282608696</v>
      </c>
      <c r="N24">
        <v>0</v>
      </c>
      <c r="O24" t="s">
        <v>45</v>
      </c>
      <c r="P24" t="str">
        <f t="shared" si="4"/>
        <v>B2C</v>
      </c>
      <c r="Q24" t="s">
        <v>15</v>
      </c>
      <c r="R24">
        <v>-863.9</v>
      </c>
    </row>
    <row r="25" spans="1:18" x14ac:dyDescent="0.3">
      <c r="A25">
        <v>1023</v>
      </c>
      <c r="B25" t="str">
        <f t="shared" si="0"/>
        <v>David Arnold</v>
      </c>
      <c r="C25" t="s">
        <v>64</v>
      </c>
      <c r="D25" t="s">
        <v>24</v>
      </c>
      <c r="E25" t="s">
        <v>65</v>
      </c>
      <c r="F25" t="str">
        <f>CONCATENATE(Table1[[#This Row],[Product_Category]]," - ",Table1[[#This Row],[Product_Name]])</f>
        <v>Shoes - Slip-ons</v>
      </c>
      <c r="G25" s="2">
        <f>IF(H25="", AVERAGEIF(Table1[Product_Category],D25,$H$2:$H$474),H25)</f>
        <v>1.5517241379310345</v>
      </c>
      <c r="I25" s="2">
        <f t="shared" si="1"/>
        <v>2676.5783333333325</v>
      </c>
      <c r="K25">
        <f t="shared" si="2"/>
        <v>0</v>
      </c>
      <c r="M25" s="2">
        <f t="shared" si="3"/>
        <v>4153.3112068965502</v>
      </c>
      <c r="N25">
        <v>0</v>
      </c>
      <c r="O25" t="s">
        <v>21</v>
      </c>
      <c r="P25" t="str">
        <f t="shared" si="4"/>
        <v>B2C</v>
      </c>
      <c r="R25">
        <v>-875.51</v>
      </c>
    </row>
    <row r="26" spans="1:18" x14ac:dyDescent="0.3">
      <c r="A26">
        <v>1024</v>
      </c>
      <c r="B26" t="str">
        <f t="shared" si="0"/>
        <v>Thomas Long</v>
      </c>
      <c r="C26" t="s">
        <v>66</v>
      </c>
      <c r="D26" t="s">
        <v>19</v>
      </c>
      <c r="E26" t="s">
        <v>20</v>
      </c>
      <c r="F26" t="str">
        <f>CONCATENATE(Table1[[#This Row],[Product_Category]]," - ",Table1[[#This Row],[Product_Name]])</f>
        <v>Jackets - Puffer Coat</v>
      </c>
      <c r="G26">
        <f>IF(H26="", AVERAGEIF(Table1[Product_Category],D26,$H$2:$H$474),H26)</f>
        <v>-2</v>
      </c>
      <c r="H26">
        <v>-2</v>
      </c>
      <c r="I26" s="2">
        <f t="shared" si="1"/>
        <v>2952.3559374999995</v>
      </c>
      <c r="K26">
        <f t="shared" si="2"/>
        <v>1.19</v>
      </c>
      <c r="L26">
        <v>1.19</v>
      </c>
      <c r="M26" s="2">
        <f t="shared" si="3"/>
        <v>1121.8952562499994</v>
      </c>
      <c r="N26">
        <v>0</v>
      </c>
      <c r="O26" t="s">
        <v>14</v>
      </c>
      <c r="P26" t="str">
        <f t="shared" si="4"/>
        <v>B2B</v>
      </c>
      <c r="Q26" t="s">
        <v>22</v>
      </c>
      <c r="R26">
        <v>491.1</v>
      </c>
    </row>
    <row r="27" spans="1:18" x14ac:dyDescent="0.3">
      <c r="A27">
        <v>1025</v>
      </c>
      <c r="B27" t="str">
        <f t="shared" si="0"/>
        <v>Christine Reed</v>
      </c>
      <c r="C27" t="s">
        <v>67</v>
      </c>
      <c r="D27" t="s">
        <v>12</v>
      </c>
      <c r="E27" t="s">
        <v>48</v>
      </c>
      <c r="F27" t="str">
        <f>CONCATENATE(Table1[[#This Row],[Product_Category]]," - ",Table1[[#This Row],[Product_Name]])</f>
        <v>Jeans - Straight Cut</v>
      </c>
      <c r="G27">
        <f>IF(H27="", AVERAGEIF(Table1[Product_Category],D27,$H$2:$H$474),H27)</f>
        <v>4</v>
      </c>
      <c r="H27">
        <v>4</v>
      </c>
      <c r="I27" s="2">
        <f t="shared" si="1"/>
        <v>4595.08</v>
      </c>
      <c r="J27">
        <v>4595.08</v>
      </c>
      <c r="K27">
        <f t="shared" si="2"/>
        <v>0</v>
      </c>
      <c r="M27" s="2">
        <f t="shared" si="3"/>
        <v>18380.32</v>
      </c>
      <c r="N27">
        <v>0</v>
      </c>
      <c r="O27" t="s">
        <v>39</v>
      </c>
      <c r="P27" t="str">
        <f t="shared" si="4"/>
        <v>B2C</v>
      </c>
      <c r="R27">
        <v>330.82</v>
      </c>
    </row>
    <row r="28" spans="1:18" x14ac:dyDescent="0.3">
      <c r="A28">
        <v>1026</v>
      </c>
      <c r="B28" t="str">
        <f t="shared" si="0"/>
        <v>Colton Baxter</v>
      </c>
      <c r="C28" t="s">
        <v>68</v>
      </c>
      <c r="D28" t="s">
        <v>28</v>
      </c>
      <c r="E28" t="s">
        <v>41</v>
      </c>
      <c r="F28" t="str">
        <f>CONCATENATE(Table1[[#This Row],[Product_Category]]," - ",Table1[[#This Row],[Product_Name]])</f>
        <v>Accessories - Sunglasses</v>
      </c>
      <c r="G28" s="2">
        <f>IF(H28="", AVERAGEIF(Table1[Product_Category],D28,$H$2:$H$474),H28)</f>
        <v>2.5249999999999999</v>
      </c>
      <c r="I28" s="2">
        <f t="shared" si="1"/>
        <v>2755.6936585365856</v>
      </c>
      <c r="K28">
        <f t="shared" si="2"/>
        <v>0</v>
      </c>
      <c r="M28" s="2">
        <f t="shared" si="3"/>
        <v>6958.1264878048787</v>
      </c>
      <c r="N28">
        <v>0</v>
      </c>
      <c r="O28" t="s">
        <v>17</v>
      </c>
      <c r="P28" t="str">
        <f t="shared" si="4"/>
        <v>B2B</v>
      </c>
      <c r="Q28" t="s">
        <v>22</v>
      </c>
      <c r="R28">
        <v>-194.77</v>
      </c>
    </row>
    <row r="29" spans="1:18" x14ac:dyDescent="0.3">
      <c r="A29">
        <v>1027</v>
      </c>
      <c r="B29" t="str">
        <f t="shared" si="0"/>
        <v>Rebecca Dorsey</v>
      </c>
      <c r="C29" t="s">
        <v>69</v>
      </c>
      <c r="D29" t="s">
        <v>28</v>
      </c>
      <c r="E29" t="s">
        <v>29</v>
      </c>
      <c r="F29" t="str">
        <f>CONCATENATE(Table1[[#This Row],[Product_Category]]," - ",Table1[[#This Row],[Product_Name]])</f>
        <v>Accessories - Belts</v>
      </c>
      <c r="G29">
        <f>IF(H29="", AVERAGEIF(Table1[Product_Category],D29,$H$2:$H$474),H29)</f>
        <v>1</v>
      </c>
      <c r="H29">
        <v>1</v>
      </c>
      <c r="I29" s="2">
        <f t="shared" si="1"/>
        <v>2755.6936585365856</v>
      </c>
      <c r="K29">
        <f t="shared" si="2"/>
        <v>0</v>
      </c>
      <c r="M29" s="2">
        <f t="shared" si="3"/>
        <v>2755.6936585365856</v>
      </c>
      <c r="N29">
        <v>0</v>
      </c>
      <c r="O29" t="s">
        <v>552</v>
      </c>
      <c r="P29" t="str">
        <f t="shared" si="4"/>
        <v>B2B</v>
      </c>
      <c r="Q29" t="s">
        <v>22</v>
      </c>
      <c r="R29">
        <v>1085.3599999999999</v>
      </c>
    </row>
    <row r="30" spans="1:18" x14ac:dyDescent="0.3">
      <c r="A30">
        <v>1028</v>
      </c>
      <c r="B30" t="str">
        <f t="shared" si="0"/>
        <v>Felicia Orozco</v>
      </c>
      <c r="C30" t="s">
        <v>70</v>
      </c>
      <c r="D30" t="s">
        <v>32</v>
      </c>
      <c r="E30" t="s">
        <v>71</v>
      </c>
      <c r="F30" t="str">
        <f>CONCATENATE(Table1[[#This Row],[Product_Category]]," - ",Table1[[#This Row],[Product_Name]])</f>
        <v>T-Shirts - Classic Tee</v>
      </c>
      <c r="G30">
        <f>IF(H30="", AVERAGEIF(Table1[Product_Category],D30,$H$2:$H$474),H30)</f>
        <v>-2</v>
      </c>
      <c r="H30">
        <v>-2</v>
      </c>
      <c r="I30" s="2">
        <f t="shared" si="1"/>
        <v>2715.2732432432431</v>
      </c>
      <c r="K30">
        <f t="shared" si="2"/>
        <v>0</v>
      </c>
      <c r="M30" s="2">
        <f t="shared" si="3"/>
        <v>-5430.5464864864862</v>
      </c>
      <c r="N30">
        <v>0</v>
      </c>
      <c r="O30" t="s">
        <v>552</v>
      </c>
      <c r="P30" t="str">
        <f t="shared" si="4"/>
        <v>B2B</v>
      </c>
      <c r="Q30" t="s">
        <v>22</v>
      </c>
      <c r="R30">
        <v>2060.0300000000002</v>
      </c>
    </row>
    <row r="31" spans="1:18" x14ac:dyDescent="0.3">
      <c r="A31">
        <v>1029</v>
      </c>
      <c r="B31" t="str">
        <f t="shared" si="0"/>
        <v>Terry Anderson</v>
      </c>
      <c r="C31" t="s">
        <v>72</v>
      </c>
      <c r="D31" t="s">
        <v>32</v>
      </c>
      <c r="E31" t="s">
        <v>71</v>
      </c>
      <c r="F31" t="str">
        <f>CONCATENATE(Table1[[#This Row],[Product_Category]]," - ",Table1[[#This Row],[Product_Name]])</f>
        <v>T-Shirts - Classic Tee</v>
      </c>
      <c r="G31">
        <f>IF(H31="", AVERAGEIF(Table1[Product_Category],D31,$H$2:$H$474),H31)</f>
        <v>4</v>
      </c>
      <c r="H31">
        <v>4</v>
      </c>
      <c r="I31" s="2">
        <f t="shared" si="1"/>
        <v>2715.2732432432431</v>
      </c>
      <c r="K31">
        <f t="shared" si="2"/>
        <v>0</v>
      </c>
      <c r="M31" s="2">
        <f t="shared" si="3"/>
        <v>10861.092972972972</v>
      </c>
      <c r="N31">
        <v>0</v>
      </c>
      <c r="O31" t="s">
        <v>21</v>
      </c>
      <c r="P31" t="str">
        <f t="shared" si="4"/>
        <v>B2C</v>
      </c>
      <c r="R31">
        <v>1737.92</v>
      </c>
    </row>
    <row r="32" spans="1:18" x14ac:dyDescent="0.3">
      <c r="A32">
        <v>1030</v>
      </c>
      <c r="B32" t="str">
        <f t="shared" si="0"/>
        <v>Brandi Jones</v>
      </c>
      <c r="C32" t="s">
        <v>73</v>
      </c>
      <c r="D32" t="s">
        <v>37</v>
      </c>
      <c r="E32" t="s">
        <v>58</v>
      </c>
      <c r="F32" t="str">
        <f>CONCATENATE(Table1[[#This Row],[Product_Category]]," - ",Table1[[#This Row],[Product_Name]])</f>
        <v>Dresses - Maxi Dress</v>
      </c>
      <c r="G32">
        <f>IF(H32="", AVERAGEIF(Table1[Product_Category],D32,$H$2:$H$474),H32)</f>
        <v>3</v>
      </c>
      <c r="H32">
        <v>3</v>
      </c>
      <c r="I32" s="2">
        <f t="shared" si="1"/>
        <v>1069.77</v>
      </c>
      <c r="J32">
        <v>1069.77</v>
      </c>
      <c r="K32">
        <f t="shared" si="2"/>
        <v>0</v>
      </c>
      <c r="M32" s="2">
        <f t="shared" si="3"/>
        <v>3209.31</v>
      </c>
      <c r="N32">
        <v>0</v>
      </c>
      <c r="O32" t="s">
        <v>552</v>
      </c>
      <c r="P32" t="str">
        <f t="shared" si="4"/>
        <v>B2C</v>
      </c>
      <c r="Q32" t="s">
        <v>15</v>
      </c>
      <c r="R32">
        <v>1155.3800000000001</v>
      </c>
    </row>
    <row r="33" spans="1:18" x14ac:dyDescent="0.3">
      <c r="A33">
        <v>1032</v>
      </c>
      <c r="B33" t="str">
        <f t="shared" si="0"/>
        <v>Kim Harris</v>
      </c>
      <c r="C33" t="s">
        <v>75</v>
      </c>
      <c r="D33" t="s">
        <v>12</v>
      </c>
      <c r="E33" t="s">
        <v>35</v>
      </c>
      <c r="F33" t="str">
        <f>CONCATENATE(Table1[[#This Row],[Product_Category]]," - ",Table1[[#This Row],[Product_Name]])</f>
        <v>Jeans - Boyfriend Jeans</v>
      </c>
      <c r="G33">
        <f>IF(H33="", AVERAGEIF(Table1[Product_Category],D33,$H$2:$H$474),H33)</f>
        <v>2</v>
      </c>
      <c r="I33" s="2">
        <f t="shared" si="1"/>
        <v>2182.0100000000002</v>
      </c>
      <c r="J33">
        <v>2182.0100000000002</v>
      </c>
      <c r="K33">
        <f t="shared" si="2"/>
        <v>0</v>
      </c>
      <c r="M33" s="2">
        <f t="shared" si="3"/>
        <v>4364.0200000000004</v>
      </c>
      <c r="N33">
        <v>0</v>
      </c>
      <c r="O33" t="s">
        <v>14</v>
      </c>
      <c r="P33" t="str">
        <f t="shared" si="4"/>
        <v>B2C</v>
      </c>
      <c r="R33">
        <v>1377.61</v>
      </c>
    </row>
    <row r="34" spans="1:18" x14ac:dyDescent="0.3">
      <c r="A34">
        <v>1033</v>
      </c>
      <c r="B34" t="str">
        <f t="shared" si="0"/>
        <v>Jonathan Neal</v>
      </c>
      <c r="C34" t="s">
        <v>76</v>
      </c>
      <c r="D34" t="s">
        <v>12</v>
      </c>
      <c r="E34" t="s">
        <v>48</v>
      </c>
      <c r="F34" t="str">
        <f>CONCATENATE(Table1[[#This Row],[Product_Category]]," - ",Table1[[#This Row],[Product_Name]])</f>
        <v>Jeans - Straight Cut</v>
      </c>
      <c r="G34">
        <f>IF(H34="", AVERAGEIF(Table1[Product_Category],D34,$H$2:$H$474),H34)</f>
        <v>2</v>
      </c>
      <c r="I34" s="2">
        <f t="shared" si="1"/>
        <v>2592.8782222222212</v>
      </c>
      <c r="K34">
        <f t="shared" si="2"/>
        <v>0</v>
      </c>
      <c r="M34" s="2">
        <f t="shared" si="3"/>
        <v>5185.7564444444424</v>
      </c>
      <c r="N34">
        <v>0</v>
      </c>
      <c r="O34" t="s">
        <v>552</v>
      </c>
      <c r="P34" t="str">
        <f t="shared" si="4"/>
        <v>B2B</v>
      </c>
      <c r="Q34" t="s">
        <v>22</v>
      </c>
      <c r="R34">
        <v>903.69</v>
      </c>
    </row>
    <row r="35" spans="1:18" x14ac:dyDescent="0.3">
      <c r="A35">
        <v>1034</v>
      </c>
      <c r="B35" t="str">
        <f t="shared" si="0"/>
        <v>Nathan Stewart</v>
      </c>
      <c r="C35" t="s">
        <v>77</v>
      </c>
      <c r="D35" t="s">
        <v>19</v>
      </c>
      <c r="E35" t="s">
        <v>20</v>
      </c>
      <c r="F35" t="str">
        <f>CONCATENATE(Table1[[#This Row],[Product_Category]]," - ",Table1[[#This Row],[Product_Name]])</f>
        <v>Jackets - Puffer Coat</v>
      </c>
      <c r="G35">
        <f>IF(H35="", AVERAGEIF(Table1[Product_Category],D35,$H$2:$H$474),H35)</f>
        <v>0</v>
      </c>
      <c r="H35">
        <v>0</v>
      </c>
      <c r="I35" s="2">
        <f t="shared" si="1"/>
        <v>4449.3599999999997</v>
      </c>
      <c r="J35">
        <v>4449.3599999999997</v>
      </c>
      <c r="K35">
        <f t="shared" si="2"/>
        <v>0.94</v>
      </c>
      <c r="L35">
        <v>0.94</v>
      </c>
      <c r="M35" s="2">
        <f t="shared" si="3"/>
        <v>0</v>
      </c>
      <c r="N35">
        <v>0</v>
      </c>
      <c r="O35" t="s">
        <v>14</v>
      </c>
      <c r="P35" t="str">
        <f t="shared" si="4"/>
        <v>B2B</v>
      </c>
      <c r="Q35" t="s">
        <v>22</v>
      </c>
      <c r="R35">
        <v>-282.68</v>
      </c>
    </row>
    <row r="36" spans="1:18" x14ac:dyDescent="0.3">
      <c r="A36">
        <v>1035</v>
      </c>
      <c r="B36" t="str">
        <f t="shared" si="0"/>
        <v>Joshua Thomas</v>
      </c>
      <c r="C36" t="s">
        <v>78</v>
      </c>
      <c r="D36" t="s">
        <v>19</v>
      </c>
      <c r="E36" t="s">
        <v>79</v>
      </c>
      <c r="F36" t="str">
        <f>CONCATENATE(Table1[[#This Row],[Product_Category]]," - ",Table1[[#This Row],[Product_Name]])</f>
        <v>Jackets - Bomber Jacket</v>
      </c>
      <c r="G36">
        <f>IF(H36="", AVERAGEIF(Table1[Product_Category],D36,$H$2:$H$474),H36)</f>
        <v>-1</v>
      </c>
      <c r="H36">
        <v>-1</v>
      </c>
      <c r="I36" s="2">
        <f t="shared" si="1"/>
        <v>2952.3559374999995</v>
      </c>
      <c r="K36">
        <f t="shared" si="2"/>
        <v>0.94</v>
      </c>
      <c r="L36">
        <v>0.94</v>
      </c>
      <c r="M36" s="2">
        <f t="shared" si="3"/>
        <v>-177.14135625000011</v>
      </c>
      <c r="N36">
        <v>0</v>
      </c>
      <c r="O36" t="s">
        <v>17</v>
      </c>
      <c r="P36" t="str">
        <f t="shared" si="4"/>
        <v>B2C</v>
      </c>
      <c r="Q36" t="s">
        <v>15</v>
      </c>
      <c r="R36">
        <v>-199.18</v>
      </c>
    </row>
    <row r="37" spans="1:18" x14ac:dyDescent="0.3">
      <c r="A37">
        <v>1036</v>
      </c>
      <c r="B37" t="str">
        <f t="shared" si="0"/>
        <v>Connie Cunningham</v>
      </c>
      <c r="C37" t="s">
        <v>80</v>
      </c>
      <c r="D37" t="s">
        <v>32</v>
      </c>
      <c r="E37" t="s">
        <v>81</v>
      </c>
      <c r="F37" t="str">
        <f>CONCATENATE(Table1[[#This Row],[Product_Category]]," - ",Table1[[#This Row],[Product_Name]])</f>
        <v>T-Shirts - Graphic Tee</v>
      </c>
      <c r="G37">
        <f>IF(H37="", AVERAGEIF(Table1[Product_Category],D37,$H$2:$H$474),H37)</f>
        <v>-2</v>
      </c>
      <c r="H37">
        <v>-2</v>
      </c>
      <c r="I37" s="2">
        <f t="shared" si="1"/>
        <v>2721.83</v>
      </c>
      <c r="J37">
        <v>2721.83</v>
      </c>
      <c r="K37">
        <f t="shared" si="2"/>
        <v>0</v>
      </c>
      <c r="M37" s="2">
        <f t="shared" si="3"/>
        <v>-5443.66</v>
      </c>
      <c r="N37">
        <v>0</v>
      </c>
      <c r="O37" t="s">
        <v>17</v>
      </c>
      <c r="P37" t="str">
        <f t="shared" si="4"/>
        <v>B2B</v>
      </c>
      <c r="Q37" t="s">
        <v>22</v>
      </c>
      <c r="R37">
        <v>1213.95</v>
      </c>
    </row>
    <row r="38" spans="1:18" x14ac:dyDescent="0.3">
      <c r="A38">
        <v>1037</v>
      </c>
      <c r="B38" t="str">
        <f t="shared" si="0"/>
        <v>Amy Martin</v>
      </c>
      <c r="C38" t="s">
        <v>82</v>
      </c>
      <c r="D38" t="s">
        <v>28</v>
      </c>
      <c r="E38" t="s">
        <v>41</v>
      </c>
      <c r="F38" t="str">
        <f>CONCATENATE(Table1[[#This Row],[Product_Category]]," - ",Table1[[#This Row],[Product_Name]])</f>
        <v>Accessories - Sunglasses</v>
      </c>
      <c r="G38">
        <f>IF(H38="", AVERAGEIF(Table1[Product_Category],D38,$H$2:$H$474),H38)</f>
        <v>2</v>
      </c>
      <c r="H38">
        <v>2</v>
      </c>
      <c r="I38" s="2">
        <f t="shared" si="1"/>
        <v>2755.6936585365856</v>
      </c>
      <c r="K38">
        <f t="shared" si="2"/>
        <v>1.1000000000000001</v>
      </c>
      <c r="L38">
        <v>1.1000000000000001</v>
      </c>
      <c r="M38" s="2">
        <f t="shared" si="3"/>
        <v>-551.13873170731767</v>
      </c>
      <c r="N38">
        <v>0</v>
      </c>
      <c r="O38" t="s">
        <v>17</v>
      </c>
      <c r="P38" t="str">
        <f t="shared" si="4"/>
        <v>B2B</v>
      </c>
      <c r="Q38" t="s">
        <v>22</v>
      </c>
      <c r="R38">
        <v>907.77</v>
      </c>
    </row>
    <row r="39" spans="1:18" x14ac:dyDescent="0.3">
      <c r="A39">
        <v>1038</v>
      </c>
      <c r="B39" t="str">
        <f t="shared" si="0"/>
        <v>Courtney Riddle</v>
      </c>
      <c r="C39" t="s">
        <v>83</v>
      </c>
      <c r="D39" t="s">
        <v>32</v>
      </c>
      <c r="E39" t="s">
        <v>33</v>
      </c>
      <c r="F39" t="str">
        <f>CONCATENATE(Table1[[#This Row],[Product_Category]]," - ",Table1[[#This Row],[Product_Name]])</f>
        <v>T-Shirts - Crop Top</v>
      </c>
      <c r="G39">
        <f>IF(H39="", AVERAGEIF(Table1[Product_Category],D39,$H$2:$H$474),H39)</f>
        <v>3</v>
      </c>
      <c r="H39">
        <v>3</v>
      </c>
      <c r="I39" s="2">
        <f t="shared" si="1"/>
        <v>1692.38</v>
      </c>
      <c r="J39">
        <v>1692.38</v>
      </c>
      <c r="K39">
        <f t="shared" si="2"/>
        <v>0</v>
      </c>
      <c r="M39" s="2">
        <f t="shared" si="3"/>
        <v>5077.1400000000003</v>
      </c>
      <c r="N39">
        <v>0</v>
      </c>
      <c r="O39" t="s">
        <v>39</v>
      </c>
      <c r="P39" t="str">
        <f t="shared" si="4"/>
        <v>B2C</v>
      </c>
      <c r="Q39" t="s">
        <v>15</v>
      </c>
      <c r="R39">
        <v>1704.49</v>
      </c>
    </row>
    <row r="40" spans="1:18" x14ac:dyDescent="0.3">
      <c r="A40">
        <v>1039</v>
      </c>
      <c r="B40" t="str">
        <f t="shared" si="0"/>
        <v>Ashley Ramirez</v>
      </c>
      <c r="C40" t="s">
        <v>84</v>
      </c>
      <c r="D40" t="s">
        <v>24</v>
      </c>
      <c r="E40" t="s">
        <v>85</v>
      </c>
      <c r="F40" t="str">
        <f>CONCATENATE(Table1[[#This Row],[Product_Category]]," - ",Table1[[#This Row],[Product_Name]])</f>
        <v>Shoes - Boots</v>
      </c>
      <c r="G40" s="2">
        <f>IF(H40="", AVERAGEIF(Table1[Product_Category],D40,$H$2:$H$474),H40)</f>
        <v>1.5517241379310345</v>
      </c>
      <c r="I40" s="2">
        <f t="shared" si="1"/>
        <v>1372.16</v>
      </c>
      <c r="J40">
        <v>1372.16</v>
      </c>
      <c r="K40">
        <f t="shared" si="2"/>
        <v>0.56000000000000005</v>
      </c>
      <c r="L40">
        <v>0.56000000000000005</v>
      </c>
      <c r="M40" s="2">
        <f t="shared" si="3"/>
        <v>936.85406896551729</v>
      </c>
      <c r="N40">
        <v>0</v>
      </c>
      <c r="O40" t="s">
        <v>552</v>
      </c>
      <c r="P40" t="str">
        <f t="shared" si="4"/>
        <v>B2C</v>
      </c>
      <c r="Q40" t="s">
        <v>15</v>
      </c>
      <c r="R40">
        <v>1626.51</v>
      </c>
    </row>
    <row r="41" spans="1:18" x14ac:dyDescent="0.3">
      <c r="A41">
        <v>1040</v>
      </c>
      <c r="B41" t="str">
        <f t="shared" si="0"/>
        <v>Angel Nelson</v>
      </c>
      <c r="C41" t="s">
        <v>86</v>
      </c>
      <c r="D41" t="s">
        <v>19</v>
      </c>
      <c r="E41" t="s">
        <v>87</v>
      </c>
      <c r="F41" t="str">
        <f>CONCATENATE(Table1[[#This Row],[Product_Category]]," - ",Table1[[#This Row],[Product_Name]])</f>
        <v>Jackets - Denim Jacket</v>
      </c>
      <c r="G41" s="2">
        <f>IF(H41="", AVERAGEIF(Table1[Product_Category],D41,$H$2:$H$474),H41)</f>
        <v>1.675</v>
      </c>
      <c r="I41" s="2">
        <f t="shared" si="1"/>
        <v>2952.3559374999995</v>
      </c>
      <c r="K41">
        <f t="shared" si="2"/>
        <v>0</v>
      </c>
      <c r="M41" s="2">
        <f t="shared" si="3"/>
        <v>4945.1961953124992</v>
      </c>
      <c r="N41">
        <v>0</v>
      </c>
      <c r="O41" t="s">
        <v>17</v>
      </c>
      <c r="P41" t="str">
        <f t="shared" si="4"/>
        <v>B2C</v>
      </c>
      <c r="Q41" t="s">
        <v>15</v>
      </c>
      <c r="R41">
        <v>693.6</v>
      </c>
    </row>
    <row r="42" spans="1:18" x14ac:dyDescent="0.3">
      <c r="A42">
        <v>1041</v>
      </c>
      <c r="B42" t="str">
        <f t="shared" si="0"/>
        <v>Teresa Chavez</v>
      </c>
      <c r="C42" t="s">
        <v>88</v>
      </c>
      <c r="D42" t="s">
        <v>19</v>
      </c>
      <c r="E42" t="s">
        <v>20</v>
      </c>
      <c r="F42" t="str">
        <f>CONCATENATE(Table1[[#This Row],[Product_Category]]," - ",Table1[[#This Row],[Product_Name]])</f>
        <v>Jackets - Puffer Coat</v>
      </c>
      <c r="G42" s="2">
        <f>IF(H42="", AVERAGEIF(Table1[Product_Category],D42,$H$2:$H$474),H42)</f>
        <v>1.675</v>
      </c>
      <c r="I42" s="2">
        <f t="shared" si="1"/>
        <v>2952.3559374999995</v>
      </c>
      <c r="K42">
        <f t="shared" si="2"/>
        <v>0</v>
      </c>
      <c r="M42" s="2">
        <f t="shared" si="3"/>
        <v>4945.1961953124992</v>
      </c>
      <c r="N42">
        <v>0</v>
      </c>
      <c r="O42" t="s">
        <v>17</v>
      </c>
      <c r="P42" t="str">
        <f t="shared" si="4"/>
        <v>B2C</v>
      </c>
      <c r="Q42" t="s">
        <v>15</v>
      </c>
      <c r="R42">
        <v>-983.06</v>
      </c>
    </row>
    <row r="43" spans="1:18" x14ac:dyDescent="0.3">
      <c r="A43">
        <v>1042</v>
      </c>
      <c r="B43" t="str">
        <f t="shared" si="0"/>
        <v>Richard Williams</v>
      </c>
      <c r="C43" t="s">
        <v>89</v>
      </c>
      <c r="D43" t="s">
        <v>37</v>
      </c>
      <c r="E43" t="s">
        <v>90</v>
      </c>
      <c r="F43" t="str">
        <f>CONCATENATE(Table1[[#This Row],[Product_Category]]," - ",Table1[[#This Row],[Product_Name]])</f>
        <v>Dresses - Bodycon</v>
      </c>
      <c r="G43" s="2">
        <f>IF(H43="", AVERAGEIF(Table1[Product_Category],D43,$H$2:$H$474),H43)</f>
        <v>2.0217391304347827</v>
      </c>
      <c r="I43" s="2">
        <f t="shared" si="1"/>
        <v>2878.0747619047615</v>
      </c>
      <c r="K43">
        <f t="shared" si="2"/>
        <v>0</v>
      </c>
      <c r="M43" s="2">
        <f t="shared" si="3"/>
        <v>5818.7163664596264</v>
      </c>
      <c r="N43">
        <v>0</v>
      </c>
      <c r="O43" t="s">
        <v>45</v>
      </c>
      <c r="P43" t="str">
        <f t="shared" si="4"/>
        <v>B2C</v>
      </c>
      <c r="R43">
        <v>283.39</v>
      </c>
    </row>
    <row r="44" spans="1:18" x14ac:dyDescent="0.3">
      <c r="A44">
        <v>1043</v>
      </c>
      <c r="B44" t="str">
        <f t="shared" si="0"/>
        <v>Deborah Walker</v>
      </c>
      <c r="C44" t="s">
        <v>91</v>
      </c>
      <c r="D44" t="s">
        <v>32</v>
      </c>
      <c r="E44" t="s">
        <v>81</v>
      </c>
      <c r="F44" t="str">
        <f>CONCATENATE(Table1[[#This Row],[Product_Category]]," - ",Table1[[#This Row],[Product_Name]])</f>
        <v>T-Shirts - Graphic Tee</v>
      </c>
      <c r="G44" s="2">
        <f>IF(H44="", AVERAGEIF(Table1[Product_Category],D44,$H$2:$H$474),H44)</f>
        <v>1.5813953488372092</v>
      </c>
      <c r="I44" s="2">
        <f t="shared" si="1"/>
        <v>4575.93</v>
      </c>
      <c r="J44">
        <v>4575.93</v>
      </c>
      <c r="K44">
        <f t="shared" si="2"/>
        <v>0.56000000000000005</v>
      </c>
      <c r="L44">
        <v>0.56000000000000005</v>
      </c>
      <c r="M44" s="2">
        <f t="shared" si="3"/>
        <v>3183.995944186046</v>
      </c>
      <c r="N44">
        <v>0</v>
      </c>
      <c r="O44" t="s">
        <v>17</v>
      </c>
      <c r="P44" t="str">
        <f t="shared" si="4"/>
        <v>B2C</v>
      </c>
      <c r="R44">
        <v>442.14</v>
      </c>
    </row>
    <row r="45" spans="1:18" x14ac:dyDescent="0.3">
      <c r="A45">
        <v>1044</v>
      </c>
      <c r="B45" t="str">
        <f t="shared" si="0"/>
        <v>Elizabeth Williams</v>
      </c>
      <c r="C45" t="s">
        <v>92</v>
      </c>
      <c r="D45" t="s">
        <v>32</v>
      </c>
      <c r="E45" t="s">
        <v>71</v>
      </c>
      <c r="F45" t="str">
        <f>CONCATENATE(Table1[[#This Row],[Product_Category]]," - ",Table1[[#This Row],[Product_Name]])</f>
        <v>T-Shirts - Classic Tee</v>
      </c>
      <c r="G45" s="2">
        <f>IF(H45="", AVERAGEIF(Table1[Product_Category],D45,$H$2:$H$474),H45)</f>
        <v>1.5813953488372092</v>
      </c>
      <c r="I45" s="2">
        <f t="shared" si="1"/>
        <v>2715.2732432432431</v>
      </c>
      <c r="K45">
        <f t="shared" si="2"/>
        <v>0</v>
      </c>
      <c r="M45" s="2">
        <f t="shared" si="3"/>
        <v>4293.9204776869892</v>
      </c>
      <c r="N45">
        <v>0</v>
      </c>
      <c r="O45" t="s">
        <v>39</v>
      </c>
      <c r="P45" t="str">
        <f t="shared" si="4"/>
        <v>B2B</v>
      </c>
      <c r="Q45" t="s">
        <v>22</v>
      </c>
      <c r="R45">
        <v>-80.23</v>
      </c>
    </row>
    <row r="46" spans="1:18" x14ac:dyDescent="0.3">
      <c r="A46">
        <v>1045</v>
      </c>
      <c r="B46" t="str">
        <f t="shared" si="0"/>
        <v>Connie Mills</v>
      </c>
      <c r="C46" t="s">
        <v>93</v>
      </c>
      <c r="D46" t="s">
        <v>28</v>
      </c>
      <c r="E46" t="s">
        <v>41</v>
      </c>
      <c r="F46" t="str">
        <f>CONCATENATE(Table1[[#This Row],[Product_Category]]," - ",Table1[[#This Row],[Product_Name]])</f>
        <v>Accessories - Sunglasses</v>
      </c>
      <c r="G46" s="2">
        <f>IF(H46="", AVERAGEIF(Table1[Product_Category],D46,$H$2:$H$474),H46)</f>
        <v>2.5249999999999999</v>
      </c>
      <c r="I46" s="2">
        <f t="shared" si="1"/>
        <v>3477.16</v>
      </c>
      <c r="J46">
        <v>3477.16</v>
      </c>
      <c r="K46">
        <f t="shared" si="2"/>
        <v>0</v>
      </c>
      <c r="M46" s="2">
        <f t="shared" si="3"/>
        <v>8779.8289999999997</v>
      </c>
      <c r="N46">
        <v>0</v>
      </c>
      <c r="O46" t="s">
        <v>552</v>
      </c>
      <c r="P46" t="str">
        <f t="shared" si="4"/>
        <v>B2B</v>
      </c>
      <c r="Q46" t="s">
        <v>22</v>
      </c>
      <c r="R46">
        <v>1323.75</v>
      </c>
    </row>
    <row r="47" spans="1:18" x14ac:dyDescent="0.3">
      <c r="A47">
        <v>1046</v>
      </c>
      <c r="B47" t="str">
        <f t="shared" si="0"/>
        <v>Charlotte Cook</v>
      </c>
      <c r="C47" t="s">
        <v>94</v>
      </c>
      <c r="D47" t="s">
        <v>12</v>
      </c>
      <c r="E47" t="s">
        <v>13</v>
      </c>
      <c r="F47" t="str">
        <f>CONCATENATE(Table1[[#This Row],[Product_Category]]," - ",Table1[[#This Row],[Product_Name]])</f>
        <v>Jeans - Slim Fit Jeans</v>
      </c>
      <c r="G47">
        <f>IF(H47="", AVERAGEIF(Table1[Product_Category],D47,$H$2:$H$474),H47)</f>
        <v>-1</v>
      </c>
      <c r="H47">
        <v>-1</v>
      </c>
      <c r="I47" s="2">
        <f t="shared" si="1"/>
        <v>2441.92</v>
      </c>
      <c r="J47">
        <v>2441.92</v>
      </c>
      <c r="K47">
        <f t="shared" si="2"/>
        <v>0.92</v>
      </c>
      <c r="L47">
        <v>0.92</v>
      </c>
      <c r="M47" s="2">
        <f t="shared" si="3"/>
        <v>-195.35359999999991</v>
      </c>
      <c r="N47">
        <v>-195.35</v>
      </c>
      <c r="O47" t="s">
        <v>14</v>
      </c>
      <c r="P47" t="str">
        <f t="shared" si="4"/>
        <v>B2C</v>
      </c>
      <c r="R47">
        <v>1004.91</v>
      </c>
    </row>
    <row r="48" spans="1:18" x14ac:dyDescent="0.3">
      <c r="A48">
        <v>1047</v>
      </c>
      <c r="B48" t="str">
        <f t="shared" si="0"/>
        <v>Matthew Thompson</v>
      </c>
      <c r="C48" t="s">
        <v>95</v>
      </c>
      <c r="D48" t="s">
        <v>12</v>
      </c>
      <c r="E48" t="s">
        <v>48</v>
      </c>
      <c r="F48" t="str">
        <f>CONCATENATE(Table1[[#This Row],[Product_Category]]," - ",Table1[[#This Row],[Product_Name]])</f>
        <v>Jeans - Straight Cut</v>
      </c>
      <c r="G48">
        <f>IF(H48="", AVERAGEIF(Table1[Product_Category],D48,$H$2:$H$474),H48)</f>
        <v>3</v>
      </c>
      <c r="H48">
        <v>3</v>
      </c>
      <c r="I48" s="2">
        <f t="shared" si="1"/>
        <v>2592.8782222222212</v>
      </c>
      <c r="K48">
        <f t="shared" si="2"/>
        <v>0</v>
      </c>
      <c r="M48" s="2">
        <f t="shared" si="3"/>
        <v>7778.6346666666632</v>
      </c>
      <c r="N48">
        <v>0</v>
      </c>
      <c r="O48" t="s">
        <v>552</v>
      </c>
      <c r="P48" t="str">
        <f t="shared" si="4"/>
        <v>B2C</v>
      </c>
      <c r="Q48" t="s">
        <v>15</v>
      </c>
      <c r="R48">
        <v>-395.76</v>
      </c>
    </row>
    <row r="49" spans="1:18" x14ac:dyDescent="0.3">
      <c r="A49">
        <v>1048</v>
      </c>
      <c r="B49" t="str">
        <f t="shared" si="0"/>
        <v>James Hughes</v>
      </c>
      <c r="C49" t="s">
        <v>96</v>
      </c>
      <c r="D49" t="s">
        <v>12</v>
      </c>
      <c r="E49" t="s">
        <v>48</v>
      </c>
      <c r="F49" t="str">
        <f>CONCATENATE(Table1[[#This Row],[Product_Category]]," - ",Table1[[#This Row],[Product_Name]])</f>
        <v>Jeans - Straight Cut</v>
      </c>
      <c r="G49">
        <f>IF(H49="", AVERAGEIF(Table1[Product_Category],D49,$H$2:$H$474),H49)</f>
        <v>5</v>
      </c>
      <c r="H49">
        <v>5</v>
      </c>
      <c r="I49" s="2">
        <f t="shared" si="1"/>
        <v>2592.8782222222212</v>
      </c>
      <c r="K49">
        <f t="shared" si="2"/>
        <v>0.41</v>
      </c>
      <c r="L49">
        <v>0.41</v>
      </c>
      <c r="M49" s="2">
        <f t="shared" si="3"/>
        <v>7648.9907555555537</v>
      </c>
      <c r="N49">
        <v>0</v>
      </c>
      <c r="O49" t="s">
        <v>14</v>
      </c>
      <c r="P49" t="str">
        <f t="shared" si="4"/>
        <v>B2C</v>
      </c>
      <c r="R49">
        <v>2409.2600000000002</v>
      </c>
    </row>
    <row r="50" spans="1:18" x14ac:dyDescent="0.3">
      <c r="A50">
        <v>1049</v>
      </c>
      <c r="B50" t="str">
        <f t="shared" si="0"/>
        <v>Kimberly Anderson</v>
      </c>
      <c r="C50" t="s">
        <v>97</v>
      </c>
      <c r="D50" t="s">
        <v>32</v>
      </c>
      <c r="E50" t="s">
        <v>81</v>
      </c>
      <c r="F50" t="str">
        <f>CONCATENATE(Table1[[#This Row],[Product_Category]]," - ",Table1[[#This Row],[Product_Name]])</f>
        <v>T-Shirts - Graphic Tee</v>
      </c>
      <c r="G50" s="2">
        <f>IF(H50="", AVERAGEIF(Table1[Product_Category],D50,$H$2:$H$474),H50)</f>
        <v>1.5813953488372092</v>
      </c>
      <c r="I50" s="2">
        <f t="shared" si="1"/>
        <v>2715.2732432432431</v>
      </c>
      <c r="K50">
        <f t="shared" si="2"/>
        <v>0</v>
      </c>
      <c r="M50" s="2">
        <f t="shared" si="3"/>
        <v>4293.9204776869892</v>
      </c>
      <c r="N50">
        <v>0</v>
      </c>
      <c r="O50" t="s">
        <v>21</v>
      </c>
      <c r="P50" t="str">
        <f t="shared" si="4"/>
        <v>B2C</v>
      </c>
      <c r="Q50" t="s">
        <v>15</v>
      </c>
      <c r="R50">
        <v>19.87</v>
      </c>
    </row>
    <row r="51" spans="1:18" x14ac:dyDescent="0.3">
      <c r="A51">
        <v>1050</v>
      </c>
      <c r="B51" t="str">
        <f t="shared" si="0"/>
        <v>Matthew Schmidt</v>
      </c>
      <c r="C51" t="s">
        <v>98</v>
      </c>
      <c r="D51" t="s">
        <v>12</v>
      </c>
      <c r="E51" t="s">
        <v>13</v>
      </c>
      <c r="F51" t="str">
        <f>CONCATENATE(Table1[[#This Row],[Product_Category]]," - ",Table1[[#This Row],[Product_Name]])</f>
        <v>Jeans - Slim Fit Jeans</v>
      </c>
      <c r="G51">
        <f>IF(H51="", AVERAGEIF(Table1[Product_Category],D51,$H$2:$H$474),H51)</f>
        <v>-1</v>
      </c>
      <c r="H51">
        <v>-1</v>
      </c>
      <c r="I51" s="2">
        <f t="shared" si="1"/>
        <v>1083.1600000000001</v>
      </c>
      <c r="J51">
        <v>1083.1600000000001</v>
      </c>
      <c r="K51">
        <f t="shared" si="2"/>
        <v>0</v>
      </c>
      <c r="M51" s="2">
        <f t="shared" si="3"/>
        <v>-1083.1600000000001</v>
      </c>
      <c r="N51">
        <v>0</v>
      </c>
      <c r="O51" t="s">
        <v>45</v>
      </c>
      <c r="P51" t="str">
        <f t="shared" si="4"/>
        <v>B2C</v>
      </c>
      <c r="Q51" t="s">
        <v>15</v>
      </c>
      <c r="R51">
        <v>2904.29</v>
      </c>
    </row>
    <row r="52" spans="1:18" x14ac:dyDescent="0.3">
      <c r="A52">
        <v>1051</v>
      </c>
      <c r="B52" t="str">
        <f t="shared" si="0"/>
        <v>Eric Wilson</v>
      </c>
      <c r="C52" t="s">
        <v>99</v>
      </c>
      <c r="D52" t="s">
        <v>12</v>
      </c>
      <c r="E52" t="s">
        <v>35</v>
      </c>
      <c r="F52" t="str">
        <f>CONCATENATE(Table1[[#This Row],[Product_Category]]," - ",Table1[[#This Row],[Product_Name]])</f>
        <v>Jeans - Boyfriend Jeans</v>
      </c>
      <c r="G52">
        <f>IF(H52="", AVERAGEIF(Table1[Product_Category],D52,$H$2:$H$474),H52)</f>
        <v>2</v>
      </c>
      <c r="I52" s="2">
        <f t="shared" si="1"/>
        <v>2592.8782222222212</v>
      </c>
      <c r="K52">
        <f t="shared" si="2"/>
        <v>0.56999999999999995</v>
      </c>
      <c r="L52">
        <v>0.56999999999999995</v>
      </c>
      <c r="M52" s="2">
        <f t="shared" si="3"/>
        <v>2229.8752711111106</v>
      </c>
      <c r="N52">
        <v>0</v>
      </c>
      <c r="O52" t="s">
        <v>14</v>
      </c>
      <c r="P52" t="str">
        <f t="shared" si="4"/>
        <v>B2C</v>
      </c>
      <c r="Q52" t="s">
        <v>15</v>
      </c>
      <c r="R52">
        <v>2857.9</v>
      </c>
    </row>
    <row r="53" spans="1:18" x14ac:dyDescent="0.3">
      <c r="A53">
        <v>1052</v>
      </c>
      <c r="B53" t="str">
        <f t="shared" si="0"/>
        <v>Zachary Ramos</v>
      </c>
      <c r="C53" t="s">
        <v>100</v>
      </c>
      <c r="D53" t="s">
        <v>12</v>
      </c>
      <c r="E53" t="s">
        <v>101</v>
      </c>
      <c r="F53" t="str">
        <f>CONCATENATE(Table1[[#This Row],[Product_Category]]," - ",Table1[[#This Row],[Product_Name]])</f>
        <v>Jeans - Ripped Denim</v>
      </c>
      <c r="G53">
        <f>IF(H53="", AVERAGEIF(Table1[Product_Category],D53,$H$2:$H$474),H53)</f>
        <v>2</v>
      </c>
      <c r="I53" s="2">
        <f t="shared" si="1"/>
        <v>3252.49</v>
      </c>
      <c r="J53">
        <v>3252.49</v>
      </c>
      <c r="K53">
        <f t="shared" si="2"/>
        <v>0.56000000000000005</v>
      </c>
      <c r="L53">
        <v>0.56000000000000005</v>
      </c>
      <c r="M53" s="2">
        <f t="shared" si="3"/>
        <v>2862.1911999999993</v>
      </c>
      <c r="N53">
        <v>0</v>
      </c>
      <c r="O53" t="s">
        <v>39</v>
      </c>
      <c r="P53" t="str">
        <f t="shared" si="4"/>
        <v>B2C</v>
      </c>
      <c r="R53">
        <v>-11.15</v>
      </c>
    </row>
    <row r="54" spans="1:18" x14ac:dyDescent="0.3">
      <c r="A54">
        <v>1053</v>
      </c>
      <c r="B54" t="str">
        <f t="shared" si="0"/>
        <v>Debra Pollard</v>
      </c>
      <c r="C54" t="s">
        <v>102</v>
      </c>
      <c r="D54" t="s">
        <v>37</v>
      </c>
      <c r="E54" t="s">
        <v>58</v>
      </c>
      <c r="F54" t="str">
        <f>CONCATENATE(Table1[[#This Row],[Product_Category]]," - ",Table1[[#This Row],[Product_Name]])</f>
        <v>Dresses - Maxi Dress</v>
      </c>
      <c r="G54" s="2">
        <f>IF(H54="", AVERAGEIF(Table1[Product_Category],D54,$H$2:$H$474),H54)</f>
        <v>2.0217391304347827</v>
      </c>
      <c r="I54" s="2">
        <f t="shared" si="1"/>
        <v>714.23</v>
      </c>
      <c r="J54">
        <v>714.23</v>
      </c>
      <c r="K54">
        <f t="shared" si="2"/>
        <v>1.29</v>
      </c>
      <c r="L54">
        <v>1.29</v>
      </c>
      <c r="M54" s="2">
        <f t="shared" si="3"/>
        <v>-418.75615434782617</v>
      </c>
      <c r="N54">
        <v>0</v>
      </c>
      <c r="O54" t="s">
        <v>14</v>
      </c>
      <c r="P54" t="str">
        <f t="shared" si="4"/>
        <v>B2C</v>
      </c>
      <c r="R54">
        <v>1057.24</v>
      </c>
    </row>
    <row r="55" spans="1:18" x14ac:dyDescent="0.3">
      <c r="A55">
        <v>1054</v>
      </c>
      <c r="B55" t="str">
        <f t="shared" si="0"/>
        <v>Angela Martinez</v>
      </c>
      <c r="C55" t="s">
        <v>103</v>
      </c>
      <c r="D55" t="s">
        <v>32</v>
      </c>
      <c r="E55" t="s">
        <v>71</v>
      </c>
      <c r="F55" t="str">
        <f>CONCATENATE(Table1[[#This Row],[Product_Category]]," - ",Table1[[#This Row],[Product_Name]])</f>
        <v>T-Shirts - Classic Tee</v>
      </c>
      <c r="G55" s="2">
        <f>IF(H55="", AVERAGEIF(Table1[Product_Category],D55,$H$2:$H$474),H55)</f>
        <v>1.5813953488372092</v>
      </c>
      <c r="I55" s="2">
        <f t="shared" si="1"/>
        <v>2715.2732432432431</v>
      </c>
      <c r="K55">
        <f t="shared" si="2"/>
        <v>0</v>
      </c>
      <c r="M55" s="2">
        <f t="shared" si="3"/>
        <v>4293.9204776869892</v>
      </c>
      <c r="N55">
        <v>0</v>
      </c>
      <c r="O55" t="s">
        <v>45</v>
      </c>
      <c r="P55" t="str">
        <f t="shared" si="4"/>
        <v>B2C</v>
      </c>
      <c r="R55">
        <v>1002.96</v>
      </c>
    </row>
    <row r="56" spans="1:18" x14ac:dyDescent="0.3">
      <c r="A56">
        <v>1055</v>
      </c>
      <c r="B56" t="str">
        <f t="shared" si="0"/>
        <v>Brett Burch</v>
      </c>
      <c r="C56" t="s">
        <v>104</v>
      </c>
      <c r="D56" t="s">
        <v>12</v>
      </c>
      <c r="E56" t="s">
        <v>35</v>
      </c>
      <c r="F56" t="str">
        <f>CONCATENATE(Table1[[#This Row],[Product_Category]]," - ",Table1[[#This Row],[Product_Name]])</f>
        <v>Jeans - Boyfriend Jeans</v>
      </c>
      <c r="G56">
        <f>IF(H56="", AVERAGEIF(Table1[Product_Category],D56,$H$2:$H$474),H56)</f>
        <v>0</v>
      </c>
      <c r="H56">
        <v>0</v>
      </c>
      <c r="I56" s="2">
        <f t="shared" si="1"/>
        <v>2592.8782222222212</v>
      </c>
      <c r="K56">
        <f t="shared" si="2"/>
        <v>0</v>
      </c>
      <c r="M56" s="2">
        <f t="shared" si="3"/>
        <v>0</v>
      </c>
      <c r="N56">
        <v>0</v>
      </c>
      <c r="O56" t="s">
        <v>45</v>
      </c>
      <c r="P56" t="str">
        <f t="shared" si="4"/>
        <v>B2B</v>
      </c>
      <c r="Q56" t="s">
        <v>22</v>
      </c>
      <c r="R56">
        <v>1374.9</v>
      </c>
    </row>
    <row r="57" spans="1:18" x14ac:dyDescent="0.3">
      <c r="A57">
        <v>1056</v>
      </c>
      <c r="B57" t="str">
        <f t="shared" si="0"/>
        <v>Jennifer English</v>
      </c>
      <c r="C57" t="s">
        <v>105</v>
      </c>
      <c r="D57" t="s">
        <v>28</v>
      </c>
      <c r="E57" t="s">
        <v>41</v>
      </c>
      <c r="F57" t="str">
        <f>CONCATENATE(Table1[[#This Row],[Product_Category]]," - ",Table1[[#This Row],[Product_Name]])</f>
        <v>Accessories - Sunglasses</v>
      </c>
      <c r="G57">
        <f>IF(H57="", AVERAGEIF(Table1[Product_Category],D57,$H$2:$H$474),H57)</f>
        <v>6</v>
      </c>
      <c r="H57">
        <v>6</v>
      </c>
      <c r="I57" s="2">
        <f t="shared" si="1"/>
        <v>2755.6936585365856</v>
      </c>
      <c r="K57">
        <f t="shared" si="2"/>
        <v>0</v>
      </c>
      <c r="M57" s="2">
        <f t="shared" si="3"/>
        <v>16534.161951219514</v>
      </c>
      <c r="N57">
        <v>0</v>
      </c>
      <c r="O57" t="s">
        <v>21</v>
      </c>
      <c r="P57" t="str">
        <f t="shared" si="4"/>
        <v>B2C</v>
      </c>
      <c r="Q57" t="s">
        <v>15</v>
      </c>
      <c r="R57">
        <v>-343.36</v>
      </c>
    </row>
    <row r="58" spans="1:18" x14ac:dyDescent="0.3">
      <c r="A58">
        <v>1057</v>
      </c>
      <c r="B58" t="str">
        <f t="shared" si="0"/>
        <v>Penny Campbell</v>
      </c>
      <c r="C58" t="s">
        <v>106</v>
      </c>
      <c r="D58" t="s">
        <v>19</v>
      </c>
      <c r="E58" t="s">
        <v>20</v>
      </c>
      <c r="F58" t="str">
        <f>CONCATENATE(Table1[[#This Row],[Product_Category]]," - ",Table1[[#This Row],[Product_Name]])</f>
        <v>Jackets - Puffer Coat</v>
      </c>
      <c r="G58">
        <f>IF(H58="", AVERAGEIF(Table1[Product_Category],D58,$H$2:$H$474),H58)</f>
        <v>4</v>
      </c>
      <c r="H58">
        <v>4</v>
      </c>
      <c r="I58" s="2">
        <f t="shared" si="1"/>
        <v>2952.3559374999995</v>
      </c>
      <c r="K58">
        <f t="shared" si="2"/>
        <v>0.04</v>
      </c>
      <c r="L58">
        <v>0.04</v>
      </c>
      <c r="M58" s="2">
        <f t="shared" si="3"/>
        <v>11337.046799999998</v>
      </c>
      <c r="N58">
        <v>0</v>
      </c>
      <c r="O58" t="s">
        <v>45</v>
      </c>
      <c r="P58" t="str">
        <f t="shared" si="4"/>
        <v>B2C</v>
      </c>
      <c r="R58">
        <v>1725.76</v>
      </c>
    </row>
    <row r="59" spans="1:18" x14ac:dyDescent="0.3">
      <c r="A59">
        <v>1058</v>
      </c>
      <c r="B59" t="str">
        <f t="shared" si="0"/>
        <v>Karen Garcia</v>
      </c>
      <c r="C59" t="s">
        <v>107</v>
      </c>
      <c r="D59" t="s">
        <v>32</v>
      </c>
      <c r="E59" t="s">
        <v>43</v>
      </c>
      <c r="F59" t="str">
        <f>CONCATENATE(Table1[[#This Row],[Product_Category]]," - ",Table1[[#This Row],[Product_Name]])</f>
        <v>T-Shirts - Oversized T-shirt</v>
      </c>
      <c r="G59" s="2">
        <f>IF(H59="", AVERAGEIF(Table1[Product_Category],D59,$H$2:$H$474),H59)</f>
        <v>1.5813953488372092</v>
      </c>
      <c r="I59" s="2">
        <f t="shared" si="1"/>
        <v>3982.53</v>
      </c>
      <c r="J59">
        <v>3982.53</v>
      </c>
      <c r="K59">
        <f t="shared" si="2"/>
        <v>1.08</v>
      </c>
      <c r="L59">
        <v>1.08</v>
      </c>
      <c r="M59" s="2">
        <f t="shared" si="3"/>
        <v>-503.83635348837254</v>
      </c>
      <c r="N59">
        <v>0</v>
      </c>
      <c r="O59" t="s">
        <v>45</v>
      </c>
      <c r="P59" t="str">
        <f t="shared" si="4"/>
        <v>B2C</v>
      </c>
      <c r="Q59" t="s">
        <v>15</v>
      </c>
      <c r="R59">
        <v>1912.49</v>
      </c>
    </row>
    <row r="60" spans="1:18" x14ac:dyDescent="0.3">
      <c r="A60">
        <v>1059</v>
      </c>
      <c r="B60" t="str">
        <f t="shared" si="0"/>
        <v>John Ramos</v>
      </c>
      <c r="C60" t="s">
        <v>108</v>
      </c>
      <c r="D60" t="s">
        <v>12</v>
      </c>
      <c r="E60" t="s">
        <v>35</v>
      </c>
      <c r="F60" t="str">
        <f>CONCATENATE(Table1[[#This Row],[Product_Category]]," - ",Table1[[#This Row],[Product_Name]])</f>
        <v>Jeans - Boyfriend Jeans</v>
      </c>
      <c r="G60">
        <f>IF(H60="", AVERAGEIF(Table1[Product_Category],D60,$H$2:$H$474),H60)</f>
        <v>0</v>
      </c>
      <c r="H60">
        <v>0</v>
      </c>
      <c r="I60" s="2">
        <f t="shared" si="1"/>
        <v>2927.57</v>
      </c>
      <c r="J60">
        <v>2927.57</v>
      </c>
      <c r="K60">
        <f t="shared" si="2"/>
        <v>0.19</v>
      </c>
      <c r="L60">
        <v>0.19</v>
      </c>
      <c r="M60" s="2">
        <f t="shared" si="3"/>
        <v>0</v>
      </c>
      <c r="N60">
        <v>0</v>
      </c>
      <c r="O60" t="s">
        <v>14</v>
      </c>
      <c r="P60" t="str">
        <f t="shared" si="4"/>
        <v>B2C</v>
      </c>
      <c r="R60">
        <v>2218.42</v>
      </c>
    </row>
    <row r="61" spans="1:18" x14ac:dyDescent="0.3">
      <c r="A61">
        <v>1060</v>
      </c>
      <c r="B61" t="str">
        <f t="shared" si="0"/>
        <v>Dylan Roberson</v>
      </c>
      <c r="C61" t="s">
        <v>109</v>
      </c>
      <c r="D61" t="s">
        <v>12</v>
      </c>
      <c r="E61" t="s">
        <v>101</v>
      </c>
      <c r="F61" t="str">
        <f>CONCATENATE(Table1[[#This Row],[Product_Category]]," - ",Table1[[#This Row],[Product_Name]])</f>
        <v>Jeans - Ripped Denim</v>
      </c>
      <c r="G61">
        <f>IF(H61="", AVERAGEIF(Table1[Product_Category],D61,$H$2:$H$474),H61)</f>
        <v>2</v>
      </c>
      <c r="I61" s="2">
        <f t="shared" si="1"/>
        <v>2813.51</v>
      </c>
      <c r="J61">
        <v>2813.51</v>
      </c>
      <c r="K61">
        <f t="shared" si="2"/>
        <v>0</v>
      </c>
      <c r="M61" s="2">
        <f t="shared" si="3"/>
        <v>5627.02</v>
      </c>
      <c r="N61">
        <v>0</v>
      </c>
      <c r="O61" t="s">
        <v>45</v>
      </c>
      <c r="P61" t="str">
        <f t="shared" si="4"/>
        <v>B2C</v>
      </c>
      <c r="R61">
        <v>94.96</v>
      </c>
    </row>
    <row r="62" spans="1:18" x14ac:dyDescent="0.3">
      <c r="A62">
        <v>1061</v>
      </c>
      <c r="B62" t="str">
        <f t="shared" si="0"/>
        <v>Kelsey Reyes</v>
      </c>
      <c r="C62" t="s">
        <v>110</v>
      </c>
      <c r="D62" t="s">
        <v>28</v>
      </c>
      <c r="E62" t="s">
        <v>29</v>
      </c>
      <c r="F62" t="str">
        <f>CONCATENATE(Table1[[#This Row],[Product_Category]]," - ",Table1[[#This Row],[Product_Name]])</f>
        <v>Accessories - Belts</v>
      </c>
      <c r="G62" s="2">
        <f>IF(H62="", AVERAGEIF(Table1[Product_Category],D62,$H$2:$H$474),H62)</f>
        <v>2.5249999999999999</v>
      </c>
      <c r="I62" s="2">
        <f t="shared" si="1"/>
        <v>2291.15</v>
      </c>
      <c r="J62">
        <v>2291.15</v>
      </c>
      <c r="K62">
        <f t="shared" si="2"/>
        <v>0.33</v>
      </c>
      <c r="L62">
        <v>0.33</v>
      </c>
      <c r="M62" s="2">
        <f t="shared" si="3"/>
        <v>3876.0530125</v>
      </c>
      <c r="N62">
        <v>0</v>
      </c>
      <c r="O62" t="s">
        <v>21</v>
      </c>
      <c r="P62" t="str">
        <f t="shared" si="4"/>
        <v>B2B</v>
      </c>
      <c r="Q62" t="s">
        <v>22</v>
      </c>
      <c r="R62">
        <v>2536.3000000000002</v>
      </c>
    </row>
    <row r="63" spans="1:18" x14ac:dyDescent="0.3">
      <c r="A63">
        <v>1062</v>
      </c>
      <c r="B63" t="str">
        <f t="shared" si="0"/>
        <v>Larry Gibson</v>
      </c>
      <c r="C63" t="s">
        <v>111</v>
      </c>
      <c r="D63" t="s">
        <v>12</v>
      </c>
      <c r="E63" t="s">
        <v>101</v>
      </c>
      <c r="F63" t="str">
        <f>CONCATENATE(Table1[[#This Row],[Product_Category]]," - ",Table1[[#This Row],[Product_Name]])</f>
        <v>Jeans - Ripped Denim</v>
      </c>
      <c r="G63">
        <f>IF(H63="", AVERAGEIF(Table1[Product_Category],D63,$H$2:$H$474),H63)</f>
        <v>-1</v>
      </c>
      <c r="H63">
        <v>-1</v>
      </c>
      <c r="I63" s="2">
        <f t="shared" si="1"/>
        <v>2592.8782222222212</v>
      </c>
      <c r="K63">
        <f t="shared" si="2"/>
        <v>0</v>
      </c>
      <c r="M63" s="2">
        <f t="shared" si="3"/>
        <v>-2592.8782222222212</v>
      </c>
      <c r="N63">
        <v>0</v>
      </c>
      <c r="O63" t="s">
        <v>45</v>
      </c>
      <c r="P63" t="str">
        <f t="shared" si="4"/>
        <v>B2C</v>
      </c>
      <c r="Q63" t="s">
        <v>15</v>
      </c>
      <c r="R63">
        <v>328.72</v>
      </c>
    </row>
    <row r="64" spans="1:18" x14ac:dyDescent="0.3">
      <c r="A64">
        <v>1063</v>
      </c>
      <c r="B64" t="str">
        <f t="shared" si="0"/>
        <v>Kristin Ho</v>
      </c>
      <c r="C64" t="s">
        <v>112</v>
      </c>
      <c r="D64" t="s">
        <v>32</v>
      </c>
      <c r="E64" t="s">
        <v>81</v>
      </c>
      <c r="F64" t="str">
        <f>CONCATENATE(Table1[[#This Row],[Product_Category]]," - ",Table1[[#This Row],[Product_Name]])</f>
        <v>T-Shirts - Graphic Tee</v>
      </c>
      <c r="G64">
        <f>IF(H64="", AVERAGEIF(Table1[Product_Category],D64,$H$2:$H$474),H64)</f>
        <v>1</v>
      </c>
      <c r="H64">
        <v>1</v>
      </c>
      <c r="I64" s="2">
        <f t="shared" si="1"/>
        <v>2715.2732432432431</v>
      </c>
      <c r="K64">
        <f t="shared" si="2"/>
        <v>0</v>
      </c>
      <c r="M64" s="2">
        <f t="shared" si="3"/>
        <v>2715.2732432432431</v>
      </c>
      <c r="N64">
        <v>0</v>
      </c>
      <c r="O64" t="s">
        <v>39</v>
      </c>
      <c r="P64" t="str">
        <f t="shared" si="4"/>
        <v>B2C</v>
      </c>
      <c r="Q64" t="s">
        <v>15</v>
      </c>
      <c r="R64">
        <v>2147.75</v>
      </c>
    </row>
    <row r="65" spans="1:18" x14ac:dyDescent="0.3">
      <c r="A65">
        <v>1064</v>
      </c>
      <c r="B65" t="str">
        <f t="shared" si="0"/>
        <v>Jessica Johnston</v>
      </c>
      <c r="C65" t="s">
        <v>113</v>
      </c>
      <c r="D65" t="s">
        <v>19</v>
      </c>
      <c r="E65" t="s">
        <v>87</v>
      </c>
      <c r="F65" t="str">
        <f>CONCATENATE(Table1[[#This Row],[Product_Category]]," - ",Table1[[#This Row],[Product_Name]])</f>
        <v>Jackets - Denim Jacket</v>
      </c>
      <c r="G65" s="2">
        <f>IF(H65="", AVERAGEIF(Table1[Product_Category],D65,$H$2:$H$474),H65)</f>
        <v>1.675</v>
      </c>
      <c r="I65" s="2">
        <f t="shared" si="1"/>
        <v>2952.3559374999995</v>
      </c>
      <c r="K65">
        <f t="shared" si="2"/>
        <v>1.3</v>
      </c>
      <c r="L65">
        <v>1.3</v>
      </c>
      <c r="M65" s="2">
        <f t="shared" si="3"/>
        <v>-1483.5588585937501</v>
      </c>
      <c r="N65">
        <v>0</v>
      </c>
      <c r="O65" t="s">
        <v>39</v>
      </c>
      <c r="P65" t="str">
        <f t="shared" si="4"/>
        <v>B2C</v>
      </c>
      <c r="R65">
        <v>-901.74</v>
      </c>
    </row>
    <row r="66" spans="1:18" x14ac:dyDescent="0.3">
      <c r="A66">
        <v>1065</v>
      </c>
      <c r="B66" t="str">
        <f t="shared" ref="B66:B129" si="5">TRIM(SUBSTITUTE(SUBSTITUTE(SUBSTITUTE(SUBSTITUTE(C66,"Dr. ",""),"Mrs. ",""),"Mr. ",""),"Ms. ",""))</f>
        <v>Amanda Parker</v>
      </c>
      <c r="C66" t="s">
        <v>114</v>
      </c>
      <c r="D66" t="s">
        <v>12</v>
      </c>
      <c r="E66" t="s">
        <v>35</v>
      </c>
      <c r="F66" t="str">
        <f>CONCATENATE(Table1[[#This Row],[Product_Category]]," - ",Table1[[#This Row],[Product_Name]])</f>
        <v>Jeans - Boyfriend Jeans</v>
      </c>
      <c r="G66">
        <f>IF(H66="", AVERAGEIF(Table1[Product_Category],D66,$H$2:$H$474),H66)</f>
        <v>5</v>
      </c>
      <c r="H66">
        <v>5</v>
      </c>
      <c r="I66" s="2">
        <f t="shared" ref="I66:I129" si="6">IF(J66="",AVERAGEIF($D$2:$D$474,D66,$J$2:$J$474),J66)</f>
        <v>2592.8782222222212</v>
      </c>
      <c r="K66">
        <f t="shared" ref="K66:K129" si="7">IF(AND(ISBLANK(L66),I66&gt;0,G66&gt;0,N66&gt;0), 1-(N66/(G66*I66)), L66)</f>
        <v>0</v>
      </c>
      <c r="M66" s="2">
        <f t="shared" ref="M66:M129" si="8">G66*I66*(1-K66)</f>
        <v>12964.391111111107</v>
      </c>
      <c r="N66">
        <v>0</v>
      </c>
      <c r="O66" t="s">
        <v>39</v>
      </c>
      <c r="P66" t="str">
        <f t="shared" ref="P66:P129" si="9">IF(Q66="",IF(O66="Ahmedabad","B2C",IF(O66="Bangalore","B2C",IF(O66="Hyderabad","B2B",IF(O66="Mumbai","B2C","B2C")))),Q66)</f>
        <v>B2C</v>
      </c>
      <c r="R66">
        <v>2316.9699999999998</v>
      </c>
    </row>
    <row r="67" spans="1:18" x14ac:dyDescent="0.3">
      <c r="A67">
        <v>1066</v>
      </c>
      <c r="B67" t="str">
        <f t="shared" si="5"/>
        <v>Joshua Figueroa</v>
      </c>
      <c r="C67" t="s">
        <v>115</v>
      </c>
      <c r="D67" t="s">
        <v>24</v>
      </c>
      <c r="E67" t="s">
        <v>65</v>
      </c>
      <c r="F67" t="str">
        <f>CONCATENATE(Table1[[#This Row],[Product_Category]]," - ",Table1[[#This Row],[Product_Name]])</f>
        <v>Shoes - Slip-ons</v>
      </c>
      <c r="G67">
        <f>IF(H67="", AVERAGEIF(Table1[Product_Category],D67,$H$2:$H$474),H67)</f>
        <v>-2</v>
      </c>
      <c r="H67">
        <v>-2</v>
      </c>
      <c r="I67" s="2">
        <f t="shared" si="6"/>
        <v>3479.44</v>
      </c>
      <c r="J67">
        <v>3479.44</v>
      </c>
      <c r="K67">
        <f t="shared" si="7"/>
        <v>0</v>
      </c>
      <c r="M67" s="2">
        <f t="shared" si="8"/>
        <v>-6958.88</v>
      </c>
      <c r="N67">
        <v>0</v>
      </c>
      <c r="O67" t="s">
        <v>14</v>
      </c>
      <c r="P67" t="str">
        <f t="shared" si="9"/>
        <v>B2C</v>
      </c>
      <c r="R67">
        <v>-252.78</v>
      </c>
    </row>
    <row r="68" spans="1:18" x14ac:dyDescent="0.3">
      <c r="A68">
        <v>1067</v>
      </c>
      <c r="B68" t="str">
        <f t="shared" si="5"/>
        <v>Julie Howard</v>
      </c>
      <c r="C68" t="s">
        <v>116</v>
      </c>
      <c r="D68" t="s">
        <v>37</v>
      </c>
      <c r="E68" t="s">
        <v>38</v>
      </c>
      <c r="F68" t="str">
        <f>CONCATENATE(Table1[[#This Row],[Product_Category]]," - ",Table1[[#This Row],[Product_Name]])</f>
        <v>Dresses - Casual Midi</v>
      </c>
      <c r="G68" s="2">
        <f>IF(H68="", AVERAGEIF(Table1[Product_Category],D68,$H$2:$H$474),H68)</f>
        <v>2.0217391304347827</v>
      </c>
      <c r="I68" s="2">
        <f t="shared" si="6"/>
        <v>3945.25</v>
      </c>
      <c r="J68">
        <v>3945.25</v>
      </c>
      <c r="K68">
        <f t="shared" si="7"/>
        <v>0</v>
      </c>
      <c r="M68" s="2">
        <f t="shared" si="8"/>
        <v>7976.2663043478269</v>
      </c>
      <c r="N68">
        <v>0</v>
      </c>
      <c r="O68" t="s">
        <v>39</v>
      </c>
      <c r="P68" t="str">
        <f t="shared" si="9"/>
        <v>B2B</v>
      </c>
      <c r="Q68" t="s">
        <v>22</v>
      </c>
      <c r="R68">
        <v>305.55</v>
      </c>
    </row>
    <row r="69" spans="1:18" x14ac:dyDescent="0.3">
      <c r="A69">
        <v>1068</v>
      </c>
      <c r="B69" t="str">
        <f t="shared" si="5"/>
        <v>Brandon Lin</v>
      </c>
      <c r="C69" t="s">
        <v>117</v>
      </c>
      <c r="D69" t="s">
        <v>37</v>
      </c>
      <c r="E69" t="s">
        <v>62</v>
      </c>
      <c r="F69" t="str">
        <f>CONCATENATE(Table1[[#This Row],[Product_Category]]," - ",Table1[[#This Row],[Product_Name]])</f>
        <v>Dresses - Wrap Dress</v>
      </c>
      <c r="G69">
        <f>IF(H69="", AVERAGEIF(Table1[Product_Category],D69,$H$2:$H$474),H69)</f>
        <v>4</v>
      </c>
      <c r="H69">
        <v>4</v>
      </c>
      <c r="I69" s="2">
        <f t="shared" si="6"/>
        <v>2765.26</v>
      </c>
      <c r="J69">
        <v>2765.26</v>
      </c>
      <c r="K69">
        <f t="shared" si="7"/>
        <v>0</v>
      </c>
      <c r="M69" s="2">
        <f t="shared" si="8"/>
        <v>11061.04</v>
      </c>
      <c r="N69">
        <v>0</v>
      </c>
      <c r="O69" t="s">
        <v>17</v>
      </c>
      <c r="P69" t="str">
        <f t="shared" si="9"/>
        <v>B2C</v>
      </c>
      <c r="Q69" t="s">
        <v>15</v>
      </c>
      <c r="R69">
        <v>1719.9</v>
      </c>
    </row>
    <row r="70" spans="1:18" x14ac:dyDescent="0.3">
      <c r="A70">
        <v>1069</v>
      </c>
      <c r="B70" t="str">
        <f t="shared" si="5"/>
        <v>Anna Allen</v>
      </c>
      <c r="C70" t="s">
        <v>118</v>
      </c>
      <c r="D70" t="s">
        <v>28</v>
      </c>
      <c r="E70" t="s">
        <v>119</v>
      </c>
      <c r="F70" t="str">
        <f>CONCATENATE(Table1[[#This Row],[Product_Category]]," - ",Table1[[#This Row],[Product_Name]])</f>
        <v>Accessories - Watches</v>
      </c>
      <c r="G70">
        <f>IF(H70="", AVERAGEIF(Table1[Product_Category],D70,$H$2:$H$474),H70)</f>
        <v>2</v>
      </c>
      <c r="H70">
        <v>2</v>
      </c>
      <c r="I70" s="2">
        <f t="shared" si="6"/>
        <v>2102.02</v>
      </c>
      <c r="J70">
        <v>2102.02</v>
      </c>
      <c r="K70">
        <f t="shared" si="7"/>
        <v>1.1299999999999999</v>
      </c>
      <c r="L70">
        <v>1.1299999999999999</v>
      </c>
      <c r="M70" s="2">
        <f t="shared" si="8"/>
        <v>-546.52519999999959</v>
      </c>
      <c r="N70">
        <v>-546.53</v>
      </c>
      <c r="O70" t="s">
        <v>14</v>
      </c>
      <c r="P70" t="str">
        <f t="shared" si="9"/>
        <v>B2B</v>
      </c>
      <c r="Q70" t="s">
        <v>22</v>
      </c>
      <c r="R70">
        <v>-992.61</v>
      </c>
    </row>
    <row r="71" spans="1:18" x14ac:dyDescent="0.3">
      <c r="A71">
        <v>1070</v>
      </c>
      <c r="B71" t="str">
        <f t="shared" si="5"/>
        <v>Kimberly Ho</v>
      </c>
      <c r="C71" t="s">
        <v>120</v>
      </c>
      <c r="D71" t="s">
        <v>19</v>
      </c>
      <c r="E71" t="s">
        <v>121</v>
      </c>
      <c r="F71" t="str">
        <f>CONCATENATE(Table1[[#This Row],[Product_Category]]," - ",Table1[[#This Row],[Product_Name]])</f>
        <v>Jackets - Leather Jacket</v>
      </c>
      <c r="G71">
        <f>IF(H71="", AVERAGEIF(Table1[Product_Category],D71,$H$2:$H$474),H71)</f>
        <v>5</v>
      </c>
      <c r="H71">
        <v>5</v>
      </c>
      <c r="I71" s="2">
        <f t="shared" si="6"/>
        <v>2952.3559374999995</v>
      </c>
      <c r="K71">
        <f t="shared" si="7"/>
        <v>0</v>
      </c>
      <c r="M71" s="2">
        <f t="shared" si="8"/>
        <v>14761.779687499999</v>
      </c>
      <c r="N71">
        <v>0</v>
      </c>
      <c r="O71" t="s">
        <v>552</v>
      </c>
      <c r="P71" t="str">
        <f t="shared" si="9"/>
        <v>B2B</v>
      </c>
      <c r="Q71" t="s">
        <v>22</v>
      </c>
      <c r="R71">
        <v>1383.48</v>
      </c>
    </row>
    <row r="72" spans="1:18" x14ac:dyDescent="0.3">
      <c r="A72">
        <v>1071</v>
      </c>
      <c r="B72" t="str">
        <f t="shared" si="5"/>
        <v>Nancy White</v>
      </c>
      <c r="C72" t="s">
        <v>122</v>
      </c>
      <c r="D72" t="s">
        <v>28</v>
      </c>
      <c r="E72" t="s">
        <v>41</v>
      </c>
      <c r="F72" t="str">
        <f>CONCATENATE(Table1[[#This Row],[Product_Category]]," - ",Table1[[#This Row],[Product_Name]])</f>
        <v>Accessories - Sunglasses</v>
      </c>
      <c r="G72" s="2">
        <f>IF(H72="", AVERAGEIF(Table1[Product_Category],D72,$H$2:$H$474),H72)</f>
        <v>2.5249999999999999</v>
      </c>
      <c r="I72" s="2">
        <f t="shared" si="6"/>
        <v>1000.76</v>
      </c>
      <c r="J72">
        <v>1000.76</v>
      </c>
      <c r="K72">
        <f t="shared" si="7"/>
        <v>0</v>
      </c>
      <c r="M72" s="2">
        <f t="shared" si="8"/>
        <v>2526.9189999999999</v>
      </c>
      <c r="N72">
        <v>0</v>
      </c>
      <c r="O72" t="s">
        <v>14</v>
      </c>
      <c r="P72" t="str">
        <f t="shared" si="9"/>
        <v>B2B</v>
      </c>
      <c r="Q72" t="s">
        <v>22</v>
      </c>
      <c r="R72">
        <v>2131.4299999999998</v>
      </c>
    </row>
    <row r="73" spans="1:18" x14ac:dyDescent="0.3">
      <c r="A73">
        <v>1072</v>
      </c>
      <c r="B73" t="str">
        <f t="shared" si="5"/>
        <v>Eric Salazar</v>
      </c>
      <c r="C73" t="s">
        <v>123</v>
      </c>
      <c r="D73" t="s">
        <v>37</v>
      </c>
      <c r="E73" t="s">
        <v>58</v>
      </c>
      <c r="F73" t="str">
        <f>CONCATENATE(Table1[[#This Row],[Product_Category]]," - ",Table1[[#This Row],[Product_Name]])</f>
        <v>Dresses - Maxi Dress</v>
      </c>
      <c r="G73" s="2">
        <f>IF(H73="", AVERAGEIF(Table1[Product_Category],D73,$H$2:$H$474),H73)</f>
        <v>2.0217391304347827</v>
      </c>
      <c r="I73" s="2">
        <f t="shared" si="6"/>
        <v>2878.0747619047615</v>
      </c>
      <c r="K73">
        <f t="shared" si="7"/>
        <v>0</v>
      </c>
      <c r="M73" s="2">
        <f t="shared" si="8"/>
        <v>5818.7163664596264</v>
      </c>
      <c r="N73">
        <v>0</v>
      </c>
      <c r="O73" t="s">
        <v>39</v>
      </c>
      <c r="P73" t="str">
        <f t="shared" si="9"/>
        <v>B2C</v>
      </c>
      <c r="Q73" t="s">
        <v>15</v>
      </c>
      <c r="R73">
        <v>2878.09</v>
      </c>
    </row>
    <row r="74" spans="1:18" x14ac:dyDescent="0.3">
      <c r="A74">
        <v>1073</v>
      </c>
      <c r="B74" t="str">
        <f t="shared" si="5"/>
        <v>Michael Williamson</v>
      </c>
      <c r="C74" t="s">
        <v>124</v>
      </c>
      <c r="D74" t="s">
        <v>12</v>
      </c>
      <c r="E74" t="s">
        <v>48</v>
      </c>
      <c r="F74" t="str">
        <f>CONCATENATE(Table1[[#This Row],[Product_Category]]," - ",Table1[[#This Row],[Product_Name]])</f>
        <v>Jeans - Straight Cut</v>
      </c>
      <c r="G74">
        <f>IF(H74="", AVERAGEIF(Table1[Product_Category],D74,$H$2:$H$474),H74)</f>
        <v>-2</v>
      </c>
      <c r="H74">
        <v>-2</v>
      </c>
      <c r="I74" s="2">
        <f t="shared" si="6"/>
        <v>2592.8782222222212</v>
      </c>
      <c r="K74">
        <f t="shared" si="7"/>
        <v>0.18</v>
      </c>
      <c r="L74">
        <v>0.18</v>
      </c>
      <c r="M74" s="2">
        <f t="shared" si="8"/>
        <v>-4252.3202844444431</v>
      </c>
      <c r="N74">
        <v>0</v>
      </c>
      <c r="O74" t="s">
        <v>45</v>
      </c>
      <c r="P74" t="str">
        <f t="shared" si="9"/>
        <v>B2C</v>
      </c>
      <c r="R74">
        <v>368.69</v>
      </c>
    </row>
    <row r="75" spans="1:18" x14ac:dyDescent="0.3">
      <c r="A75">
        <v>1074</v>
      </c>
      <c r="B75" t="str">
        <f t="shared" si="5"/>
        <v>Lynn Morales</v>
      </c>
      <c r="C75" t="s">
        <v>125</v>
      </c>
      <c r="D75" t="s">
        <v>37</v>
      </c>
      <c r="E75" t="s">
        <v>38</v>
      </c>
      <c r="F75" t="str">
        <f>CONCATENATE(Table1[[#This Row],[Product_Category]]," - ",Table1[[#This Row],[Product_Name]])</f>
        <v>Dresses - Casual Midi</v>
      </c>
      <c r="G75">
        <f>IF(H75="", AVERAGEIF(Table1[Product_Category],D75,$H$2:$H$474),H75)</f>
        <v>-2</v>
      </c>
      <c r="H75">
        <v>-2</v>
      </c>
      <c r="I75" s="2">
        <f t="shared" si="6"/>
        <v>2878.0747619047615</v>
      </c>
      <c r="K75">
        <f t="shared" si="7"/>
        <v>1.06</v>
      </c>
      <c r="L75">
        <v>1.06</v>
      </c>
      <c r="M75" s="2">
        <f t="shared" si="8"/>
        <v>345.36897142857168</v>
      </c>
      <c r="N75">
        <v>0</v>
      </c>
      <c r="O75" t="s">
        <v>552</v>
      </c>
      <c r="P75" t="str">
        <f t="shared" si="9"/>
        <v>B2C</v>
      </c>
      <c r="R75">
        <v>192.91</v>
      </c>
    </row>
    <row r="76" spans="1:18" x14ac:dyDescent="0.3">
      <c r="A76">
        <v>1075</v>
      </c>
      <c r="B76" t="str">
        <f t="shared" si="5"/>
        <v>Jennifer Horn</v>
      </c>
      <c r="C76" t="s">
        <v>126</v>
      </c>
      <c r="D76" t="s">
        <v>32</v>
      </c>
      <c r="E76" t="s">
        <v>33</v>
      </c>
      <c r="F76" t="str">
        <f>CONCATENATE(Table1[[#This Row],[Product_Category]]," - ",Table1[[#This Row],[Product_Name]])</f>
        <v>T-Shirts - Crop Top</v>
      </c>
      <c r="G76" s="2">
        <f>IF(H76="", AVERAGEIF(Table1[Product_Category],D76,$H$2:$H$474),H76)</f>
        <v>1.5813953488372092</v>
      </c>
      <c r="I76" s="2">
        <f t="shared" si="6"/>
        <v>795.85</v>
      </c>
      <c r="J76">
        <v>795.85</v>
      </c>
      <c r="K76">
        <f t="shared" si="7"/>
        <v>0</v>
      </c>
      <c r="M76" s="2">
        <f t="shared" si="8"/>
        <v>1258.5534883720929</v>
      </c>
      <c r="N76">
        <v>0</v>
      </c>
      <c r="O76" t="s">
        <v>45</v>
      </c>
      <c r="P76" t="str">
        <f t="shared" si="9"/>
        <v>B2B</v>
      </c>
      <c r="Q76" t="s">
        <v>22</v>
      </c>
      <c r="R76">
        <v>2418.8000000000002</v>
      </c>
    </row>
    <row r="77" spans="1:18" x14ac:dyDescent="0.3">
      <c r="A77">
        <v>1076</v>
      </c>
      <c r="B77" t="str">
        <f t="shared" si="5"/>
        <v>Lori Preston</v>
      </c>
      <c r="C77" t="s">
        <v>127</v>
      </c>
      <c r="D77" t="s">
        <v>32</v>
      </c>
      <c r="E77" t="s">
        <v>43</v>
      </c>
      <c r="F77" t="str">
        <f>CONCATENATE(Table1[[#This Row],[Product_Category]]," - ",Table1[[#This Row],[Product_Name]])</f>
        <v>T-Shirts - Oversized T-shirt</v>
      </c>
      <c r="G77">
        <f>IF(H77="", AVERAGEIF(Table1[Product_Category],D77,$H$2:$H$474),H77)</f>
        <v>2</v>
      </c>
      <c r="H77">
        <v>2</v>
      </c>
      <c r="I77" s="2">
        <f t="shared" si="6"/>
        <v>2715.2732432432431</v>
      </c>
      <c r="K77">
        <f t="shared" si="7"/>
        <v>0</v>
      </c>
      <c r="M77" s="2">
        <f t="shared" si="8"/>
        <v>5430.5464864864862</v>
      </c>
      <c r="N77">
        <v>0</v>
      </c>
      <c r="O77" t="s">
        <v>39</v>
      </c>
      <c r="P77" t="str">
        <f t="shared" si="9"/>
        <v>B2C</v>
      </c>
      <c r="R77">
        <v>1408.61</v>
      </c>
    </row>
    <row r="78" spans="1:18" x14ac:dyDescent="0.3">
      <c r="A78">
        <v>1077</v>
      </c>
      <c r="B78" t="str">
        <f t="shared" si="5"/>
        <v>Gabriel Parrish</v>
      </c>
      <c r="C78" t="s">
        <v>128</v>
      </c>
      <c r="D78" t="s">
        <v>32</v>
      </c>
      <c r="E78" t="s">
        <v>43</v>
      </c>
      <c r="F78" t="str">
        <f>CONCATENATE(Table1[[#This Row],[Product_Category]]," - ",Table1[[#This Row],[Product_Name]])</f>
        <v>T-Shirts - Oversized T-shirt</v>
      </c>
      <c r="G78">
        <f>IF(H78="", AVERAGEIF(Table1[Product_Category],D78,$H$2:$H$474),H78)</f>
        <v>2</v>
      </c>
      <c r="H78">
        <v>2</v>
      </c>
      <c r="I78" s="2">
        <f t="shared" si="6"/>
        <v>2715.2732432432431</v>
      </c>
      <c r="K78">
        <f t="shared" si="7"/>
        <v>0</v>
      </c>
      <c r="M78" s="2">
        <f t="shared" si="8"/>
        <v>5430.5464864864862</v>
      </c>
      <c r="N78">
        <v>0</v>
      </c>
      <c r="O78" t="s">
        <v>552</v>
      </c>
      <c r="P78" t="str">
        <f t="shared" si="9"/>
        <v>B2B</v>
      </c>
      <c r="Q78" t="s">
        <v>22</v>
      </c>
      <c r="R78">
        <v>902.52</v>
      </c>
    </row>
    <row r="79" spans="1:18" x14ac:dyDescent="0.3">
      <c r="A79">
        <v>1078</v>
      </c>
      <c r="B79" t="str">
        <f t="shared" si="5"/>
        <v>Debbie Raymond</v>
      </c>
      <c r="C79" t="s">
        <v>129</v>
      </c>
      <c r="D79" t="s">
        <v>19</v>
      </c>
      <c r="E79" t="s">
        <v>121</v>
      </c>
      <c r="F79" t="str">
        <f>CONCATENATE(Table1[[#This Row],[Product_Category]]," - ",Table1[[#This Row],[Product_Name]])</f>
        <v>Jackets - Leather Jacket</v>
      </c>
      <c r="G79" s="2">
        <f>IF(H79="", AVERAGEIF(Table1[Product_Category],D79,$H$2:$H$474),H79)</f>
        <v>1.675</v>
      </c>
      <c r="I79" s="2">
        <f t="shared" si="6"/>
        <v>4059.56</v>
      </c>
      <c r="J79">
        <v>4059.56</v>
      </c>
      <c r="K79">
        <f t="shared" si="7"/>
        <v>0</v>
      </c>
      <c r="M79" s="2">
        <f t="shared" si="8"/>
        <v>6799.7629999999999</v>
      </c>
      <c r="N79">
        <v>0</v>
      </c>
      <c r="O79" t="s">
        <v>45</v>
      </c>
      <c r="P79" t="str">
        <f t="shared" si="9"/>
        <v>B2C</v>
      </c>
      <c r="Q79" t="s">
        <v>15</v>
      </c>
      <c r="R79">
        <v>-819.94</v>
      </c>
    </row>
    <row r="80" spans="1:18" x14ac:dyDescent="0.3">
      <c r="A80">
        <v>1079</v>
      </c>
      <c r="B80" t="str">
        <f t="shared" si="5"/>
        <v>Cheryl Clark</v>
      </c>
      <c r="C80" t="s">
        <v>130</v>
      </c>
      <c r="D80" t="s">
        <v>32</v>
      </c>
      <c r="E80" t="s">
        <v>71</v>
      </c>
      <c r="F80" t="str">
        <f>CONCATENATE(Table1[[#This Row],[Product_Category]]," - ",Table1[[#This Row],[Product_Name]])</f>
        <v>T-Shirts - Classic Tee</v>
      </c>
      <c r="G80" s="2">
        <f>IF(H80="", AVERAGEIF(Table1[Product_Category],D80,$H$2:$H$474),H80)</f>
        <v>1.5813953488372092</v>
      </c>
      <c r="I80" s="2">
        <f t="shared" si="6"/>
        <v>2715.2732432432431</v>
      </c>
      <c r="K80">
        <f t="shared" si="7"/>
        <v>0</v>
      </c>
      <c r="M80" s="2">
        <f t="shared" si="8"/>
        <v>4293.9204776869892</v>
      </c>
      <c r="N80">
        <v>0</v>
      </c>
      <c r="O80" t="s">
        <v>552</v>
      </c>
      <c r="P80" t="str">
        <f t="shared" si="9"/>
        <v>B2B</v>
      </c>
      <c r="Q80" t="s">
        <v>22</v>
      </c>
      <c r="R80">
        <v>-22.55</v>
      </c>
    </row>
    <row r="81" spans="1:18" x14ac:dyDescent="0.3">
      <c r="A81">
        <v>1080</v>
      </c>
      <c r="B81" t="str">
        <f t="shared" si="5"/>
        <v>Laura Thompson</v>
      </c>
      <c r="C81" t="s">
        <v>131</v>
      </c>
      <c r="D81" t="s">
        <v>32</v>
      </c>
      <c r="E81" t="s">
        <v>33</v>
      </c>
      <c r="F81" t="str">
        <f>CONCATENATE(Table1[[#This Row],[Product_Category]]," - ",Table1[[#This Row],[Product_Name]])</f>
        <v>T-Shirts - Crop Top</v>
      </c>
      <c r="G81" s="2">
        <f>IF(H81="", AVERAGEIF(Table1[Product_Category],D81,$H$2:$H$474),H81)</f>
        <v>1.5813953488372092</v>
      </c>
      <c r="I81" s="2">
        <f t="shared" si="6"/>
        <v>3872.22</v>
      </c>
      <c r="J81">
        <v>3872.22</v>
      </c>
      <c r="K81">
        <f t="shared" si="7"/>
        <v>1.1499999999999999</v>
      </c>
      <c r="L81">
        <v>1.1499999999999999</v>
      </c>
      <c r="M81" s="2">
        <f t="shared" si="8"/>
        <v>-918.52660465116219</v>
      </c>
      <c r="N81">
        <v>0</v>
      </c>
      <c r="O81" t="s">
        <v>21</v>
      </c>
      <c r="P81" t="str">
        <f t="shared" si="9"/>
        <v>B2C</v>
      </c>
      <c r="Q81" t="s">
        <v>15</v>
      </c>
      <c r="R81">
        <v>-302.97000000000003</v>
      </c>
    </row>
    <row r="82" spans="1:18" x14ac:dyDescent="0.3">
      <c r="A82">
        <v>1081</v>
      </c>
      <c r="B82" t="str">
        <f t="shared" si="5"/>
        <v>Mary Lin</v>
      </c>
      <c r="C82" t="s">
        <v>132</v>
      </c>
      <c r="D82" t="s">
        <v>12</v>
      </c>
      <c r="E82" t="s">
        <v>35</v>
      </c>
      <c r="F82" t="str">
        <f>CONCATENATE(Table1[[#This Row],[Product_Category]]," - ",Table1[[#This Row],[Product_Name]])</f>
        <v>Jeans - Boyfriend Jeans</v>
      </c>
      <c r="G82">
        <f>IF(H82="", AVERAGEIF(Table1[Product_Category],D82,$H$2:$H$474),H82)</f>
        <v>6</v>
      </c>
      <c r="H82">
        <v>6</v>
      </c>
      <c r="I82" s="2">
        <f t="shared" si="6"/>
        <v>4798.0600000000004</v>
      </c>
      <c r="J82">
        <v>4798.0600000000004</v>
      </c>
      <c r="K82">
        <f t="shared" si="7"/>
        <v>0.81</v>
      </c>
      <c r="L82">
        <v>0.81</v>
      </c>
      <c r="M82" s="2">
        <f t="shared" si="8"/>
        <v>5469.7883999999985</v>
      </c>
      <c r="N82">
        <v>5469.79</v>
      </c>
      <c r="O82" t="s">
        <v>552</v>
      </c>
      <c r="P82" t="str">
        <f t="shared" si="9"/>
        <v>B2B</v>
      </c>
      <c r="Q82" t="s">
        <v>22</v>
      </c>
      <c r="R82">
        <v>-361.78</v>
      </c>
    </row>
    <row r="83" spans="1:18" x14ac:dyDescent="0.3">
      <c r="A83">
        <v>1082</v>
      </c>
      <c r="B83" t="str">
        <f t="shared" si="5"/>
        <v>Nicholas White</v>
      </c>
      <c r="C83" t="s">
        <v>133</v>
      </c>
      <c r="D83" t="s">
        <v>37</v>
      </c>
      <c r="E83" t="s">
        <v>90</v>
      </c>
      <c r="F83" t="str">
        <f>CONCATENATE(Table1[[#This Row],[Product_Category]]," - ",Table1[[#This Row],[Product_Name]])</f>
        <v>Dresses - Bodycon</v>
      </c>
      <c r="G83">
        <f>IF(H83="", AVERAGEIF(Table1[Product_Category],D83,$H$2:$H$474),H83)</f>
        <v>0</v>
      </c>
      <c r="H83">
        <v>0</v>
      </c>
      <c r="I83" s="2">
        <f t="shared" si="6"/>
        <v>2878.0747619047615</v>
      </c>
      <c r="K83">
        <f t="shared" si="7"/>
        <v>0</v>
      </c>
      <c r="M83" s="2">
        <f t="shared" si="8"/>
        <v>0</v>
      </c>
      <c r="N83">
        <v>0</v>
      </c>
      <c r="O83" t="s">
        <v>39</v>
      </c>
      <c r="P83" t="str">
        <f t="shared" si="9"/>
        <v>B2B</v>
      </c>
      <c r="Q83" t="s">
        <v>22</v>
      </c>
      <c r="R83">
        <v>712.91</v>
      </c>
    </row>
    <row r="84" spans="1:18" x14ac:dyDescent="0.3">
      <c r="A84">
        <v>1083</v>
      </c>
      <c r="B84" t="str">
        <f t="shared" si="5"/>
        <v>Timothy Farmer</v>
      </c>
      <c r="C84" t="s">
        <v>134</v>
      </c>
      <c r="D84" t="s">
        <v>19</v>
      </c>
      <c r="E84" t="s">
        <v>79</v>
      </c>
      <c r="F84" t="str">
        <f>CONCATENATE(Table1[[#This Row],[Product_Category]]," - ",Table1[[#This Row],[Product_Name]])</f>
        <v>Jackets - Bomber Jacket</v>
      </c>
      <c r="G84">
        <f>IF(H84="", AVERAGEIF(Table1[Product_Category],D84,$H$2:$H$474),H84)</f>
        <v>1</v>
      </c>
      <c r="H84">
        <v>1</v>
      </c>
      <c r="I84" s="2">
        <f t="shared" si="6"/>
        <v>2952.3559374999995</v>
      </c>
      <c r="K84">
        <f t="shared" si="7"/>
        <v>1.28</v>
      </c>
      <c r="L84">
        <v>1.28</v>
      </c>
      <c r="M84" s="2">
        <f t="shared" si="8"/>
        <v>-826.65966249999997</v>
      </c>
      <c r="N84">
        <v>0</v>
      </c>
      <c r="O84" t="s">
        <v>45</v>
      </c>
      <c r="P84" t="str">
        <f t="shared" si="9"/>
        <v>B2B</v>
      </c>
      <c r="Q84" t="s">
        <v>22</v>
      </c>
      <c r="R84">
        <v>-612.62</v>
      </c>
    </row>
    <row r="85" spans="1:18" x14ac:dyDescent="0.3">
      <c r="A85">
        <v>1084</v>
      </c>
      <c r="B85" t="str">
        <f t="shared" si="5"/>
        <v>Kevin Martinez</v>
      </c>
      <c r="C85" t="s">
        <v>135</v>
      </c>
      <c r="D85" t="s">
        <v>24</v>
      </c>
      <c r="E85" t="s">
        <v>25</v>
      </c>
      <c r="F85" t="str">
        <f>CONCATENATE(Table1[[#This Row],[Product_Category]]," - ",Table1[[#This Row],[Product_Name]])</f>
        <v>Shoes - Loafers</v>
      </c>
      <c r="G85" s="2">
        <f>IF(H85="", AVERAGEIF(Table1[Product_Category],D85,$H$2:$H$474),H85)</f>
        <v>1.5517241379310345</v>
      </c>
      <c r="I85" s="2">
        <f t="shared" si="6"/>
        <v>2676.5783333333325</v>
      </c>
      <c r="K85">
        <f t="shared" si="7"/>
        <v>0.53</v>
      </c>
      <c r="L85">
        <v>0.53</v>
      </c>
      <c r="M85" s="2">
        <f t="shared" si="8"/>
        <v>1952.0562672413785</v>
      </c>
      <c r="N85">
        <v>0</v>
      </c>
      <c r="O85" t="s">
        <v>45</v>
      </c>
      <c r="P85" t="str">
        <f t="shared" si="9"/>
        <v>B2B</v>
      </c>
      <c r="Q85" t="s">
        <v>22</v>
      </c>
      <c r="R85">
        <v>2458.0700000000002</v>
      </c>
    </row>
    <row r="86" spans="1:18" x14ac:dyDescent="0.3">
      <c r="A86">
        <v>1085</v>
      </c>
      <c r="B86" t="str">
        <f t="shared" si="5"/>
        <v>James Martinez</v>
      </c>
      <c r="C86" t="s">
        <v>136</v>
      </c>
      <c r="D86" t="s">
        <v>24</v>
      </c>
      <c r="E86" t="s">
        <v>65</v>
      </c>
      <c r="F86" t="str">
        <f>CONCATENATE(Table1[[#This Row],[Product_Category]]," - ",Table1[[#This Row],[Product_Name]])</f>
        <v>Shoes - Slip-ons</v>
      </c>
      <c r="G86" s="2">
        <f>IF(H86="", AVERAGEIF(Table1[Product_Category],D86,$H$2:$H$474),H86)</f>
        <v>1.5517241379310345</v>
      </c>
      <c r="I86" s="2">
        <f t="shared" si="6"/>
        <v>2676.5783333333325</v>
      </c>
      <c r="K86">
        <f t="shared" si="7"/>
        <v>0.02</v>
      </c>
      <c r="L86">
        <v>0.02</v>
      </c>
      <c r="M86" s="2">
        <f t="shared" si="8"/>
        <v>4070.2449827586192</v>
      </c>
      <c r="N86">
        <v>0</v>
      </c>
      <c r="O86" t="s">
        <v>45</v>
      </c>
      <c r="P86" t="str">
        <f t="shared" si="9"/>
        <v>B2B</v>
      </c>
      <c r="Q86" t="s">
        <v>22</v>
      </c>
      <c r="R86">
        <v>264.73</v>
      </c>
    </row>
    <row r="87" spans="1:18" x14ac:dyDescent="0.3">
      <c r="A87">
        <v>1086</v>
      </c>
      <c r="B87" t="str">
        <f t="shared" si="5"/>
        <v>Douglas Nelson</v>
      </c>
      <c r="C87" t="s">
        <v>137</v>
      </c>
      <c r="D87" t="s">
        <v>28</v>
      </c>
      <c r="E87" t="s">
        <v>41</v>
      </c>
      <c r="F87" t="str">
        <f>CONCATENATE(Table1[[#This Row],[Product_Category]]," - ",Table1[[#This Row],[Product_Name]])</f>
        <v>Accessories - Sunglasses</v>
      </c>
      <c r="G87" s="2">
        <f>IF(H87="", AVERAGEIF(Table1[Product_Category],D87,$H$2:$H$474),H87)</f>
        <v>2.5249999999999999</v>
      </c>
      <c r="I87" s="2">
        <f t="shared" si="6"/>
        <v>948.33</v>
      </c>
      <c r="J87">
        <v>948.33</v>
      </c>
      <c r="K87">
        <f t="shared" si="7"/>
        <v>0.46</v>
      </c>
      <c r="L87">
        <v>0.46</v>
      </c>
      <c r="M87" s="2">
        <f t="shared" si="8"/>
        <v>1293.047955</v>
      </c>
      <c r="N87">
        <v>0</v>
      </c>
      <c r="O87" t="s">
        <v>39</v>
      </c>
      <c r="P87" t="str">
        <f t="shared" si="9"/>
        <v>B2C</v>
      </c>
      <c r="Q87" t="s">
        <v>15</v>
      </c>
      <c r="R87">
        <v>-865.22</v>
      </c>
    </row>
    <row r="88" spans="1:18" x14ac:dyDescent="0.3">
      <c r="A88">
        <v>1087</v>
      </c>
      <c r="B88" t="str">
        <f t="shared" si="5"/>
        <v>Thomas Ramirez</v>
      </c>
      <c r="C88" t="s">
        <v>138</v>
      </c>
      <c r="D88" t="s">
        <v>12</v>
      </c>
      <c r="E88" t="s">
        <v>101</v>
      </c>
      <c r="F88" t="str">
        <f>CONCATENATE(Table1[[#This Row],[Product_Category]]," - ",Table1[[#This Row],[Product_Name]])</f>
        <v>Jeans - Ripped Denim</v>
      </c>
      <c r="G88">
        <f>IF(H88="", AVERAGEIF(Table1[Product_Category],D88,$H$2:$H$474),H88)</f>
        <v>2</v>
      </c>
      <c r="I88" s="2">
        <f t="shared" si="6"/>
        <v>1976.75</v>
      </c>
      <c r="J88">
        <v>1976.75</v>
      </c>
      <c r="K88">
        <f t="shared" si="7"/>
        <v>0.81</v>
      </c>
      <c r="L88">
        <v>0.81</v>
      </c>
      <c r="M88" s="2">
        <f t="shared" si="8"/>
        <v>751.16499999999974</v>
      </c>
      <c r="N88">
        <v>0</v>
      </c>
      <c r="O88" t="s">
        <v>21</v>
      </c>
      <c r="P88" t="str">
        <f t="shared" si="9"/>
        <v>B2C</v>
      </c>
      <c r="Q88" t="s">
        <v>15</v>
      </c>
      <c r="R88">
        <v>2790.95</v>
      </c>
    </row>
    <row r="89" spans="1:18" x14ac:dyDescent="0.3">
      <c r="A89">
        <v>1088</v>
      </c>
      <c r="B89" t="str">
        <f t="shared" si="5"/>
        <v>David Faulkner</v>
      </c>
      <c r="C89" t="s">
        <v>139</v>
      </c>
      <c r="D89" t="s">
        <v>28</v>
      </c>
      <c r="E89" t="s">
        <v>140</v>
      </c>
      <c r="F89" t="str">
        <f>CONCATENATE(Table1[[#This Row],[Product_Category]]," - ",Table1[[#This Row],[Product_Name]])</f>
        <v>Accessories - Caps</v>
      </c>
      <c r="G89" s="2">
        <f>IF(H89="", AVERAGEIF(Table1[Product_Category],D89,$H$2:$H$474),H89)</f>
        <v>2.5249999999999999</v>
      </c>
      <c r="I89" s="2">
        <f t="shared" si="6"/>
        <v>3891.14</v>
      </c>
      <c r="J89">
        <v>3891.14</v>
      </c>
      <c r="K89">
        <f t="shared" si="7"/>
        <v>0</v>
      </c>
      <c r="M89" s="2">
        <f t="shared" si="8"/>
        <v>9825.1284999999989</v>
      </c>
      <c r="N89">
        <v>0</v>
      </c>
      <c r="O89" t="s">
        <v>45</v>
      </c>
      <c r="P89" t="str">
        <f t="shared" si="9"/>
        <v>B2C</v>
      </c>
      <c r="Q89" t="s">
        <v>15</v>
      </c>
      <c r="R89">
        <v>1374.27</v>
      </c>
    </row>
    <row r="90" spans="1:18" x14ac:dyDescent="0.3">
      <c r="A90">
        <v>1089</v>
      </c>
      <c r="B90" t="str">
        <f t="shared" si="5"/>
        <v>Dennis Ross</v>
      </c>
      <c r="C90" t="s">
        <v>141</v>
      </c>
      <c r="D90" t="s">
        <v>24</v>
      </c>
      <c r="E90" t="s">
        <v>65</v>
      </c>
      <c r="F90" t="str">
        <f>CONCATENATE(Table1[[#This Row],[Product_Category]]," - ",Table1[[#This Row],[Product_Name]])</f>
        <v>Shoes - Slip-ons</v>
      </c>
      <c r="G90" s="2">
        <f>IF(H90="", AVERAGEIF(Table1[Product_Category],D90,$H$2:$H$474),H90)</f>
        <v>1.5517241379310345</v>
      </c>
      <c r="I90" s="2">
        <f t="shared" si="6"/>
        <v>1412.17</v>
      </c>
      <c r="J90">
        <v>1412.17</v>
      </c>
      <c r="K90">
        <f t="shared" si="7"/>
        <v>0.88</v>
      </c>
      <c r="L90">
        <v>0.88</v>
      </c>
      <c r="M90" s="2">
        <f t="shared" si="8"/>
        <v>262.95579310344829</v>
      </c>
      <c r="N90">
        <v>0</v>
      </c>
      <c r="O90" t="s">
        <v>21</v>
      </c>
      <c r="P90" t="str">
        <f t="shared" si="9"/>
        <v>B2C</v>
      </c>
      <c r="R90">
        <v>-355.26</v>
      </c>
    </row>
    <row r="91" spans="1:18" x14ac:dyDescent="0.3">
      <c r="A91">
        <v>1090</v>
      </c>
      <c r="B91" t="str">
        <f t="shared" si="5"/>
        <v>Heather Arnold</v>
      </c>
      <c r="C91" t="s">
        <v>142</v>
      </c>
      <c r="D91" t="s">
        <v>24</v>
      </c>
      <c r="E91" t="s">
        <v>65</v>
      </c>
      <c r="F91" t="str">
        <f>CONCATENATE(Table1[[#This Row],[Product_Category]]," - ",Table1[[#This Row],[Product_Name]])</f>
        <v>Shoes - Slip-ons</v>
      </c>
      <c r="G91">
        <f>IF(H91="", AVERAGEIF(Table1[Product_Category],D91,$H$2:$H$474),H91)</f>
        <v>5</v>
      </c>
      <c r="H91">
        <v>5</v>
      </c>
      <c r="I91" s="2">
        <f t="shared" si="6"/>
        <v>2477.8200000000002</v>
      </c>
      <c r="J91">
        <v>2477.8200000000002</v>
      </c>
      <c r="K91">
        <f t="shared" si="7"/>
        <v>0</v>
      </c>
      <c r="M91" s="2">
        <f t="shared" si="8"/>
        <v>12389.1</v>
      </c>
      <c r="N91">
        <v>0</v>
      </c>
      <c r="O91" t="s">
        <v>17</v>
      </c>
      <c r="P91" t="str">
        <f t="shared" si="9"/>
        <v>B2C</v>
      </c>
      <c r="Q91" t="s">
        <v>15</v>
      </c>
      <c r="R91">
        <v>-888.86</v>
      </c>
    </row>
    <row r="92" spans="1:18" x14ac:dyDescent="0.3">
      <c r="A92">
        <v>1091</v>
      </c>
      <c r="B92" t="str">
        <f t="shared" si="5"/>
        <v>David Bridges</v>
      </c>
      <c r="C92" t="s">
        <v>143</v>
      </c>
      <c r="D92" t="s">
        <v>28</v>
      </c>
      <c r="E92" t="s">
        <v>29</v>
      </c>
      <c r="F92" t="str">
        <f>CONCATENATE(Table1[[#This Row],[Product_Category]]," - ",Table1[[#This Row],[Product_Name]])</f>
        <v>Accessories - Belts</v>
      </c>
      <c r="G92">
        <f>IF(H92="", AVERAGEIF(Table1[Product_Category],D92,$H$2:$H$474),H92)</f>
        <v>1</v>
      </c>
      <c r="H92">
        <v>1</v>
      </c>
      <c r="I92" s="2">
        <f t="shared" si="6"/>
        <v>2755.6936585365856</v>
      </c>
      <c r="K92">
        <f t="shared" si="7"/>
        <v>0</v>
      </c>
      <c r="M92" s="2">
        <f t="shared" si="8"/>
        <v>2755.6936585365856</v>
      </c>
      <c r="N92">
        <v>0</v>
      </c>
      <c r="O92" t="s">
        <v>14</v>
      </c>
      <c r="P92" t="str">
        <f t="shared" si="9"/>
        <v>B2C</v>
      </c>
      <c r="R92">
        <v>156.43</v>
      </c>
    </row>
    <row r="93" spans="1:18" x14ac:dyDescent="0.3">
      <c r="A93">
        <v>1092</v>
      </c>
      <c r="B93" t="str">
        <f t="shared" si="5"/>
        <v>Jennifer Keller</v>
      </c>
      <c r="C93" t="s">
        <v>144</v>
      </c>
      <c r="D93" t="s">
        <v>37</v>
      </c>
      <c r="E93" t="s">
        <v>90</v>
      </c>
      <c r="F93" t="str">
        <f>CONCATENATE(Table1[[#This Row],[Product_Category]]," - ",Table1[[#This Row],[Product_Name]])</f>
        <v>Dresses - Bodycon</v>
      </c>
      <c r="G93" s="2">
        <f>IF(H93="", AVERAGEIF(Table1[Product_Category],D93,$H$2:$H$474),H93)</f>
        <v>2.0217391304347827</v>
      </c>
      <c r="I93" s="2">
        <f t="shared" si="6"/>
        <v>2878.0747619047615</v>
      </c>
      <c r="K93">
        <f t="shared" si="7"/>
        <v>0</v>
      </c>
      <c r="M93" s="2">
        <f t="shared" si="8"/>
        <v>5818.7163664596264</v>
      </c>
      <c r="N93">
        <v>0</v>
      </c>
      <c r="O93" t="s">
        <v>45</v>
      </c>
      <c r="P93" t="str">
        <f t="shared" si="9"/>
        <v>B2C</v>
      </c>
      <c r="R93">
        <v>1122.6600000000001</v>
      </c>
    </row>
    <row r="94" spans="1:18" x14ac:dyDescent="0.3">
      <c r="A94">
        <v>1093</v>
      </c>
      <c r="B94" t="str">
        <f t="shared" si="5"/>
        <v>Amanda Myers</v>
      </c>
      <c r="C94" t="s">
        <v>145</v>
      </c>
      <c r="D94" t="s">
        <v>37</v>
      </c>
      <c r="E94" t="s">
        <v>90</v>
      </c>
      <c r="F94" t="str">
        <f>CONCATENATE(Table1[[#This Row],[Product_Category]]," - ",Table1[[#This Row],[Product_Name]])</f>
        <v>Dresses - Bodycon</v>
      </c>
      <c r="G94">
        <f>IF(H94="", AVERAGEIF(Table1[Product_Category],D94,$H$2:$H$474),H94)</f>
        <v>-2</v>
      </c>
      <c r="H94">
        <v>-2</v>
      </c>
      <c r="I94" s="2">
        <f t="shared" si="6"/>
        <v>2878.0747619047615</v>
      </c>
      <c r="K94">
        <f t="shared" si="7"/>
        <v>0</v>
      </c>
      <c r="M94" s="2">
        <f t="shared" si="8"/>
        <v>-5756.1495238095231</v>
      </c>
      <c r="N94">
        <v>0</v>
      </c>
      <c r="O94" t="s">
        <v>39</v>
      </c>
      <c r="P94" t="str">
        <f t="shared" si="9"/>
        <v>B2B</v>
      </c>
      <c r="Q94" t="s">
        <v>22</v>
      </c>
      <c r="R94">
        <v>2966.76</v>
      </c>
    </row>
    <row r="95" spans="1:18" x14ac:dyDescent="0.3">
      <c r="A95">
        <v>1094</v>
      </c>
      <c r="B95" t="str">
        <f t="shared" si="5"/>
        <v>Betty Middleton</v>
      </c>
      <c r="C95" t="s">
        <v>146</v>
      </c>
      <c r="D95" t="s">
        <v>19</v>
      </c>
      <c r="E95" t="s">
        <v>87</v>
      </c>
      <c r="F95" t="str">
        <f>CONCATENATE(Table1[[#This Row],[Product_Category]]," - ",Table1[[#This Row],[Product_Name]])</f>
        <v>Jackets - Denim Jacket</v>
      </c>
      <c r="G95">
        <f>IF(H95="", AVERAGEIF(Table1[Product_Category],D95,$H$2:$H$474),H95)</f>
        <v>-1</v>
      </c>
      <c r="H95">
        <v>-1</v>
      </c>
      <c r="I95" s="2">
        <f t="shared" si="6"/>
        <v>4741.41</v>
      </c>
      <c r="J95">
        <v>4741.41</v>
      </c>
      <c r="K95">
        <f t="shared" si="7"/>
        <v>0</v>
      </c>
      <c r="M95" s="2">
        <f t="shared" si="8"/>
        <v>-4741.41</v>
      </c>
      <c r="N95">
        <v>0</v>
      </c>
      <c r="O95" t="s">
        <v>21</v>
      </c>
      <c r="P95" t="str">
        <f t="shared" si="9"/>
        <v>B2C</v>
      </c>
      <c r="Q95" t="s">
        <v>15</v>
      </c>
      <c r="R95">
        <v>1901.7</v>
      </c>
    </row>
    <row r="96" spans="1:18" x14ac:dyDescent="0.3">
      <c r="A96">
        <v>1097</v>
      </c>
      <c r="B96" t="str">
        <f t="shared" si="5"/>
        <v>Amber Smith</v>
      </c>
      <c r="C96" t="s">
        <v>149</v>
      </c>
      <c r="D96" t="s">
        <v>28</v>
      </c>
      <c r="E96" t="s">
        <v>41</v>
      </c>
      <c r="F96" t="str">
        <f>CONCATENATE(Table1[[#This Row],[Product_Category]]," - ",Table1[[#This Row],[Product_Name]])</f>
        <v>Accessories - Sunglasses</v>
      </c>
      <c r="G96">
        <f>IF(H96="", AVERAGEIF(Table1[Product_Category],D96,$H$2:$H$474),H96)</f>
        <v>0</v>
      </c>
      <c r="H96">
        <v>0</v>
      </c>
      <c r="I96" s="2">
        <f t="shared" si="6"/>
        <v>2755.6936585365856</v>
      </c>
      <c r="K96">
        <f t="shared" si="7"/>
        <v>0</v>
      </c>
      <c r="M96" s="2">
        <f t="shared" si="8"/>
        <v>0</v>
      </c>
      <c r="N96">
        <v>0</v>
      </c>
      <c r="O96" t="s">
        <v>21</v>
      </c>
      <c r="P96" t="str">
        <f t="shared" si="9"/>
        <v>B2C</v>
      </c>
      <c r="R96">
        <v>1141.1500000000001</v>
      </c>
    </row>
    <row r="97" spans="1:18" x14ac:dyDescent="0.3">
      <c r="A97">
        <v>1098</v>
      </c>
      <c r="B97" t="str">
        <f t="shared" si="5"/>
        <v>Diana Jones</v>
      </c>
      <c r="C97" t="s">
        <v>150</v>
      </c>
      <c r="D97" t="s">
        <v>28</v>
      </c>
      <c r="E97" t="s">
        <v>140</v>
      </c>
      <c r="F97" t="str">
        <f>CONCATENATE(Table1[[#This Row],[Product_Category]]," - ",Table1[[#This Row],[Product_Name]])</f>
        <v>Accessories - Caps</v>
      </c>
      <c r="G97">
        <f>IF(H97="", AVERAGEIF(Table1[Product_Category],D97,$H$2:$H$474),H97)</f>
        <v>0</v>
      </c>
      <c r="H97">
        <v>0</v>
      </c>
      <c r="I97" s="2">
        <f t="shared" si="6"/>
        <v>4752.04</v>
      </c>
      <c r="J97">
        <v>4752.04</v>
      </c>
      <c r="K97">
        <f t="shared" si="7"/>
        <v>0</v>
      </c>
      <c r="M97" s="2">
        <f t="shared" si="8"/>
        <v>0</v>
      </c>
      <c r="N97">
        <v>0</v>
      </c>
      <c r="O97" t="s">
        <v>17</v>
      </c>
      <c r="P97" t="str">
        <f t="shared" si="9"/>
        <v>B2C</v>
      </c>
      <c r="Q97" t="s">
        <v>15</v>
      </c>
      <c r="R97">
        <v>129.37</v>
      </c>
    </row>
    <row r="98" spans="1:18" x14ac:dyDescent="0.3">
      <c r="A98">
        <v>1099</v>
      </c>
      <c r="B98" t="str">
        <f t="shared" si="5"/>
        <v>Valerie Walker</v>
      </c>
      <c r="C98" t="s">
        <v>151</v>
      </c>
      <c r="D98" t="s">
        <v>24</v>
      </c>
      <c r="E98" t="s">
        <v>25</v>
      </c>
      <c r="F98" t="str">
        <f>CONCATENATE(Table1[[#This Row],[Product_Category]]," - ",Table1[[#This Row],[Product_Name]])</f>
        <v>Shoes - Loafers</v>
      </c>
      <c r="G98" s="2">
        <f>IF(H98="", AVERAGEIF(Table1[Product_Category],D98,$H$2:$H$474),H98)</f>
        <v>1.5517241379310345</v>
      </c>
      <c r="I98" s="2">
        <f t="shared" si="6"/>
        <v>2676.5783333333325</v>
      </c>
      <c r="K98">
        <f t="shared" si="7"/>
        <v>0</v>
      </c>
      <c r="M98" s="2">
        <f t="shared" si="8"/>
        <v>4153.3112068965502</v>
      </c>
      <c r="N98">
        <v>0</v>
      </c>
      <c r="O98" t="s">
        <v>45</v>
      </c>
      <c r="P98" t="str">
        <f t="shared" si="9"/>
        <v>B2B</v>
      </c>
      <c r="Q98" t="s">
        <v>22</v>
      </c>
      <c r="R98">
        <v>300.02</v>
      </c>
    </row>
    <row r="99" spans="1:18" x14ac:dyDescent="0.3">
      <c r="A99">
        <v>1100</v>
      </c>
      <c r="B99" t="str">
        <f t="shared" si="5"/>
        <v>Daniel Brown</v>
      </c>
      <c r="C99" t="s">
        <v>152</v>
      </c>
      <c r="D99" t="s">
        <v>24</v>
      </c>
      <c r="E99" t="s">
        <v>85</v>
      </c>
      <c r="F99" t="str">
        <f>CONCATENATE(Table1[[#This Row],[Product_Category]]," - ",Table1[[#This Row],[Product_Name]])</f>
        <v>Shoes - Boots</v>
      </c>
      <c r="G99">
        <f>IF(H99="", AVERAGEIF(Table1[Product_Category],D99,$H$2:$H$474),H99)</f>
        <v>2</v>
      </c>
      <c r="H99">
        <v>2</v>
      </c>
      <c r="I99" s="2">
        <f t="shared" si="6"/>
        <v>2011.73</v>
      </c>
      <c r="J99">
        <v>2011.73</v>
      </c>
      <c r="K99">
        <f t="shared" si="7"/>
        <v>0</v>
      </c>
      <c r="M99" s="2">
        <f t="shared" si="8"/>
        <v>4023.46</v>
      </c>
      <c r="N99">
        <v>0</v>
      </c>
      <c r="O99" t="s">
        <v>552</v>
      </c>
      <c r="P99" t="str">
        <f t="shared" si="9"/>
        <v>B2C</v>
      </c>
      <c r="Q99" t="s">
        <v>15</v>
      </c>
      <c r="R99">
        <v>2493.5</v>
      </c>
    </row>
    <row r="100" spans="1:18" x14ac:dyDescent="0.3">
      <c r="A100">
        <v>1101</v>
      </c>
      <c r="B100" t="str">
        <f t="shared" si="5"/>
        <v>Stephen Smith</v>
      </c>
      <c r="C100" t="s">
        <v>153</v>
      </c>
      <c r="D100" t="s">
        <v>12</v>
      </c>
      <c r="E100" t="s">
        <v>35</v>
      </c>
      <c r="F100" t="str">
        <f>CONCATENATE(Table1[[#This Row],[Product_Category]]," - ",Table1[[#This Row],[Product_Name]])</f>
        <v>Jeans - Boyfriend Jeans</v>
      </c>
      <c r="G100">
        <f>IF(H100="", AVERAGEIF(Table1[Product_Category],D100,$H$2:$H$474),H100)</f>
        <v>2</v>
      </c>
      <c r="I100" s="2">
        <f t="shared" si="6"/>
        <v>2592.8782222222212</v>
      </c>
      <c r="K100">
        <f t="shared" si="7"/>
        <v>0.22</v>
      </c>
      <c r="L100">
        <v>0.22</v>
      </c>
      <c r="M100" s="2">
        <f t="shared" si="8"/>
        <v>4044.8900266666651</v>
      </c>
      <c r="N100">
        <v>0</v>
      </c>
      <c r="O100" t="s">
        <v>45</v>
      </c>
      <c r="P100" t="str">
        <f t="shared" si="9"/>
        <v>B2C</v>
      </c>
      <c r="Q100" t="s">
        <v>15</v>
      </c>
      <c r="R100">
        <v>2962.73</v>
      </c>
    </row>
    <row r="101" spans="1:18" x14ac:dyDescent="0.3">
      <c r="A101">
        <v>1102</v>
      </c>
      <c r="B101" t="str">
        <f t="shared" si="5"/>
        <v>Kimberly Walter</v>
      </c>
      <c r="C101" t="s">
        <v>154</v>
      </c>
      <c r="D101" t="s">
        <v>12</v>
      </c>
      <c r="E101" t="s">
        <v>35</v>
      </c>
      <c r="F101" t="str">
        <f>CONCATENATE(Table1[[#This Row],[Product_Category]]," - ",Table1[[#This Row],[Product_Name]])</f>
        <v>Jeans - Boyfriend Jeans</v>
      </c>
      <c r="G101">
        <f>IF(H101="", AVERAGEIF(Table1[Product_Category],D101,$H$2:$H$474),H101)</f>
        <v>5</v>
      </c>
      <c r="H101">
        <v>5</v>
      </c>
      <c r="I101" s="2">
        <f t="shared" si="6"/>
        <v>2592.8782222222212</v>
      </c>
      <c r="K101">
        <f t="shared" si="7"/>
        <v>0</v>
      </c>
      <c r="M101" s="2">
        <f t="shared" si="8"/>
        <v>12964.391111111107</v>
      </c>
      <c r="N101">
        <v>0</v>
      </c>
      <c r="O101" t="s">
        <v>552</v>
      </c>
      <c r="P101" t="str">
        <f t="shared" si="9"/>
        <v>B2C</v>
      </c>
      <c r="R101">
        <v>2776.7</v>
      </c>
    </row>
    <row r="102" spans="1:18" x14ac:dyDescent="0.3">
      <c r="A102">
        <v>1103</v>
      </c>
      <c r="B102" t="str">
        <f t="shared" si="5"/>
        <v>Brandon Webb</v>
      </c>
      <c r="C102" t="s">
        <v>155</v>
      </c>
      <c r="D102" t="s">
        <v>37</v>
      </c>
      <c r="E102" t="s">
        <v>90</v>
      </c>
      <c r="F102" t="str">
        <f>CONCATENATE(Table1[[#This Row],[Product_Category]]," - ",Table1[[#This Row],[Product_Name]])</f>
        <v>Dresses - Bodycon</v>
      </c>
      <c r="G102">
        <f>IF(H102="", AVERAGEIF(Table1[Product_Category],D102,$H$2:$H$474),H102)</f>
        <v>5</v>
      </c>
      <c r="H102">
        <v>5</v>
      </c>
      <c r="I102" s="2">
        <f t="shared" si="6"/>
        <v>1521.46</v>
      </c>
      <c r="J102">
        <v>1521.46</v>
      </c>
      <c r="K102">
        <f t="shared" si="7"/>
        <v>0</v>
      </c>
      <c r="M102" s="2">
        <f t="shared" si="8"/>
        <v>7607.3</v>
      </c>
      <c r="N102">
        <v>0</v>
      </c>
      <c r="O102" t="s">
        <v>39</v>
      </c>
      <c r="P102" t="str">
        <f t="shared" si="9"/>
        <v>B2B</v>
      </c>
      <c r="Q102" t="s">
        <v>22</v>
      </c>
      <c r="R102">
        <v>1713.47</v>
      </c>
    </row>
    <row r="103" spans="1:18" x14ac:dyDescent="0.3">
      <c r="A103">
        <v>1104</v>
      </c>
      <c r="B103" t="str">
        <f t="shared" si="5"/>
        <v>Andrew Moreno</v>
      </c>
      <c r="C103" t="s">
        <v>156</v>
      </c>
      <c r="D103" t="s">
        <v>37</v>
      </c>
      <c r="E103" t="s">
        <v>58</v>
      </c>
      <c r="F103" t="str">
        <f>CONCATENATE(Table1[[#This Row],[Product_Category]]," - ",Table1[[#This Row],[Product_Name]])</f>
        <v>Dresses - Maxi Dress</v>
      </c>
      <c r="G103">
        <f>IF(H103="", AVERAGEIF(Table1[Product_Category],D103,$H$2:$H$474),H103)</f>
        <v>3</v>
      </c>
      <c r="H103">
        <v>3</v>
      </c>
      <c r="I103" s="2">
        <f t="shared" si="6"/>
        <v>2752.71</v>
      </c>
      <c r="J103">
        <v>2752.71</v>
      </c>
      <c r="K103">
        <f t="shared" si="7"/>
        <v>0</v>
      </c>
      <c r="M103" s="2">
        <f t="shared" si="8"/>
        <v>8258.130000000001</v>
      </c>
      <c r="N103">
        <v>0</v>
      </c>
      <c r="O103" t="s">
        <v>17</v>
      </c>
      <c r="P103" t="str">
        <f t="shared" si="9"/>
        <v>B2B</v>
      </c>
      <c r="Q103" t="s">
        <v>22</v>
      </c>
      <c r="R103">
        <v>1660.01</v>
      </c>
    </row>
    <row r="104" spans="1:18" x14ac:dyDescent="0.3">
      <c r="A104">
        <v>1105</v>
      </c>
      <c r="B104" t="str">
        <f t="shared" si="5"/>
        <v>Willie Smith</v>
      </c>
      <c r="C104" t="s">
        <v>157</v>
      </c>
      <c r="D104" t="s">
        <v>37</v>
      </c>
      <c r="E104" t="s">
        <v>58</v>
      </c>
      <c r="F104" t="str">
        <f>CONCATENATE(Table1[[#This Row],[Product_Category]]," - ",Table1[[#This Row],[Product_Name]])</f>
        <v>Dresses - Maxi Dress</v>
      </c>
      <c r="G104">
        <f>IF(H104="", AVERAGEIF(Table1[Product_Category],D104,$H$2:$H$474),H104)</f>
        <v>-2</v>
      </c>
      <c r="H104">
        <v>-2</v>
      </c>
      <c r="I104" s="2">
        <f t="shared" si="6"/>
        <v>2878.0747619047615</v>
      </c>
      <c r="K104">
        <f t="shared" si="7"/>
        <v>0</v>
      </c>
      <c r="M104" s="2">
        <f t="shared" si="8"/>
        <v>-5756.1495238095231</v>
      </c>
      <c r="N104">
        <v>0</v>
      </c>
      <c r="O104" t="s">
        <v>17</v>
      </c>
      <c r="P104" t="str">
        <f t="shared" si="9"/>
        <v>B2B</v>
      </c>
      <c r="Q104" t="s">
        <v>22</v>
      </c>
      <c r="R104">
        <v>616.04</v>
      </c>
    </row>
    <row r="105" spans="1:18" x14ac:dyDescent="0.3">
      <c r="A105">
        <v>1106</v>
      </c>
      <c r="B105" t="str">
        <f t="shared" si="5"/>
        <v>Evelyn Allison</v>
      </c>
      <c r="C105" t="s">
        <v>158</v>
      </c>
      <c r="D105" t="s">
        <v>12</v>
      </c>
      <c r="E105" t="s">
        <v>35</v>
      </c>
      <c r="F105" t="str">
        <f>CONCATENATE(Table1[[#This Row],[Product_Category]]," - ",Table1[[#This Row],[Product_Name]])</f>
        <v>Jeans - Boyfriend Jeans</v>
      </c>
      <c r="G105">
        <f>IF(H105="", AVERAGEIF(Table1[Product_Category],D105,$H$2:$H$474),H105)</f>
        <v>3</v>
      </c>
      <c r="H105">
        <v>3</v>
      </c>
      <c r="I105" s="2">
        <f t="shared" si="6"/>
        <v>2592.8782222222212</v>
      </c>
      <c r="K105">
        <f t="shared" si="7"/>
        <v>0</v>
      </c>
      <c r="M105" s="2">
        <f t="shared" si="8"/>
        <v>7778.6346666666632</v>
      </c>
      <c r="N105">
        <v>0</v>
      </c>
      <c r="O105" t="s">
        <v>45</v>
      </c>
      <c r="P105" t="str">
        <f t="shared" si="9"/>
        <v>B2C</v>
      </c>
      <c r="Q105" t="s">
        <v>15</v>
      </c>
      <c r="R105">
        <v>53.28</v>
      </c>
    </row>
    <row r="106" spans="1:18" x14ac:dyDescent="0.3">
      <c r="A106">
        <v>1107</v>
      </c>
      <c r="B106" t="str">
        <f t="shared" si="5"/>
        <v>Elizabeth Hood</v>
      </c>
      <c r="C106" t="s">
        <v>159</v>
      </c>
      <c r="D106" t="s">
        <v>12</v>
      </c>
      <c r="E106" t="s">
        <v>48</v>
      </c>
      <c r="F106" t="str">
        <f>CONCATENATE(Table1[[#This Row],[Product_Category]]," - ",Table1[[#This Row],[Product_Name]])</f>
        <v>Jeans - Straight Cut</v>
      </c>
      <c r="G106">
        <f>IF(H106="", AVERAGEIF(Table1[Product_Category],D106,$H$2:$H$474),H106)</f>
        <v>2</v>
      </c>
      <c r="I106" s="2">
        <f t="shared" si="6"/>
        <v>4948</v>
      </c>
      <c r="J106">
        <v>4948</v>
      </c>
      <c r="K106">
        <f t="shared" si="7"/>
        <v>0</v>
      </c>
      <c r="M106" s="2">
        <f t="shared" si="8"/>
        <v>9896</v>
      </c>
      <c r="N106">
        <v>0</v>
      </c>
      <c r="O106" t="s">
        <v>14</v>
      </c>
      <c r="P106" t="str">
        <f t="shared" si="9"/>
        <v>B2C</v>
      </c>
      <c r="Q106" t="s">
        <v>15</v>
      </c>
      <c r="R106">
        <v>1064.8599999999999</v>
      </c>
    </row>
    <row r="107" spans="1:18" x14ac:dyDescent="0.3">
      <c r="A107">
        <v>1109</v>
      </c>
      <c r="B107" t="str">
        <f t="shared" si="5"/>
        <v>Nicole Evans</v>
      </c>
      <c r="C107" t="s">
        <v>161</v>
      </c>
      <c r="D107" t="s">
        <v>12</v>
      </c>
      <c r="E107" t="s">
        <v>101</v>
      </c>
      <c r="F107" t="str">
        <f>CONCATENATE(Table1[[#This Row],[Product_Category]]," - ",Table1[[#This Row],[Product_Name]])</f>
        <v>Jeans - Ripped Denim</v>
      </c>
      <c r="G107">
        <f>IF(H107="", AVERAGEIF(Table1[Product_Category],D107,$H$2:$H$474),H107)</f>
        <v>2</v>
      </c>
      <c r="I107" s="2">
        <f t="shared" si="6"/>
        <v>2592.8782222222212</v>
      </c>
      <c r="K107">
        <f t="shared" si="7"/>
        <v>0</v>
      </c>
      <c r="M107" s="2">
        <f t="shared" si="8"/>
        <v>5185.7564444444424</v>
      </c>
      <c r="N107">
        <v>0</v>
      </c>
      <c r="O107" t="s">
        <v>552</v>
      </c>
      <c r="P107" t="str">
        <f t="shared" si="9"/>
        <v>B2C</v>
      </c>
      <c r="Q107" t="s">
        <v>15</v>
      </c>
      <c r="R107">
        <v>2133.58</v>
      </c>
    </row>
    <row r="108" spans="1:18" x14ac:dyDescent="0.3">
      <c r="A108">
        <v>1110</v>
      </c>
      <c r="B108" t="str">
        <f t="shared" si="5"/>
        <v>Michael Velasquez</v>
      </c>
      <c r="C108" t="s">
        <v>162</v>
      </c>
      <c r="D108" t="s">
        <v>12</v>
      </c>
      <c r="E108" t="s">
        <v>13</v>
      </c>
      <c r="F108" t="str">
        <f>CONCATENATE(Table1[[#This Row],[Product_Category]]," - ",Table1[[#This Row],[Product_Name]])</f>
        <v>Jeans - Slim Fit Jeans</v>
      </c>
      <c r="G108">
        <f>IF(H108="", AVERAGEIF(Table1[Product_Category],D108,$H$2:$H$474),H108)</f>
        <v>4</v>
      </c>
      <c r="H108">
        <v>4</v>
      </c>
      <c r="I108" s="2">
        <f t="shared" si="6"/>
        <v>2592.8782222222212</v>
      </c>
      <c r="K108">
        <f t="shared" si="7"/>
        <v>0</v>
      </c>
      <c r="M108" s="2">
        <f t="shared" si="8"/>
        <v>10371.512888888885</v>
      </c>
      <c r="N108">
        <v>0</v>
      </c>
      <c r="O108" t="s">
        <v>21</v>
      </c>
      <c r="P108" t="str">
        <f t="shared" si="9"/>
        <v>B2C</v>
      </c>
      <c r="Q108" t="s">
        <v>15</v>
      </c>
      <c r="R108">
        <v>2155.6799999999998</v>
      </c>
    </row>
    <row r="109" spans="1:18" x14ac:dyDescent="0.3">
      <c r="A109">
        <v>1111</v>
      </c>
      <c r="B109" t="str">
        <f t="shared" si="5"/>
        <v>Tammy Gonzales</v>
      </c>
      <c r="C109" t="s">
        <v>163</v>
      </c>
      <c r="D109" t="s">
        <v>32</v>
      </c>
      <c r="E109" t="s">
        <v>71</v>
      </c>
      <c r="F109" t="str">
        <f>CONCATENATE(Table1[[#This Row],[Product_Category]]," - ",Table1[[#This Row],[Product_Name]])</f>
        <v>T-Shirts - Classic Tee</v>
      </c>
      <c r="G109" s="2">
        <f>IF(H109="", AVERAGEIF(Table1[Product_Category],D109,$H$2:$H$474),H109)</f>
        <v>1.5813953488372092</v>
      </c>
      <c r="I109" s="2">
        <f t="shared" si="6"/>
        <v>2715.2732432432431</v>
      </c>
      <c r="K109">
        <f t="shared" si="7"/>
        <v>0</v>
      </c>
      <c r="M109" s="2">
        <f t="shared" si="8"/>
        <v>4293.9204776869892</v>
      </c>
      <c r="N109">
        <v>0</v>
      </c>
      <c r="O109" t="s">
        <v>17</v>
      </c>
      <c r="P109" t="str">
        <f t="shared" si="9"/>
        <v>B2C</v>
      </c>
      <c r="Q109" t="s">
        <v>15</v>
      </c>
      <c r="R109">
        <v>748.93</v>
      </c>
    </row>
    <row r="110" spans="1:18" x14ac:dyDescent="0.3">
      <c r="A110">
        <v>1112</v>
      </c>
      <c r="B110" t="str">
        <f t="shared" si="5"/>
        <v>Sherry Shepard</v>
      </c>
      <c r="C110" t="s">
        <v>164</v>
      </c>
      <c r="D110" t="s">
        <v>37</v>
      </c>
      <c r="E110" t="s">
        <v>38</v>
      </c>
      <c r="F110" t="str">
        <f>CONCATENATE(Table1[[#This Row],[Product_Category]]," - ",Table1[[#This Row],[Product_Name]])</f>
        <v>Dresses - Casual Midi</v>
      </c>
      <c r="G110" s="2">
        <f>IF(H110="", AVERAGEIF(Table1[Product_Category],D110,$H$2:$H$474),H110)</f>
        <v>2.0217391304347827</v>
      </c>
      <c r="I110" s="2">
        <f t="shared" si="6"/>
        <v>1027.56</v>
      </c>
      <c r="J110">
        <v>1027.56</v>
      </c>
      <c r="K110">
        <f t="shared" si="7"/>
        <v>0</v>
      </c>
      <c r="M110" s="2">
        <f t="shared" si="8"/>
        <v>2077.458260869565</v>
      </c>
      <c r="N110">
        <v>0</v>
      </c>
      <c r="O110" t="s">
        <v>21</v>
      </c>
      <c r="P110" t="str">
        <f t="shared" si="9"/>
        <v>B2C</v>
      </c>
      <c r="R110">
        <v>1160.17</v>
      </c>
    </row>
    <row r="111" spans="1:18" x14ac:dyDescent="0.3">
      <c r="A111">
        <v>1113</v>
      </c>
      <c r="B111" t="str">
        <f t="shared" si="5"/>
        <v>Derek Edwards</v>
      </c>
      <c r="C111" t="s">
        <v>165</v>
      </c>
      <c r="D111" t="s">
        <v>19</v>
      </c>
      <c r="E111" t="s">
        <v>20</v>
      </c>
      <c r="F111" t="str">
        <f>CONCATENATE(Table1[[#This Row],[Product_Category]]," - ",Table1[[#This Row],[Product_Name]])</f>
        <v>Jackets - Puffer Coat</v>
      </c>
      <c r="G111" s="2">
        <f>IF(H111="", AVERAGEIF(Table1[Product_Category],D111,$H$2:$H$474),H111)</f>
        <v>1.675</v>
      </c>
      <c r="I111" s="2">
        <f t="shared" si="6"/>
        <v>3864.5</v>
      </c>
      <c r="J111">
        <v>3864.5</v>
      </c>
      <c r="K111">
        <f t="shared" si="7"/>
        <v>0</v>
      </c>
      <c r="M111" s="2">
        <f t="shared" si="8"/>
        <v>6473.0375000000004</v>
      </c>
      <c r="N111">
        <v>0</v>
      </c>
      <c r="O111" t="s">
        <v>17</v>
      </c>
      <c r="P111" t="str">
        <f t="shared" si="9"/>
        <v>B2C</v>
      </c>
      <c r="Q111" t="s">
        <v>15</v>
      </c>
      <c r="R111">
        <v>-763.23</v>
      </c>
    </row>
    <row r="112" spans="1:18" x14ac:dyDescent="0.3">
      <c r="A112">
        <v>1114</v>
      </c>
      <c r="B112" t="str">
        <f t="shared" si="5"/>
        <v>Robert Williams</v>
      </c>
      <c r="C112" t="s">
        <v>166</v>
      </c>
      <c r="D112" t="s">
        <v>37</v>
      </c>
      <c r="E112" t="s">
        <v>90</v>
      </c>
      <c r="F112" t="str">
        <f>CONCATENATE(Table1[[#This Row],[Product_Category]]," - ",Table1[[#This Row],[Product_Name]])</f>
        <v>Dresses - Bodycon</v>
      </c>
      <c r="G112">
        <f>IF(H112="", AVERAGEIF(Table1[Product_Category],D112,$H$2:$H$474),H112)</f>
        <v>6</v>
      </c>
      <c r="H112">
        <v>6</v>
      </c>
      <c r="I112" s="2">
        <f t="shared" si="6"/>
        <v>568.61</v>
      </c>
      <c r="J112">
        <v>568.61</v>
      </c>
      <c r="K112">
        <f t="shared" si="7"/>
        <v>0.2</v>
      </c>
      <c r="L112">
        <v>0.2</v>
      </c>
      <c r="M112" s="2">
        <f t="shared" si="8"/>
        <v>2729.328</v>
      </c>
      <c r="N112">
        <v>2729.33</v>
      </c>
      <c r="O112" t="s">
        <v>14</v>
      </c>
      <c r="P112" t="str">
        <f t="shared" si="9"/>
        <v>B2C</v>
      </c>
      <c r="Q112" t="s">
        <v>15</v>
      </c>
      <c r="R112">
        <v>-689.16</v>
      </c>
    </row>
    <row r="113" spans="1:18" x14ac:dyDescent="0.3">
      <c r="A113">
        <v>1115</v>
      </c>
      <c r="B113" t="str">
        <f t="shared" si="5"/>
        <v>Carolyn Nelson</v>
      </c>
      <c r="C113" t="s">
        <v>167</v>
      </c>
      <c r="D113" t="s">
        <v>28</v>
      </c>
      <c r="E113" t="s">
        <v>29</v>
      </c>
      <c r="F113" t="str">
        <f>CONCATENATE(Table1[[#This Row],[Product_Category]]," - ",Table1[[#This Row],[Product_Name]])</f>
        <v>Accessories - Belts</v>
      </c>
      <c r="G113" s="2">
        <f>IF(H113="", AVERAGEIF(Table1[Product_Category],D113,$H$2:$H$474),H113)</f>
        <v>2.5249999999999999</v>
      </c>
      <c r="I113" s="2">
        <f t="shared" si="6"/>
        <v>2755.6936585365856</v>
      </c>
      <c r="K113">
        <f t="shared" si="7"/>
        <v>0</v>
      </c>
      <c r="M113" s="2">
        <f t="shared" si="8"/>
        <v>6958.1264878048787</v>
      </c>
      <c r="N113">
        <v>0</v>
      </c>
      <c r="O113" t="s">
        <v>17</v>
      </c>
      <c r="P113" t="str">
        <f t="shared" si="9"/>
        <v>B2C</v>
      </c>
      <c r="R113">
        <v>-624.26</v>
      </c>
    </row>
    <row r="114" spans="1:18" x14ac:dyDescent="0.3">
      <c r="A114">
        <v>1116</v>
      </c>
      <c r="B114" t="str">
        <f t="shared" si="5"/>
        <v>Olivia Jones</v>
      </c>
      <c r="C114" t="s">
        <v>168</v>
      </c>
      <c r="D114" t="s">
        <v>19</v>
      </c>
      <c r="E114" t="s">
        <v>79</v>
      </c>
      <c r="F114" t="str">
        <f>CONCATENATE(Table1[[#This Row],[Product_Category]]," - ",Table1[[#This Row],[Product_Name]])</f>
        <v>Jackets - Bomber Jacket</v>
      </c>
      <c r="G114">
        <f>IF(H114="", AVERAGEIF(Table1[Product_Category],D114,$H$2:$H$474),H114)</f>
        <v>1</v>
      </c>
      <c r="H114">
        <v>1</v>
      </c>
      <c r="I114" s="2">
        <f t="shared" si="6"/>
        <v>2952.3559374999995</v>
      </c>
      <c r="K114">
        <f t="shared" si="7"/>
        <v>0</v>
      </c>
      <c r="M114" s="2">
        <f t="shared" si="8"/>
        <v>2952.3559374999995</v>
      </c>
      <c r="N114">
        <v>0</v>
      </c>
      <c r="O114" t="s">
        <v>14</v>
      </c>
      <c r="P114" t="str">
        <f t="shared" si="9"/>
        <v>B2C</v>
      </c>
      <c r="Q114" t="s">
        <v>15</v>
      </c>
      <c r="R114">
        <v>1733.04</v>
      </c>
    </row>
    <row r="115" spans="1:18" x14ac:dyDescent="0.3">
      <c r="A115">
        <v>1117</v>
      </c>
      <c r="B115" t="str">
        <f t="shared" si="5"/>
        <v>Molly Johnson</v>
      </c>
      <c r="C115" t="s">
        <v>169</v>
      </c>
      <c r="D115" t="s">
        <v>19</v>
      </c>
      <c r="E115" t="s">
        <v>20</v>
      </c>
      <c r="F115" t="str">
        <f>CONCATENATE(Table1[[#This Row],[Product_Category]]," - ",Table1[[#This Row],[Product_Name]])</f>
        <v>Jackets - Puffer Coat</v>
      </c>
      <c r="G115" s="2">
        <f>IF(H115="", AVERAGEIF(Table1[Product_Category],D115,$H$2:$H$474),H115)</f>
        <v>1.675</v>
      </c>
      <c r="I115" s="2">
        <f t="shared" si="6"/>
        <v>3567.55</v>
      </c>
      <c r="J115">
        <v>3567.55</v>
      </c>
      <c r="K115">
        <f t="shared" si="7"/>
        <v>0</v>
      </c>
      <c r="M115" s="2">
        <f t="shared" si="8"/>
        <v>5975.6462500000007</v>
      </c>
      <c r="N115">
        <v>0</v>
      </c>
      <c r="O115" t="s">
        <v>39</v>
      </c>
      <c r="P115" t="str">
        <f t="shared" si="9"/>
        <v>B2C</v>
      </c>
      <c r="R115">
        <v>-455.6</v>
      </c>
    </row>
    <row r="116" spans="1:18" x14ac:dyDescent="0.3">
      <c r="A116">
        <v>1118</v>
      </c>
      <c r="B116" t="str">
        <f t="shared" si="5"/>
        <v>Jose Jackson</v>
      </c>
      <c r="C116" t="s">
        <v>170</v>
      </c>
      <c r="D116" t="s">
        <v>28</v>
      </c>
      <c r="E116" t="s">
        <v>29</v>
      </c>
      <c r="F116" t="str">
        <f>CONCATENATE(Table1[[#This Row],[Product_Category]]," - ",Table1[[#This Row],[Product_Name]])</f>
        <v>Accessories - Belts</v>
      </c>
      <c r="G116" s="2">
        <f>IF(H116="", AVERAGEIF(Table1[Product_Category],D116,$H$2:$H$474),H116)</f>
        <v>2.5249999999999999</v>
      </c>
      <c r="I116" s="2">
        <f t="shared" si="6"/>
        <v>2755.6936585365856</v>
      </c>
      <c r="K116">
        <f t="shared" si="7"/>
        <v>0</v>
      </c>
      <c r="M116" s="2">
        <f t="shared" si="8"/>
        <v>6958.1264878048787</v>
      </c>
      <c r="N116">
        <v>0</v>
      </c>
      <c r="O116" t="s">
        <v>39</v>
      </c>
      <c r="P116" t="str">
        <f t="shared" si="9"/>
        <v>B2C</v>
      </c>
      <c r="Q116" t="s">
        <v>15</v>
      </c>
      <c r="R116">
        <v>1039.53</v>
      </c>
    </row>
    <row r="117" spans="1:18" x14ac:dyDescent="0.3">
      <c r="A117">
        <v>1119</v>
      </c>
      <c r="B117" t="str">
        <f t="shared" si="5"/>
        <v>Elizabeth Vega</v>
      </c>
      <c r="C117" t="s">
        <v>171</v>
      </c>
      <c r="D117" t="s">
        <v>12</v>
      </c>
      <c r="E117" t="s">
        <v>101</v>
      </c>
      <c r="F117" t="str">
        <f>CONCATENATE(Table1[[#This Row],[Product_Category]]," - ",Table1[[#This Row],[Product_Name]])</f>
        <v>Jeans - Ripped Denim</v>
      </c>
      <c r="G117">
        <f>IF(H117="", AVERAGEIF(Table1[Product_Category],D117,$H$2:$H$474),H117)</f>
        <v>2</v>
      </c>
      <c r="I117" s="2">
        <f t="shared" si="6"/>
        <v>2592.8782222222212</v>
      </c>
      <c r="K117">
        <f t="shared" si="7"/>
        <v>0</v>
      </c>
      <c r="M117" s="2">
        <f t="shared" si="8"/>
        <v>5185.7564444444424</v>
      </c>
      <c r="N117">
        <v>0</v>
      </c>
      <c r="O117" t="s">
        <v>21</v>
      </c>
      <c r="P117" t="str">
        <f t="shared" si="9"/>
        <v>B2C</v>
      </c>
      <c r="Q117" t="s">
        <v>15</v>
      </c>
      <c r="R117">
        <v>142.69</v>
      </c>
    </row>
    <row r="118" spans="1:18" x14ac:dyDescent="0.3">
      <c r="A118">
        <v>1120</v>
      </c>
      <c r="B118" t="str">
        <f t="shared" si="5"/>
        <v>Angelica Gonzalez</v>
      </c>
      <c r="C118" t="s">
        <v>172</v>
      </c>
      <c r="D118" t="s">
        <v>19</v>
      </c>
      <c r="E118" t="s">
        <v>20</v>
      </c>
      <c r="F118" t="str">
        <f>CONCATENATE(Table1[[#This Row],[Product_Category]]," - ",Table1[[#This Row],[Product_Name]])</f>
        <v>Jackets - Puffer Coat</v>
      </c>
      <c r="G118" s="2">
        <f>IF(H118="", AVERAGEIF(Table1[Product_Category],D118,$H$2:$H$474),H118)</f>
        <v>1.675</v>
      </c>
      <c r="I118" s="2">
        <f t="shared" si="6"/>
        <v>4709</v>
      </c>
      <c r="J118">
        <v>4709</v>
      </c>
      <c r="K118">
        <f t="shared" si="7"/>
        <v>0</v>
      </c>
      <c r="M118" s="2">
        <f t="shared" si="8"/>
        <v>7887.5749999999998</v>
      </c>
      <c r="N118">
        <v>0</v>
      </c>
      <c r="O118" t="s">
        <v>17</v>
      </c>
      <c r="P118" t="str">
        <f t="shared" si="9"/>
        <v>B2C</v>
      </c>
      <c r="R118">
        <v>828.98</v>
      </c>
    </row>
    <row r="119" spans="1:18" x14ac:dyDescent="0.3">
      <c r="A119">
        <v>1121</v>
      </c>
      <c r="B119" t="str">
        <f t="shared" si="5"/>
        <v>Henry Parker</v>
      </c>
      <c r="C119" t="s">
        <v>173</v>
      </c>
      <c r="D119" t="s">
        <v>24</v>
      </c>
      <c r="E119" t="s">
        <v>85</v>
      </c>
      <c r="F119" t="str">
        <f>CONCATENATE(Table1[[#This Row],[Product_Category]]," - ",Table1[[#This Row],[Product_Name]])</f>
        <v>Shoes - Boots</v>
      </c>
      <c r="G119" s="2">
        <f>IF(H119="", AVERAGEIF(Table1[Product_Category],D119,$H$2:$H$474),H119)</f>
        <v>1.5517241379310345</v>
      </c>
      <c r="I119" s="2">
        <f t="shared" si="6"/>
        <v>4109.6000000000004</v>
      </c>
      <c r="J119">
        <v>4109.6000000000004</v>
      </c>
      <c r="K119">
        <f t="shared" si="7"/>
        <v>0.42</v>
      </c>
      <c r="L119">
        <v>0.42</v>
      </c>
      <c r="M119" s="2">
        <f t="shared" si="8"/>
        <v>3698.6400000000008</v>
      </c>
      <c r="N119">
        <v>0</v>
      </c>
      <c r="O119" t="s">
        <v>45</v>
      </c>
      <c r="P119" t="str">
        <f t="shared" si="9"/>
        <v>B2C</v>
      </c>
      <c r="Q119" t="s">
        <v>15</v>
      </c>
      <c r="R119">
        <v>1422.36</v>
      </c>
    </row>
    <row r="120" spans="1:18" x14ac:dyDescent="0.3">
      <c r="A120">
        <v>1122</v>
      </c>
      <c r="B120" t="str">
        <f t="shared" si="5"/>
        <v>Jennifer Lee</v>
      </c>
      <c r="C120" t="s">
        <v>174</v>
      </c>
      <c r="D120" t="s">
        <v>19</v>
      </c>
      <c r="E120" t="s">
        <v>79</v>
      </c>
      <c r="F120" t="str">
        <f>CONCATENATE(Table1[[#This Row],[Product_Category]]," - ",Table1[[#This Row],[Product_Name]])</f>
        <v>Jackets - Bomber Jacket</v>
      </c>
      <c r="G120">
        <f>IF(H120="", AVERAGEIF(Table1[Product_Category],D120,$H$2:$H$474),H120)</f>
        <v>0</v>
      </c>
      <c r="H120">
        <v>0</v>
      </c>
      <c r="I120" s="2">
        <f t="shared" si="6"/>
        <v>4745.03</v>
      </c>
      <c r="J120">
        <v>4745.03</v>
      </c>
      <c r="K120">
        <f t="shared" si="7"/>
        <v>0.4</v>
      </c>
      <c r="L120">
        <v>0.4</v>
      </c>
      <c r="M120" s="2">
        <f t="shared" si="8"/>
        <v>0</v>
      </c>
      <c r="N120">
        <v>0</v>
      </c>
      <c r="O120" t="s">
        <v>21</v>
      </c>
      <c r="P120" t="str">
        <f t="shared" si="9"/>
        <v>B2C</v>
      </c>
      <c r="Q120" t="s">
        <v>15</v>
      </c>
      <c r="R120">
        <v>2658.02</v>
      </c>
    </row>
    <row r="121" spans="1:18" x14ac:dyDescent="0.3">
      <c r="A121">
        <v>1123</v>
      </c>
      <c r="B121" t="str">
        <f t="shared" si="5"/>
        <v>Michael Clarke</v>
      </c>
      <c r="C121" t="s">
        <v>175</v>
      </c>
      <c r="D121" t="s">
        <v>28</v>
      </c>
      <c r="E121" t="s">
        <v>140</v>
      </c>
      <c r="F121" t="str">
        <f>CONCATENATE(Table1[[#This Row],[Product_Category]]," - ",Table1[[#This Row],[Product_Name]])</f>
        <v>Accessories - Caps</v>
      </c>
      <c r="G121">
        <f>IF(H121="", AVERAGEIF(Table1[Product_Category],D121,$H$2:$H$474),H121)</f>
        <v>5</v>
      </c>
      <c r="H121">
        <v>5</v>
      </c>
      <c r="I121" s="2">
        <f t="shared" si="6"/>
        <v>3978.76</v>
      </c>
      <c r="J121">
        <v>3978.76</v>
      </c>
      <c r="K121">
        <f t="shared" si="7"/>
        <v>0</v>
      </c>
      <c r="M121" s="2">
        <f t="shared" si="8"/>
        <v>19893.800000000003</v>
      </c>
      <c r="N121">
        <v>0</v>
      </c>
      <c r="O121" t="s">
        <v>17</v>
      </c>
      <c r="P121" t="str">
        <f t="shared" si="9"/>
        <v>B2C</v>
      </c>
      <c r="R121">
        <v>1494.78</v>
      </c>
    </row>
    <row r="122" spans="1:18" x14ac:dyDescent="0.3">
      <c r="A122">
        <v>1125</v>
      </c>
      <c r="B122" t="str">
        <f t="shared" si="5"/>
        <v>Jason Turner</v>
      </c>
      <c r="C122" t="s">
        <v>177</v>
      </c>
      <c r="D122" t="s">
        <v>24</v>
      </c>
      <c r="E122" t="s">
        <v>85</v>
      </c>
      <c r="F122" t="str">
        <f>CONCATENATE(Table1[[#This Row],[Product_Category]]," - ",Table1[[#This Row],[Product_Name]])</f>
        <v>Shoes - Boots</v>
      </c>
      <c r="G122">
        <f>IF(H122="", AVERAGEIF(Table1[Product_Category],D122,$H$2:$H$474),H122)</f>
        <v>-2</v>
      </c>
      <c r="H122">
        <v>-2</v>
      </c>
      <c r="I122" s="2">
        <f t="shared" si="6"/>
        <v>2676.5783333333325</v>
      </c>
      <c r="K122">
        <f t="shared" si="7"/>
        <v>0</v>
      </c>
      <c r="M122" s="2">
        <f t="shared" si="8"/>
        <v>-5353.1566666666649</v>
      </c>
      <c r="N122">
        <v>0</v>
      </c>
      <c r="O122" t="s">
        <v>14</v>
      </c>
      <c r="P122" t="str">
        <f t="shared" si="9"/>
        <v>B2C</v>
      </c>
      <c r="R122">
        <v>-754.58</v>
      </c>
    </row>
    <row r="123" spans="1:18" x14ac:dyDescent="0.3">
      <c r="A123">
        <v>1126</v>
      </c>
      <c r="B123" t="str">
        <f t="shared" si="5"/>
        <v>Grant Munoz</v>
      </c>
      <c r="C123" t="s">
        <v>178</v>
      </c>
      <c r="D123" t="s">
        <v>12</v>
      </c>
      <c r="E123" t="s">
        <v>35</v>
      </c>
      <c r="F123" t="str">
        <f>CONCATENATE(Table1[[#This Row],[Product_Category]]," - ",Table1[[#This Row],[Product_Name]])</f>
        <v>Jeans - Boyfriend Jeans</v>
      </c>
      <c r="G123">
        <f>IF(H123="", AVERAGEIF(Table1[Product_Category],D123,$H$2:$H$474),H123)</f>
        <v>2</v>
      </c>
      <c r="H123">
        <v>2</v>
      </c>
      <c r="I123" s="2">
        <f t="shared" si="6"/>
        <v>2592.8782222222212</v>
      </c>
      <c r="K123">
        <f t="shared" si="7"/>
        <v>0.59</v>
      </c>
      <c r="L123">
        <v>0.59</v>
      </c>
      <c r="M123" s="2">
        <f t="shared" si="8"/>
        <v>2126.1601422222216</v>
      </c>
      <c r="N123">
        <v>0</v>
      </c>
      <c r="O123" t="s">
        <v>45</v>
      </c>
      <c r="P123" t="str">
        <f t="shared" si="9"/>
        <v>B2C</v>
      </c>
      <c r="Q123" t="s">
        <v>15</v>
      </c>
      <c r="R123">
        <v>1820.2</v>
      </c>
    </row>
    <row r="124" spans="1:18" x14ac:dyDescent="0.3">
      <c r="A124">
        <v>1127</v>
      </c>
      <c r="B124" t="str">
        <f t="shared" si="5"/>
        <v>Rhonda Ray</v>
      </c>
      <c r="C124" t="s">
        <v>179</v>
      </c>
      <c r="D124" t="s">
        <v>37</v>
      </c>
      <c r="E124" t="s">
        <v>90</v>
      </c>
      <c r="F124" t="str">
        <f>CONCATENATE(Table1[[#This Row],[Product_Category]]," - ",Table1[[#This Row],[Product_Name]])</f>
        <v>Dresses - Bodycon</v>
      </c>
      <c r="G124">
        <f>IF(H124="", AVERAGEIF(Table1[Product_Category],D124,$H$2:$H$474),H124)</f>
        <v>3</v>
      </c>
      <c r="H124">
        <v>3</v>
      </c>
      <c r="I124" s="2">
        <f t="shared" si="6"/>
        <v>4843.4399999999996</v>
      </c>
      <c r="J124">
        <v>4843.4399999999996</v>
      </c>
      <c r="K124">
        <f t="shared" si="7"/>
        <v>7.0000000000000007E-2</v>
      </c>
      <c r="L124">
        <v>7.0000000000000007E-2</v>
      </c>
      <c r="M124" s="2">
        <f t="shared" si="8"/>
        <v>13513.1976</v>
      </c>
      <c r="N124">
        <v>13513.2</v>
      </c>
      <c r="O124" t="s">
        <v>17</v>
      </c>
      <c r="P124" t="str">
        <f t="shared" si="9"/>
        <v>B2B</v>
      </c>
      <c r="Q124" t="s">
        <v>22</v>
      </c>
      <c r="R124">
        <v>2881.91</v>
      </c>
    </row>
    <row r="125" spans="1:18" x14ac:dyDescent="0.3">
      <c r="A125">
        <v>1128</v>
      </c>
      <c r="B125" t="str">
        <f t="shared" si="5"/>
        <v>Susan Anderson</v>
      </c>
      <c r="C125" t="s">
        <v>180</v>
      </c>
      <c r="D125" t="s">
        <v>32</v>
      </c>
      <c r="E125" t="s">
        <v>43</v>
      </c>
      <c r="F125" t="str">
        <f>CONCATENATE(Table1[[#This Row],[Product_Category]]," - ",Table1[[#This Row],[Product_Name]])</f>
        <v>T-Shirts - Oversized T-shirt</v>
      </c>
      <c r="G125" s="2">
        <f>IF(H125="", AVERAGEIF(Table1[Product_Category],D125,$H$2:$H$474),H125)</f>
        <v>1.5813953488372092</v>
      </c>
      <c r="I125" s="2">
        <f t="shared" si="6"/>
        <v>2715.2732432432431</v>
      </c>
      <c r="K125">
        <f t="shared" si="7"/>
        <v>0.43</v>
      </c>
      <c r="L125">
        <v>0.43</v>
      </c>
      <c r="M125" s="2">
        <f t="shared" si="8"/>
        <v>2447.5346722815843</v>
      </c>
      <c r="N125">
        <v>0</v>
      </c>
      <c r="O125" t="s">
        <v>552</v>
      </c>
      <c r="P125" t="str">
        <f t="shared" si="9"/>
        <v>B2C</v>
      </c>
      <c r="R125">
        <v>-68.489999999999995</v>
      </c>
    </row>
    <row r="126" spans="1:18" x14ac:dyDescent="0.3">
      <c r="A126">
        <v>1129</v>
      </c>
      <c r="B126" t="str">
        <f t="shared" si="5"/>
        <v>Miranda Thomas</v>
      </c>
      <c r="C126" t="s">
        <v>181</v>
      </c>
      <c r="D126" t="s">
        <v>12</v>
      </c>
      <c r="E126" t="s">
        <v>35</v>
      </c>
      <c r="F126" t="str">
        <f>CONCATENATE(Table1[[#This Row],[Product_Category]]," - ",Table1[[#This Row],[Product_Name]])</f>
        <v>Jeans - Boyfriend Jeans</v>
      </c>
      <c r="G126">
        <f>IF(H126="", AVERAGEIF(Table1[Product_Category],D126,$H$2:$H$474),H126)</f>
        <v>-2</v>
      </c>
      <c r="H126">
        <v>-2</v>
      </c>
      <c r="I126" s="2">
        <f t="shared" si="6"/>
        <v>2412.36</v>
      </c>
      <c r="J126">
        <v>2412.36</v>
      </c>
      <c r="K126">
        <f t="shared" si="7"/>
        <v>0.23</v>
      </c>
      <c r="L126">
        <v>0.23</v>
      </c>
      <c r="M126" s="2">
        <f t="shared" si="8"/>
        <v>-3715.0344000000005</v>
      </c>
      <c r="N126">
        <v>-3715.03</v>
      </c>
      <c r="O126" t="s">
        <v>21</v>
      </c>
      <c r="P126" t="str">
        <f t="shared" si="9"/>
        <v>B2C</v>
      </c>
      <c r="Q126" t="s">
        <v>15</v>
      </c>
      <c r="R126">
        <v>-668.36</v>
      </c>
    </row>
    <row r="127" spans="1:18" x14ac:dyDescent="0.3">
      <c r="A127">
        <v>1130</v>
      </c>
      <c r="B127" t="str">
        <f t="shared" si="5"/>
        <v>Samuel Miller</v>
      </c>
      <c r="C127" t="s">
        <v>31</v>
      </c>
      <c r="D127" t="s">
        <v>28</v>
      </c>
      <c r="E127" t="s">
        <v>41</v>
      </c>
      <c r="F127" t="str">
        <f>CONCATENATE(Table1[[#This Row],[Product_Category]]," - ",Table1[[#This Row],[Product_Name]])</f>
        <v>Accessories - Sunglasses</v>
      </c>
      <c r="G127" s="2">
        <f>IF(H127="", AVERAGEIF(Table1[Product_Category],D127,$H$2:$H$474),H127)</f>
        <v>2.5249999999999999</v>
      </c>
      <c r="I127" s="2">
        <f t="shared" si="6"/>
        <v>2755.6936585365856</v>
      </c>
      <c r="K127">
        <f t="shared" si="7"/>
        <v>0</v>
      </c>
      <c r="M127" s="2">
        <f t="shared" si="8"/>
        <v>6958.1264878048787</v>
      </c>
      <c r="N127">
        <v>0</v>
      </c>
      <c r="O127" t="s">
        <v>14</v>
      </c>
      <c r="P127" t="str">
        <f t="shared" si="9"/>
        <v>B2B</v>
      </c>
      <c r="Q127" t="s">
        <v>22</v>
      </c>
      <c r="R127">
        <v>2782.45</v>
      </c>
    </row>
    <row r="128" spans="1:18" x14ac:dyDescent="0.3">
      <c r="A128">
        <v>1131</v>
      </c>
      <c r="B128" t="str">
        <f t="shared" si="5"/>
        <v>Grace Chavez</v>
      </c>
      <c r="C128" t="s">
        <v>182</v>
      </c>
      <c r="D128" t="s">
        <v>32</v>
      </c>
      <c r="E128" t="s">
        <v>71</v>
      </c>
      <c r="F128" t="str">
        <f>CONCATENATE(Table1[[#This Row],[Product_Category]]," - ",Table1[[#This Row],[Product_Name]])</f>
        <v>T-Shirts - Classic Tee</v>
      </c>
      <c r="G128">
        <f>IF(H128="", AVERAGEIF(Table1[Product_Category],D128,$H$2:$H$474),H128)</f>
        <v>5</v>
      </c>
      <c r="H128">
        <v>5</v>
      </c>
      <c r="I128" s="2">
        <f t="shared" si="6"/>
        <v>2715.2732432432431</v>
      </c>
      <c r="K128">
        <f t="shared" si="7"/>
        <v>0.99</v>
      </c>
      <c r="L128">
        <v>0.99</v>
      </c>
      <c r="M128" s="2">
        <f t="shared" si="8"/>
        <v>135.76366216216226</v>
      </c>
      <c r="N128">
        <v>0</v>
      </c>
      <c r="O128" t="s">
        <v>14</v>
      </c>
      <c r="P128" t="str">
        <f t="shared" si="9"/>
        <v>B2C</v>
      </c>
      <c r="R128">
        <v>-941.56</v>
      </c>
    </row>
    <row r="129" spans="1:18" x14ac:dyDescent="0.3">
      <c r="A129">
        <v>1132</v>
      </c>
      <c r="B129" t="str">
        <f t="shared" si="5"/>
        <v>Andrew Carlson</v>
      </c>
      <c r="C129" t="s">
        <v>183</v>
      </c>
      <c r="D129" t="s">
        <v>19</v>
      </c>
      <c r="E129" t="s">
        <v>79</v>
      </c>
      <c r="F129" t="str">
        <f>CONCATENATE(Table1[[#This Row],[Product_Category]]," - ",Table1[[#This Row],[Product_Name]])</f>
        <v>Jackets - Bomber Jacket</v>
      </c>
      <c r="G129" s="2">
        <f>IF(H129="", AVERAGEIF(Table1[Product_Category],D129,$H$2:$H$474),H129)</f>
        <v>1.675</v>
      </c>
      <c r="I129" s="2">
        <f t="shared" si="6"/>
        <v>2952.3559374999995</v>
      </c>
      <c r="K129">
        <f t="shared" si="7"/>
        <v>0.57999999999999996</v>
      </c>
      <c r="L129">
        <v>0.57999999999999996</v>
      </c>
      <c r="M129" s="2">
        <f t="shared" si="8"/>
        <v>2076.9824020312499</v>
      </c>
      <c r="N129">
        <v>0</v>
      </c>
      <c r="O129" t="s">
        <v>14</v>
      </c>
      <c r="P129" t="str">
        <f t="shared" si="9"/>
        <v>B2B</v>
      </c>
      <c r="Q129" t="s">
        <v>22</v>
      </c>
      <c r="R129">
        <v>2043.57</v>
      </c>
    </row>
    <row r="130" spans="1:18" x14ac:dyDescent="0.3">
      <c r="A130">
        <v>1133</v>
      </c>
      <c r="B130" t="str">
        <f t="shared" ref="B130:B193" si="10">TRIM(SUBSTITUTE(SUBSTITUTE(SUBSTITUTE(SUBSTITUTE(C130,"Dr. ",""),"Mrs. ",""),"Mr. ",""),"Ms. ",""))</f>
        <v>Erin Williams</v>
      </c>
      <c r="C130" t="s">
        <v>184</v>
      </c>
      <c r="D130" t="s">
        <v>37</v>
      </c>
      <c r="E130" t="s">
        <v>38</v>
      </c>
      <c r="F130" t="str">
        <f>CONCATENATE(Table1[[#This Row],[Product_Category]]," - ",Table1[[#This Row],[Product_Name]])</f>
        <v>Dresses - Casual Midi</v>
      </c>
      <c r="G130" s="2">
        <f>IF(H130="", AVERAGEIF(Table1[Product_Category],D130,$H$2:$H$474),H130)</f>
        <v>2.0217391304347827</v>
      </c>
      <c r="I130" s="2">
        <f t="shared" ref="I130:I193" si="11">IF(J130="",AVERAGEIF($D$2:$D$474,D130,$J$2:$J$474),J130)</f>
        <v>2878.0747619047615</v>
      </c>
      <c r="K130">
        <f t="shared" ref="K130:K193" si="12">IF(AND(ISBLANK(L130),I130&gt;0,G130&gt;0,N130&gt;0), 1-(N130/(G130*I130)), L130)</f>
        <v>0.6</v>
      </c>
      <c r="L130">
        <v>0.6</v>
      </c>
      <c r="M130" s="2">
        <f t="shared" ref="M130:M193" si="13">G130*I130*(1-K130)</f>
        <v>2327.4865465838507</v>
      </c>
      <c r="N130">
        <v>0</v>
      </c>
      <c r="O130" t="s">
        <v>17</v>
      </c>
      <c r="P130" t="str">
        <f t="shared" ref="P130:P193" si="14">IF(Q130="",IF(O130="Ahmedabad","B2C",IF(O130="Bangalore","B2C",IF(O130="Hyderabad","B2B",IF(O130="Mumbai","B2C","B2C")))),Q130)</f>
        <v>B2C</v>
      </c>
      <c r="R130">
        <v>806.19</v>
      </c>
    </row>
    <row r="131" spans="1:18" x14ac:dyDescent="0.3">
      <c r="A131">
        <v>1134</v>
      </c>
      <c r="B131" t="str">
        <f t="shared" si="10"/>
        <v>Melissa Jenkins</v>
      </c>
      <c r="C131" t="s">
        <v>185</v>
      </c>
      <c r="D131" t="s">
        <v>37</v>
      </c>
      <c r="E131" t="s">
        <v>62</v>
      </c>
      <c r="F131" t="str">
        <f>CONCATENATE(Table1[[#This Row],[Product_Category]]," - ",Table1[[#This Row],[Product_Name]])</f>
        <v>Dresses - Wrap Dress</v>
      </c>
      <c r="G131">
        <f>IF(H131="", AVERAGEIF(Table1[Product_Category],D131,$H$2:$H$474),H131)</f>
        <v>3</v>
      </c>
      <c r="H131">
        <v>3</v>
      </c>
      <c r="I131" s="2">
        <f t="shared" si="11"/>
        <v>2878.0747619047615</v>
      </c>
      <c r="K131">
        <f t="shared" si="12"/>
        <v>0</v>
      </c>
      <c r="M131" s="2">
        <f t="shared" si="13"/>
        <v>8634.2242857142846</v>
      </c>
      <c r="N131">
        <v>0</v>
      </c>
      <c r="O131" t="s">
        <v>14</v>
      </c>
      <c r="P131" t="str">
        <f t="shared" si="14"/>
        <v>B2C</v>
      </c>
      <c r="Q131" t="s">
        <v>15</v>
      </c>
      <c r="R131">
        <v>1101.19</v>
      </c>
    </row>
    <row r="132" spans="1:18" x14ac:dyDescent="0.3">
      <c r="A132">
        <v>1135</v>
      </c>
      <c r="B132" t="str">
        <f t="shared" si="10"/>
        <v>Ronald Ballard</v>
      </c>
      <c r="C132" t="s">
        <v>186</v>
      </c>
      <c r="D132" t="s">
        <v>24</v>
      </c>
      <c r="E132" t="s">
        <v>53</v>
      </c>
      <c r="F132" t="str">
        <f>CONCATENATE(Table1[[#This Row],[Product_Category]]," - ",Table1[[#This Row],[Product_Name]])</f>
        <v>Shoes - Sneakers</v>
      </c>
      <c r="G132">
        <f>IF(H132="", AVERAGEIF(Table1[Product_Category],D132,$H$2:$H$474),H132)</f>
        <v>4</v>
      </c>
      <c r="H132">
        <v>4</v>
      </c>
      <c r="I132" s="2">
        <f t="shared" si="11"/>
        <v>1556.96</v>
      </c>
      <c r="J132">
        <v>1556.96</v>
      </c>
      <c r="K132">
        <f t="shared" si="12"/>
        <v>0.84</v>
      </c>
      <c r="L132">
        <v>0.84</v>
      </c>
      <c r="M132" s="2">
        <f t="shared" si="13"/>
        <v>996.45440000000019</v>
      </c>
      <c r="N132">
        <v>996.45</v>
      </c>
      <c r="O132" t="s">
        <v>21</v>
      </c>
      <c r="P132" t="str">
        <f t="shared" si="14"/>
        <v>B2B</v>
      </c>
      <c r="Q132" t="s">
        <v>22</v>
      </c>
      <c r="R132">
        <v>1432.84</v>
      </c>
    </row>
    <row r="133" spans="1:18" x14ac:dyDescent="0.3">
      <c r="A133">
        <v>1136</v>
      </c>
      <c r="B133" t="str">
        <f t="shared" si="10"/>
        <v>Danielle Johnson</v>
      </c>
      <c r="C133" t="s">
        <v>187</v>
      </c>
      <c r="D133" t="s">
        <v>12</v>
      </c>
      <c r="E133" t="s">
        <v>48</v>
      </c>
      <c r="F133" t="str">
        <f>CONCATENATE(Table1[[#This Row],[Product_Category]]," - ",Table1[[#This Row],[Product_Name]])</f>
        <v>Jeans - Straight Cut</v>
      </c>
      <c r="G133">
        <f>IF(H133="", AVERAGEIF(Table1[Product_Category],D133,$H$2:$H$474),H133)</f>
        <v>2</v>
      </c>
      <c r="I133" s="2">
        <f t="shared" si="11"/>
        <v>3658.42</v>
      </c>
      <c r="J133">
        <v>3658.42</v>
      </c>
      <c r="K133">
        <f t="shared" si="12"/>
        <v>0.47</v>
      </c>
      <c r="L133">
        <v>0.47</v>
      </c>
      <c r="M133" s="2">
        <f t="shared" si="13"/>
        <v>3877.9252000000001</v>
      </c>
      <c r="N133">
        <v>0</v>
      </c>
      <c r="O133" t="s">
        <v>21</v>
      </c>
      <c r="P133" t="str">
        <f t="shared" si="14"/>
        <v>B2C</v>
      </c>
      <c r="R133">
        <v>1897.33</v>
      </c>
    </row>
    <row r="134" spans="1:18" x14ac:dyDescent="0.3">
      <c r="A134">
        <v>1137</v>
      </c>
      <c r="B134" t="str">
        <f t="shared" si="10"/>
        <v>Jason Moore</v>
      </c>
      <c r="C134" t="s">
        <v>188</v>
      </c>
      <c r="D134" t="s">
        <v>24</v>
      </c>
      <c r="E134" t="s">
        <v>53</v>
      </c>
      <c r="F134" t="str">
        <f>CONCATENATE(Table1[[#This Row],[Product_Category]]," - ",Table1[[#This Row],[Product_Name]])</f>
        <v>Shoes - Sneakers</v>
      </c>
      <c r="G134" s="2">
        <f>IF(H134="", AVERAGEIF(Table1[Product_Category],D134,$H$2:$H$474),H134)</f>
        <v>1.5517241379310345</v>
      </c>
      <c r="I134" s="2">
        <f t="shared" si="11"/>
        <v>4206.0600000000004</v>
      </c>
      <c r="J134">
        <v>4206.0600000000004</v>
      </c>
      <c r="K134">
        <f t="shared" si="12"/>
        <v>0</v>
      </c>
      <c r="M134" s="2">
        <f t="shared" si="13"/>
        <v>6526.6448275862076</v>
      </c>
      <c r="N134">
        <v>0</v>
      </c>
      <c r="O134" t="s">
        <v>14</v>
      </c>
      <c r="P134" t="str">
        <f t="shared" si="14"/>
        <v>B2B</v>
      </c>
      <c r="Q134" t="s">
        <v>22</v>
      </c>
      <c r="R134">
        <v>1161.76</v>
      </c>
    </row>
    <row r="135" spans="1:18" x14ac:dyDescent="0.3">
      <c r="A135">
        <v>1138</v>
      </c>
      <c r="B135" t="str">
        <f t="shared" si="10"/>
        <v>Thomas Freeman</v>
      </c>
      <c r="C135" t="s">
        <v>189</v>
      </c>
      <c r="D135" t="s">
        <v>37</v>
      </c>
      <c r="E135" t="s">
        <v>90</v>
      </c>
      <c r="F135" t="str">
        <f>CONCATENATE(Table1[[#This Row],[Product_Category]]," - ",Table1[[#This Row],[Product_Name]])</f>
        <v>Dresses - Bodycon</v>
      </c>
      <c r="G135" s="2">
        <f>IF(H135="", AVERAGEIF(Table1[Product_Category],D135,$H$2:$H$474),H135)</f>
        <v>2.0217391304347827</v>
      </c>
      <c r="I135" s="2">
        <f t="shared" si="11"/>
        <v>2878.0747619047615</v>
      </c>
      <c r="K135">
        <f t="shared" si="12"/>
        <v>0.26</v>
      </c>
      <c r="L135">
        <v>0.26</v>
      </c>
      <c r="M135" s="2">
        <f t="shared" si="13"/>
        <v>4305.8501111801233</v>
      </c>
      <c r="N135">
        <v>0</v>
      </c>
      <c r="O135" t="s">
        <v>552</v>
      </c>
      <c r="P135" t="str">
        <f t="shared" si="14"/>
        <v>B2C</v>
      </c>
      <c r="Q135" t="s">
        <v>15</v>
      </c>
      <c r="R135">
        <v>-658.58</v>
      </c>
    </row>
    <row r="136" spans="1:18" x14ac:dyDescent="0.3">
      <c r="A136">
        <v>1139</v>
      </c>
      <c r="B136" t="str">
        <f t="shared" si="10"/>
        <v>Katherine Reyes</v>
      </c>
      <c r="C136" t="s">
        <v>190</v>
      </c>
      <c r="D136" t="s">
        <v>32</v>
      </c>
      <c r="E136" t="s">
        <v>81</v>
      </c>
      <c r="F136" t="str">
        <f>CONCATENATE(Table1[[#This Row],[Product_Category]]," - ",Table1[[#This Row],[Product_Name]])</f>
        <v>T-Shirts - Graphic Tee</v>
      </c>
      <c r="G136" s="2">
        <f>IF(H136="", AVERAGEIF(Table1[Product_Category],D136,$H$2:$H$474),H136)</f>
        <v>1.5813953488372092</v>
      </c>
      <c r="I136" s="2">
        <f t="shared" si="11"/>
        <v>2715.2732432432431</v>
      </c>
      <c r="K136">
        <f t="shared" si="12"/>
        <v>0.21</v>
      </c>
      <c r="L136">
        <v>0.21</v>
      </c>
      <c r="M136" s="2">
        <f t="shared" si="13"/>
        <v>3392.1971773727219</v>
      </c>
      <c r="N136">
        <v>0</v>
      </c>
      <c r="O136" t="s">
        <v>39</v>
      </c>
      <c r="P136" t="str">
        <f t="shared" si="14"/>
        <v>B2C</v>
      </c>
      <c r="R136">
        <v>-832.45</v>
      </c>
    </row>
    <row r="137" spans="1:18" x14ac:dyDescent="0.3">
      <c r="A137">
        <v>1140</v>
      </c>
      <c r="B137" t="str">
        <f t="shared" si="10"/>
        <v>Dawn Smith</v>
      </c>
      <c r="C137" t="s">
        <v>191</v>
      </c>
      <c r="D137" t="s">
        <v>28</v>
      </c>
      <c r="E137" t="s">
        <v>29</v>
      </c>
      <c r="F137" t="str">
        <f>CONCATENATE(Table1[[#This Row],[Product_Category]]," - ",Table1[[#This Row],[Product_Name]])</f>
        <v>Accessories - Belts</v>
      </c>
      <c r="G137">
        <f>IF(H137="", AVERAGEIF(Table1[Product_Category],D137,$H$2:$H$474),H137)</f>
        <v>4</v>
      </c>
      <c r="H137">
        <v>4</v>
      </c>
      <c r="I137" s="2">
        <f t="shared" si="11"/>
        <v>2755.6936585365856</v>
      </c>
      <c r="K137">
        <f t="shared" si="12"/>
        <v>0</v>
      </c>
      <c r="M137" s="2">
        <f t="shared" si="13"/>
        <v>11022.774634146343</v>
      </c>
      <c r="N137">
        <v>0</v>
      </c>
      <c r="O137" t="s">
        <v>552</v>
      </c>
      <c r="P137" t="str">
        <f t="shared" si="14"/>
        <v>B2B</v>
      </c>
      <c r="Q137" t="s">
        <v>22</v>
      </c>
      <c r="R137">
        <v>-127.91</v>
      </c>
    </row>
    <row r="138" spans="1:18" x14ac:dyDescent="0.3">
      <c r="A138">
        <v>1141</v>
      </c>
      <c r="B138" t="str">
        <f t="shared" si="10"/>
        <v>Sarah Pacheco</v>
      </c>
      <c r="C138" t="s">
        <v>192</v>
      </c>
      <c r="D138" t="s">
        <v>32</v>
      </c>
      <c r="E138" t="s">
        <v>81</v>
      </c>
      <c r="F138" t="str">
        <f>CONCATENATE(Table1[[#This Row],[Product_Category]]," - ",Table1[[#This Row],[Product_Name]])</f>
        <v>T-Shirts - Graphic Tee</v>
      </c>
      <c r="G138" s="2">
        <f>IF(H138="", AVERAGEIF(Table1[Product_Category],D138,$H$2:$H$474),H138)</f>
        <v>1.5813953488372092</v>
      </c>
      <c r="I138" s="2">
        <f t="shared" si="11"/>
        <v>2715.2732432432431</v>
      </c>
      <c r="K138">
        <f t="shared" si="12"/>
        <v>1.1499999999999999</v>
      </c>
      <c r="L138">
        <v>1.1499999999999999</v>
      </c>
      <c r="M138" s="2">
        <f t="shared" si="13"/>
        <v>-644.08807165304802</v>
      </c>
      <c r="N138">
        <v>0</v>
      </c>
      <c r="O138" t="s">
        <v>14</v>
      </c>
      <c r="P138" t="str">
        <f t="shared" si="14"/>
        <v>B2C</v>
      </c>
      <c r="Q138" t="s">
        <v>15</v>
      </c>
      <c r="R138">
        <v>429.67</v>
      </c>
    </row>
    <row r="139" spans="1:18" x14ac:dyDescent="0.3">
      <c r="A139">
        <v>1142</v>
      </c>
      <c r="B139" t="str">
        <f t="shared" si="10"/>
        <v>Daniel Alvarez</v>
      </c>
      <c r="C139" t="s">
        <v>193</v>
      </c>
      <c r="D139" t="s">
        <v>37</v>
      </c>
      <c r="E139" t="s">
        <v>90</v>
      </c>
      <c r="F139" t="str">
        <f>CONCATENATE(Table1[[#This Row],[Product_Category]]," - ",Table1[[#This Row],[Product_Name]])</f>
        <v>Dresses - Bodycon</v>
      </c>
      <c r="G139">
        <f>IF(H139="", AVERAGEIF(Table1[Product_Category],D139,$H$2:$H$474),H139)</f>
        <v>6</v>
      </c>
      <c r="H139">
        <v>6</v>
      </c>
      <c r="I139" s="2">
        <f t="shared" si="11"/>
        <v>3004.58</v>
      </c>
      <c r="J139">
        <v>3004.58</v>
      </c>
      <c r="K139">
        <f t="shared" si="12"/>
        <v>0</v>
      </c>
      <c r="M139" s="2">
        <f t="shared" si="13"/>
        <v>18027.48</v>
      </c>
      <c r="N139">
        <v>0</v>
      </c>
      <c r="O139" t="s">
        <v>552</v>
      </c>
      <c r="P139" t="str">
        <f t="shared" si="14"/>
        <v>B2C</v>
      </c>
      <c r="Q139" t="s">
        <v>15</v>
      </c>
      <c r="R139">
        <v>-509.67</v>
      </c>
    </row>
    <row r="140" spans="1:18" x14ac:dyDescent="0.3">
      <c r="A140">
        <v>1143</v>
      </c>
      <c r="B140" t="str">
        <f t="shared" si="10"/>
        <v>Bernard Ramirez</v>
      </c>
      <c r="C140" t="s">
        <v>194</v>
      </c>
      <c r="D140" t="s">
        <v>19</v>
      </c>
      <c r="E140" t="s">
        <v>87</v>
      </c>
      <c r="F140" t="str">
        <f>CONCATENATE(Table1[[#This Row],[Product_Category]]," - ",Table1[[#This Row],[Product_Name]])</f>
        <v>Jackets - Denim Jacket</v>
      </c>
      <c r="G140" s="2">
        <f>IF(H140="", AVERAGEIF(Table1[Product_Category],D140,$H$2:$H$474),H140)</f>
        <v>1.675</v>
      </c>
      <c r="I140" s="2">
        <f t="shared" si="11"/>
        <v>2952.3559374999995</v>
      </c>
      <c r="K140">
        <f t="shared" si="12"/>
        <v>0</v>
      </c>
      <c r="M140" s="2">
        <f t="shared" si="13"/>
        <v>4945.1961953124992</v>
      </c>
      <c r="N140">
        <v>0</v>
      </c>
      <c r="O140" t="s">
        <v>39</v>
      </c>
      <c r="P140" t="str">
        <f t="shared" si="14"/>
        <v>B2C</v>
      </c>
      <c r="R140">
        <v>816.49</v>
      </c>
    </row>
    <row r="141" spans="1:18" x14ac:dyDescent="0.3">
      <c r="A141">
        <v>1144</v>
      </c>
      <c r="B141" t="str">
        <f t="shared" si="10"/>
        <v>Julia Ramirez</v>
      </c>
      <c r="C141" t="s">
        <v>195</v>
      </c>
      <c r="D141" t="s">
        <v>12</v>
      </c>
      <c r="E141" t="s">
        <v>13</v>
      </c>
      <c r="F141" t="str">
        <f>CONCATENATE(Table1[[#This Row],[Product_Category]]," - ",Table1[[#This Row],[Product_Name]])</f>
        <v>Jeans - Slim Fit Jeans</v>
      </c>
      <c r="G141">
        <f>IF(H141="", AVERAGEIF(Table1[Product_Category],D141,$H$2:$H$474),H141)</f>
        <v>2</v>
      </c>
      <c r="I141" s="2">
        <f t="shared" si="11"/>
        <v>2592.8782222222212</v>
      </c>
      <c r="K141">
        <f t="shared" si="12"/>
        <v>0.19</v>
      </c>
      <c r="L141">
        <v>0.19</v>
      </c>
      <c r="M141" s="2">
        <f t="shared" si="13"/>
        <v>4200.4627199999986</v>
      </c>
      <c r="N141">
        <v>0</v>
      </c>
      <c r="O141" t="s">
        <v>21</v>
      </c>
      <c r="P141" t="str">
        <f t="shared" si="14"/>
        <v>B2C</v>
      </c>
      <c r="Q141" t="s">
        <v>15</v>
      </c>
      <c r="R141">
        <v>2966.21</v>
      </c>
    </row>
    <row r="142" spans="1:18" x14ac:dyDescent="0.3">
      <c r="A142">
        <v>1145</v>
      </c>
      <c r="B142" t="str">
        <f t="shared" si="10"/>
        <v>Jorge Anderson</v>
      </c>
      <c r="C142" t="s">
        <v>196</v>
      </c>
      <c r="D142" t="s">
        <v>32</v>
      </c>
      <c r="E142" t="s">
        <v>81</v>
      </c>
      <c r="F142" t="str">
        <f>CONCATENATE(Table1[[#This Row],[Product_Category]]," - ",Table1[[#This Row],[Product_Name]])</f>
        <v>T-Shirts - Graphic Tee</v>
      </c>
      <c r="G142">
        <f>IF(H142="", AVERAGEIF(Table1[Product_Category],D142,$H$2:$H$474),H142)</f>
        <v>-2</v>
      </c>
      <c r="H142">
        <v>-2</v>
      </c>
      <c r="I142" s="2">
        <f t="shared" si="11"/>
        <v>3607.9</v>
      </c>
      <c r="J142">
        <v>3607.9</v>
      </c>
      <c r="K142">
        <f t="shared" si="12"/>
        <v>0.94</v>
      </c>
      <c r="L142">
        <v>0.94</v>
      </c>
      <c r="M142" s="2">
        <f t="shared" si="13"/>
        <v>-432.94800000000038</v>
      </c>
      <c r="N142">
        <v>-432.95</v>
      </c>
      <c r="O142" t="s">
        <v>552</v>
      </c>
      <c r="P142" t="str">
        <f t="shared" si="14"/>
        <v>B2B</v>
      </c>
      <c r="Q142" t="s">
        <v>22</v>
      </c>
      <c r="R142">
        <v>-171.58</v>
      </c>
    </row>
    <row r="143" spans="1:18" x14ac:dyDescent="0.3">
      <c r="A143">
        <v>1146</v>
      </c>
      <c r="B143" t="str">
        <f t="shared" si="10"/>
        <v>Jacqueline Jenkins</v>
      </c>
      <c r="C143" t="s">
        <v>197</v>
      </c>
      <c r="D143" t="s">
        <v>28</v>
      </c>
      <c r="E143" t="s">
        <v>29</v>
      </c>
      <c r="F143" t="str">
        <f>CONCATENATE(Table1[[#This Row],[Product_Category]]," - ",Table1[[#This Row],[Product_Name]])</f>
        <v>Accessories - Belts</v>
      </c>
      <c r="G143" s="2">
        <f>IF(H143="", AVERAGEIF(Table1[Product_Category],D143,$H$2:$H$474),H143)</f>
        <v>2.5249999999999999</v>
      </c>
      <c r="I143" s="2">
        <f t="shared" si="11"/>
        <v>2755.6936585365856</v>
      </c>
      <c r="K143">
        <f t="shared" si="12"/>
        <v>1.0900000000000001</v>
      </c>
      <c r="L143">
        <v>1.0900000000000001</v>
      </c>
      <c r="M143" s="2">
        <f t="shared" si="13"/>
        <v>-626.23138390243969</v>
      </c>
      <c r="N143">
        <v>0</v>
      </c>
      <c r="O143" t="s">
        <v>45</v>
      </c>
      <c r="P143" t="str">
        <f t="shared" si="14"/>
        <v>B2C</v>
      </c>
      <c r="Q143" t="s">
        <v>15</v>
      </c>
      <c r="R143">
        <v>-431.7</v>
      </c>
    </row>
    <row r="144" spans="1:18" x14ac:dyDescent="0.3">
      <c r="A144">
        <v>1147</v>
      </c>
      <c r="B144" t="str">
        <f t="shared" si="10"/>
        <v>Tracy Miller</v>
      </c>
      <c r="C144" t="s">
        <v>198</v>
      </c>
      <c r="D144" t="s">
        <v>37</v>
      </c>
      <c r="E144" t="s">
        <v>38</v>
      </c>
      <c r="F144" t="str">
        <f>CONCATENATE(Table1[[#This Row],[Product_Category]]," - ",Table1[[#This Row],[Product_Name]])</f>
        <v>Dresses - Casual Midi</v>
      </c>
      <c r="G144" s="2">
        <f>IF(H144="", AVERAGEIF(Table1[Product_Category],D144,$H$2:$H$474),H144)</f>
        <v>2.0217391304347827</v>
      </c>
      <c r="I144" s="2">
        <f t="shared" si="11"/>
        <v>2875.46</v>
      </c>
      <c r="J144">
        <v>2875.46</v>
      </c>
      <c r="K144">
        <f t="shared" si="12"/>
        <v>0</v>
      </c>
      <c r="M144" s="2">
        <f t="shared" si="13"/>
        <v>5813.43</v>
      </c>
      <c r="N144">
        <v>0</v>
      </c>
      <c r="O144" t="s">
        <v>14</v>
      </c>
      <c r="P144" t="str">
        <f t="shared" si="14"/>
        <v>B2B</v>
      </c>
      <c r="Q144" t="s">
        <v>22</v>
      </c>
      <c r="R144">
        <v>-794.99</v>
      </c>
    </row>
    <row r="145" spans="1:18" x14ac:dyDescent="0.3">
      <c r="A145">
        <v>1148</v>
      </c>
      <c r="B145" t="str">
        <f t="shared" si="10"/>
        <v>Travis Lopez</v>
      </c>
      <c r="C145" t="s">
        <v>199</v>
      </c>
      <c r="D145" t="s">
        <v>28</v>
      </c>
      <c r="E145" t="s">
        <v>29</v>
      </c>
      <c r="F145" t="str">
        <f>CONCATENATE(Table1[[#This Row],[Product_Category]]," - ",Table1[[#This Row],[Product_Name]])</f>
        <v>Accessories - Belts</v>
      </c>
      <c r="G145" s="2">
        <f>IF(H145="", AVERAGEIF(Table1[Product_Category],D145,$H$2:$H$474),H145)</f>
        <v>2.5249999999999999</v>
      </c>
      <c r="I145" s="2">
        <f t="shared" si="11"/>
        <v>2471.48</v>
      </c>
      <c r="J145">
        <v>2471.48</v>
      </c>
      <c r="K145">
        <f t="shared" si="12"/>
        <v>1.1100000000000001</v>
      </c>
      <c r="L145">
        <v>1.1100000000000001</v>
      </c>
      <c r="M145" s="2">
        <f t="shared" si="13"/>
        <v>-686.45357000000058</v>
      </c>
      <c r="N145">
        <v>0</v>
      </c>
      <c r="O145" t="s">
        <v>21</v>
      </c>
      <c r="P145" t="str">
        <f t="shared" si="14"/>
        <v>B2C</v>
      </c>
      <c r="Q145" t="s">
        <v>15</v>
      </c>
      <c r="R145">
        <v>2247.9</v>
      </c>
    </row>
    <row r="146" spans="1:18" x14ac:dyDescent="0.3">
      <c r="A146">
        <v>1149</v>
      </c>
      <c r="B146" t="str">
        <f t="shared" si="10"/>
        <v>Steven Ortiz</v>
      </c>
      <c r="C146" t="s">
        <v>200</v>
      </c>
      <c r="D146" t="s">
        <v>37</v>
      </c>
      <c r="E146" t="s">
        <v>90</v>
      </c>
      <c r="F146" t="str">
        <f>CONCATENATE(Table1[[#This Row],[Product_Category]]," - ",Table1[[#This Row],[Product_Name]])</f>
        <v>Dresses - Bodycon</v>
      </c>
      <c r="G146">
        <f>IF(H146="", AVERAGEIF(Table1[Product_Category],D146,$H$2:$H$474),H146)</f>
        <v>2</v>
      </c>
      <c r="H146">
        <v>2</v>
      </c>
      <c r="I146" s="2">
        <f t="shared" si="11"/>
        <v>2878.0747619047615</v>
      </c>
      <c r="K146">
        <f t="shared" si="12"/>
        <v>0</v>
      </c>
      <c r="M146" s="2">
        <f t="shared" si="13"/>
        <v>5756.1495238095231</v>
      </c>
      <c r="N146">
        <v>0</v>
      </c>
      <c r="O146" t="s">
        <v>552</v>
      </c>
      <c r="P146" t="str">
        <f t="shared" si="14"/>
        <v>B2B</v>
      </c>
      <c r="Q146" t="s">
        <v>22</v>
      </c>
      <c r="R146">
        <v>562.69000000000005</v>
      </c>
    </row>
    <row r="147" spans="1:18" x14ac:dyDescent="0.3">
      <c r="A147">
        <v>1150</v>
      </c>
      <c r="B147" t="str">
        <f t="shared" si="10"/>
        <v>Brittany Robinson</v>
      </c>
      <c r="C147" t="s">
        <v>201</v>
      </c>
      <c r="D147" t="s">
        <v>28</v>
      </c>
      <c r="E147" t="s">
        <v>41</v>
      </c>
      <c r="F147" t="str">
        <f>CONCATENATE(Table1[[#This Row],[Product_Category]]," - ",Table1[[#This Row],[Product_Name]])</f>
        <v>Accessories - Sunglasses</v>
      </c>
      <c r="G147" s="2">
        <f>IF(H147="", AVERAGEIF(Table1[Product_Category],D147,$H$2:$H$474),H147)</f>
        <v>2.5249999999999999</v>
      </c>
      <c r="I147" s="2">
        <f t="shared" si="11"/>
        <v>1554.9</v>
      </c>
      <c r="J147">
        <v>1554.9</v>
      </c>
      <c r="K147">
        <f t="shared" si="12"/>
        <v>0</v>
      </c>
      <c r="M147" s="2">
        <f t="shared" si="13"/>
        <v>3926.1224999999999</v>
      </c>
      <c r="N147">
        <v>0</v>
      </c>
      <c r="O147" t="s">
        <v>17</v>
      </c>
      <c r="P147" t="str">
        <f t="shared" si="14"/>
        <v>B2C</v>
      </c>
      <c r="Q147" t="s">
        <v>15</v>
      </c>
      <c r="R147">
        <v>457.65</v>
      </c>
    </row>
    <row r="148" spans="1:18" x14ac:dyDescent="0.3">
      <c r="A148">
        <v>1151</v>
      </c>
      <c r="B148" t="str">
        <f t="shared" si="10"/>
        <v>Joseph Allen</v>
      </c>
      <c r="C148" t="s">
        <v>202</v>
      </c>
      <c r="D148" t="s">
        <v>12</v>
      </c>
      <c r="E148" t="s">
        <v>48</v>
      </c>
      <c r="F148" t="str">
        <f>CONCATENATE(Table1[[#This Row],[Product_Category]]," - ",Table1[[#This Row],[Product_Name]])</f>
        <v>Jeans - Straight Cut</v>
      </c>
      <c r="G148">
        <f>IF(H148="", AVERAGEIF(Table1[Product_Category],D148,$H$2:$H$474),H148)</f>
        <v>4</v>
      </c>
      <c r="H148">
        <v>4</v>
      </c>
      <c r="I148" s="2">
        <f t="shared" si="11"/>
        <v>2266.44</v>
      </c>
      <c r="J148">
        <v>2266.44</v>
      </c>
      <c r="K148">
        <f t="shared" si="12"/>
        <v>0.33</v>
      </c>
      <c r="L148">
        <v>0.33</v>
      </c>
      <c r="M148" s="2">
        <f t="shared" si="13"/>
        <v>6074.0591999999997</v>
      </c>
      <c r="N148">
        <v>6074.06</v>
      </c>
      <c r="O148" t="s">
        <v>45</v>
      </c>
      <c r="P148" t="str">
        <f t="shared" si="14"/>
        <v>B2C</v>
      </c>
      <c r="Q148" t="s">
        <v>15</v>
      </c>
      <c r="R148">
        <v>-655.45</v>
      </c>
    </row>
    <row r="149" spans="1:18" x14ac:dyDescent="0.3">
      <c r="A149">
        <v>1152</v>
      </c>
      <c r="B149" t="str">
        <f t="shared" si="10"/>
        <v>Matthew Deleon</v>
      </c>
      <c r="C149" t="s">
        <v>203</v>
      </c>
      <c r="D149" t="s">
        <v>24</v>
      </c>
      <c r="E149" t="s">
        <v>65</v>
      </c>
      <c r="F149" t="str">
        <f>CONCATENATE(Table1[[#This Row],[Product_Category]]," - ",Table1[[#This Row],[Product_Name]])</f>
        <v>Shoes - Slip-ons</v>
      </c>
      <c r="G149">
        <f>IF(H149="", AVERAGEIF(Table1[Product_Category],D149,$H$2:$H$474),H149)</f>
        <v>1</v>
      </c>
      <c r="H149">
        <v>1</v>
      </c>
      <c r="I149" s="2">
        <f t="shared" si="11"/>
        <v>2676.5783333333325</v>
      </c>
      <c r="K149">
        <f t="shared" si="12"/>
        <v>1.26</v>
      </c>
      <c r="L149">
        <v>1.26</v>
      </c>
      <c r="M149" s="2">
        <f t="shared" si="13"/>
        <v>-695.9103666666665</v>
      </c>
      <c r="N149">
        <v>0</v>
      </c>
      <c r="O149" t="s">
        <v>45</v>
      </c>
      <c r="P149" t="str">
        <f t="shared" si="14"/>
        <v>B2C</v>
      </c>
      <c r="R149">
        <v>454.45</v>
      </c>
    </row>
    <row r="150" spans="1:18" x14ac:dyDescent="0.3">
      <c r="A150">
        <v>1153</v>
      </c>
      <c r="B150" t="str">
        <f t="shared" si="10"/>
        <v>Julia Evans</v>
      </c>
      <c r="C150" t="s">
        <v>204</v>
      </c>
      <c r="D150" t="s">
        <v>28</v>
      </c>
      <c r="E150" t="s">
        <v>29</v>
      </c>
      <c r="F150" t="str">
        <f>CONCATENATE(Table1[[#This Row],[Product_Category]]," - ",Table1[[#This Row],[Product_Name]])</f>
        <v>Accessories - Belts</v>
      </c>
      <c r="G150">
        <f>IF(H150="", AVERAGEIF(Table1[Product_Category],D150,$H$2:$H$474),H150)</f>
        <v>1</v>
      </c>
      <c r="H150">
        <v>1</v>
      </c>
      <c r="I150" s="2">
        <f t="shared" si="11"/>
        <v>478.59</v>
      </c>
      <c r="J150">
        <v>478.59</v>
      </c>
      <c r="K150">
        <f t="shared" si="12"/>
        <v>0</v>
      </c>
      <c r="M150" s="2">
        <f t="shared" si="13"/>
        <v>478.59</v>
      </c>
      <c r="N150">
        <v>0</v>
      </c>
      <c r="O150" t="s">
        <v>14</v>
      </c>
      <c r="P150" t="str">
        <f t="shared" si="14"/>
        <v>B2B</v>
      </c>
      <c r="Q150" t="s">
        <v>22</v>
      </c>
      <c r="R150">
        <v>-681.2</v>
      </c>
    </row>
    <row r="151" spans="1:18" x14ac:dyDescent="0.3">
      <c r="A151">
        <v>1154</v>
      </c>
      <c r="B151" t="str">
        <f t="shared" si="10"/>
        <v>Robert Parks</v>
      </c>
      <c r="C151" t="s">
        <v>205</v>
      </c>
      <c r="D151" t="s">
        <v>28</v>
      </c>
      <c r="E151" t="s">
        <v>119</v>
      </c>
      <c r="F151" t="str">
        <f>CONCATENATE(Table1[[#This Row],[Product_Category]]," - ",Table1[[#This Row],[Product_Name]])</f>
        <v>Accessories - Watches</v>
      </c>
      <c r="G151" s="2">
        <f>IF(H151="", AVERAGEIF(Table1[Product_Category],D151,$H$2:$H$474),H151)</f>
        <v>2.5249999999999999</v>
      </c>
      <c r="I151" s="2">
        <f t="shared" si="11"/>
        <v>2755.6936585365856</v>
      </c>
      <c r="K151">
        <f t="shared" si="12"/>
        <v>0</v>
      </c>
      <c r="M151" s="2">
        <f t="shared" si="13"/>
        <v>6958.1264878048787</v>
      </c>
      <c r="N151">
        <v>0</v>
      </c>
      <c r="O151" t="s">
        <v>39</v>
      </c>
      <c r="P151" t="str">
        <f t="shared" si="14"/>
        <v>B2C</v>
      </c>
      <c r="Q151" t="s">
        <v>15</v>
      </c>
      <c r="R151">
        <v>52.85</v>
      </c>
    </row>
    <row r="152" spans="1:18" x14ac:dyDescent="0.3">
      <c r="A152">
        <v>1155</v>
      </c>
      <c r="B152" t="str">
        <f t="shared" si="10"/>
        <v>Sean Small</v>
      </c>
      <c r="C152" t="s">
        <v>206</v>
      </c>
      <c r="D152" t="s">
        <v>24</v>
      </c>
      <c r="E152" t="s">
        <v>65</v>
      </c>
      <c r="F152" t="str">
        <f>CONCATENATE(Table1[[#This Row],[Product_Category]]," - ",Table1[[#This Row],[Product_Name]])</f>
        <v>Shoes - Slip-ons</v>
      </c>
      <c r="G152" s="2">
        <f>IF(H152="", AVERAGEIF(Table1[Product_Category],D152,$H$2:$H$474),H152)</f>
        <v>1.5517241379310345</v>
      </c>
      <c r="I152" s="2">
        <f t="shared" si="11"/>
        <v>2676.5783333333325</v>
      </c>
      <c r="K152">
        <f t="shared" si="12"/>
        <v>0.64</v>
      </c>
      <c r="L152">
        <v>0.64</v>
      </c>
      <c r="M152" s="2">
        <f t="shared" si="13"/>
        <v>1495.1920344827581</v>
      </c>
      <c r="N152">
        <v>0</v>
      </c>
      <c r="O152" t="s">
        <v>21</v>
      </c>
      <c r="P152" t="str">
        <f t="shared" si="14"/>
        <v>B2C</v>
      </c>
      <c r="R152">
        <v>2493.12</v>
      </c>
    </row>
    <row r="153" spans="1:18" x14ac:dyDescent="0.3">
      <c r="A153">
        <v>1156</v>
      </c>
      <c r="B153" t="str">
        <f t="shared" si="10"/>
        <v>Jacob Moore</v>
      </c>
      <c r="C153" t="s">
        <v>207</v>
      </c>
      <c r="D153" t="s">
        <v>37</v>
      </c>
      <c r="E153" t="s">
        <v>62</v>
      </c>
      <c r="F153" t="str">
        <f>CONCATENATE(Table1[[#This Row],[Product_Category]]," - ",Table1[[#This Row],[Product_Name]])</f>
        <v>Dresses - Wrap Dress</v>
      </c>
      <c r="G153">
        <f>IF(H153="", AVERAGEIF(Table1[Product_Category],D153,$H$2:$H$474),H153)</f>
        <v>3</v>
      </c>
      <c r="H153">
        <v>3</v>
      </c>
      <c r="I153" s="2">
        <f t="shared" si="11"/>
        <v>2878.0747619047615</v>
      </c>
      <c r="K153">
        <f t="shared" si="12"/>
        <v>0.93</v>
      </c>
      <c r="L153">
        <v>0.93</v>
      </c>
      <c r="M153" s="2">
        <f t="shared" si="13"/>
        <v>604.39569999999947</v>
      </c>
      <c r="N153">
        <v>0</v>
      </c>
      <c r="O153" t="s">
        <v>14</v>
      </c>
      <c r="P153" t="str">
        <f t="shared" si="14"/>
        <v>B2C</v>
      </c>
      <c r="R153">
        <v>1699.17</v>
      </c>
    </row>
    <row r="154" spans="1:18" x14ac:dyDescent="0.3">
      <c r="A154">
        <v>1157</v>
      </c>
      <c r="B154" t="str">
        <f t="shared" si="10"/>
        <v>Dean Allen</v>
      </c>
      <c r="C154" t="s">
        <v>208</v>
      </c>
      <c r="D154" t="s">
        <v>12</v>
      </c>
      <c r="E154" t="s">
        <v>101</v>
      </c>
      <c r="F154" t="str">
        <f>CONCATENATE(Table1[[#This Row],[Product_Category]]," - ",Table1[[#This Row],[Product_Name]])</f>
        <v>Jeans - Ripped Denim</v>
      </c>
      <c r="G154">
        <f>IF(H154="", AVERAGEIF(Table1[Product_Category],D154,$H$2:$H$474),H154)</f>
        <v>6</v>
      </c>
      <c r="H154">
        <v>6</v>
      </c>
      <c r="I154" s="2">
        <f t="shared" si="11"/>
        <v>645.03</v>
      </c>
      <c r="J154">
        <v>645.03</v>
      </c>
      <c r="K154">
        <f t="shared" si="12"/>
        <v>0</v>
      </c>
      <c r="M154" s="2">
        <f t="shared" si="13"/>
        <v>3870.18</v>
      </c>
      <c r="N154">
        <v>0</v>
      </c>
      <c r="O154" t="s">
        <v>17</v>
      </c>
      <c r="P154" t="str">
        <f t="shared" si="14"/>
        <v>B2C</v>
      </c>
      <c r="Q154" t="s">
        <v>15</v>
      </c>
      <c r="R154">
        <v>2724.92</v>
      </c>
    </row>
    <row r="155" spans="1:18" x14ac:dyDescent="0.3">
      <c r="A155">
        <v>1158</v>
      </c>
      <c r="B155" t="str">
        <f t="shared" si="10"/>
        <v>Vicki Jackson</v>
      </c>
      <c r="C155" t="s">
        <v>209</v>
      </c>
      <c r="D155" t="s">
        <v>37</v>
      </c>
      <c r="E155" t="s">
        <v>62</v>
      </c>
      <c r="F155" t="str">
        <f>CONCATENATE(Table1[[#This Row],[Product_Category]]," - ",Table1[[#This Row],[Product_Name]])</f>
        <v>Dresses - Wrap Dress</v>
      </c>
      <c r="G155" s="2">
        <f>IF(H155="", AVERAGEIF(Table1[Product_Category],D155,$H$2:$H$474),H155)</f>
        <v>2.0217391304347827</v>
      </c>
      <c r="I155" s="2">
        <f t="shared" si="11"/>
        <v>4516.08</v>
      </c>
      <c r="J155">
        <v>4516.08</v>
      </c>
      <c r="K155">
        <f t="shared" si="12"/>
        <v>0</v>
      </c>
      <c r="M155" s="2">
        <f t="shared" si="13"/>
        <v>9130.3356521739133</v>
      </c>
      <c r="N155">
        <v>0</v>
      </c>
      <c r="O155" t="s">
        <v>14</v>
      </c>
      <c r="P155" t="str">
        <f t="shared" si="14"/>
        <v>B2B</v>
      </c>
      <c r="Q155" t="s">
        <v>22</v>
      </c>
      <c r="R155">
        <v>2164.9499999999998</v>
      </c>
    </row>
    <row r="156" spans="1:18" x14ac:dyDescent="0.3">
      <c r="A156">
        <v>1159</v>
      </c>
      <c r="B156" t="str">
        <f t="shared" si="10"/>
        <v>Robert Knox</v>
      </c>
      <c r="C156" t="s">
        <v>210</v>
      </c>
      <c r="D156" t="s">
        <v>24</v>
      </c>
      <c r="E156" t="s">
        <v>53</v>
      </c>
      <c r="F156" t="str">
        <f>CONCATENATE(Table1[[#This Row],[Product_Category]]," - ",Table1[[#This Row],[Product_Name]])</f>
        <v>Shoes - Sneakers</v>
      </c>
      <c r="G156" s="2">
        <f>IF(H156="", AVERAGEIF(Table1[Product_Category],D156,$H$2:$H$474),H156)</f>
        <v>1.5517241379310345</v>
      </c>
      <c r="I156" s="2">
        <f t="shared" si="11"/>
        <v>3335.18</v>
      </c>
      <c r="J156">
        <v>3335.18</v>
      </c>
      <c r="K156">
        <f t="shared" si="12"/>
        <v>0.09</v>
      </c>
      <c r="L156">
        <v>0.09</v>
      </c>
      <c r="M156" s="2">
        <f t="shared" si="13"/>
        <v>4709.5041724137936</v>
      </c>
      <c r="N156">
        <v>0</v>
      </c>
      <c r="O156" t="s">
        <v>17</v>
      </c>
      <c r="P156" t="str">
        <f t="shared" si="14"/>
        <v>B2C</v>
      </c>
      <c r="Q156" t="s">
        <v>15</v>
      </c>
      <c r="R156">
        <v>235.11</v>
      </c>
    </row>
    <row r="157" spans="1:18" x14ac:dyDescent="0.3">
      <c r="A157">
        <v>1160</v>
      </c>
      <c r="B157" t="str">
        <f t="shared" si="10"/>
        <v>Ruben Oconnell</v>
      </c>
      <c r="C157" t="s">
        <v>211</v>
      </c>
      <c r="D157" t="s">
        <v>37</v>
      </c>
      <c r="E157" t="s">
        <v>38</v>
      </c>
      <c r="F157" t="str">
        <f>CONCATENATE(Table1[[#This Row],[Product_Category]]," - ",Table1[[#This Row],[Product_Name]])</f>
        <v>Dresses - Casual Midi</v>
      </c>
      <c r="G157">
        <f>IF(H157="", AVERAGEIF(Table1[Product_Category],D157,$H$2:$H$474),H157)</f>
        <v>0</v>
      </c>
      <c r="H157">
        <v>0</v>
      </c>
      <c r="I157" s="2">
        <f t="shared" si="11"/>
        <v>2878.0747619047615</v>
      </c>
      <c r="K157">
        <f t="shared" si="12"/>
        <v>0.77</v>
      </c>
      <c r="L157">
        <v>0.77</v>
      </c>
      <c r="M157" s="2">
        <f t="shared" si="13"/>
        <v>0</v>
      </c>
      <c r="N157">
        <v>0</v>
      </c>
      <c r="O157" t="s">
        <v>552</v>
      </c>
      <c r="P157" t="str">
        <f t="shared" si="14"/>
        <v>B2C</v>
      </c>
      <c r="R157">
        <v>-711.19</v>
      </c>
    </row>
    <row r="158" spans="1:18" x14ac:dyDescent="0.3">
      <c r="A158">
        <v>1161</v>
      </c>
      <c r="B158" t="str">
        <f t="shared" si="10"/>
        <v>Laura Gallegos</v>
      </c>
      <c r="C158" t="s">
        <v>212</v>
      </c>
      <c r="D158" t="s">
        <v>32</v>
      </c>
      <c r="E158" t="s">
        <v>71</v>
      </c>
      <c r="F158" t="str">
        <f>CONCATENATE(Table1[[#This Row],[Product_Category]]," - ",Table1[[#This Row],[Product_Name]])</f>
        <v>T-Shirts - Classic Tee</v>
      </c>
      <c r="G158" s="2">
        <f>IF(H158="", AVERAGEIF(Table1[Product_Category],D158,$H$2:$H$474),H158)</f>
        <v>1.5813953488372092</v>
      </c>
      <c r="I158" s="2">
        <f t="shared" si="11"/>
        <v>1801.91</v>
      </c>
      <c r="J158">
        <v>1801.91</v>
      </c>
      <c r="K158">
        <f t="shared" si="12"/>
        <v>0</v>
      </c>
      <c r="M158" s="2">
        <f t="shared" si="13"/>
        <v>2849.5320930232556</v>
      </c>
      <c r="N158">
        <v>0</v>
      </c>
      <c r="O158" t="s">
        <v>21</v>
      </c>
      <c r="P158" t="str">
        <f t="shared" si="14"/>
        <v>B2C</v>
      </c>
      <c r="R158">
        <v>502.86</v>
      </c>
    </row>
    <row r="159" spans="1:18" x14ac:dyDescent="0.3">
      <c r="A159">
        <v>1162</v>
      </c>
      <c r="B159" t="str">
        <f t="shared" si="10"/>
        <v>Christopher Harvey</v>
      </c>
      <c r="C159" t="s">
        <v>213</v>
      </c>
      <c r="D159" t="s">
        <v>24</v>
      </c>
      <c r="E159" t="s">
        <v>85</v>
      </c>
      <c r="F159" t="str">
        <f>CONCATENATE(Table1[[#This Row],[Product_Category]]," - ",Table1[[#This Row],[Product_Name]])</f>
        <v>Shoes - Boots</v>
      </c>
      <c r="G159">
        <f>IF(H159="", AVERAGEIF(Table1[Product_Category],D159,$H$2:$H$474),H159)</f>
        <v>4</v>
      </c>
      <c r="H159">
        <v>4</v>
      </c>
      <c r="I159" s="2">
        <f t="shared" si="11"/>
        <v>2676.5783333333325</v>
      </c>
      <c r="K159">
        <f t="shared" si="12"/>
        <v>0.14000000000000001</v>
      </c>
      <c r="L159">
        <v>0.14000000000000001</v>
      </c>
      <c r="M159" s="2">
        <f t="shared" si="13"/>
        <v>9207.4294666666628</v>
      </c>
      <c r="N159">
        <v>0</v>
      </c>
      <c r="O159" t="s">
        <v>21</v>
      </c>
      <c r="P159" t="str">
        <f t="shared" si="14"/>
        <v>B2C</v>
      </c>
      <c r="Q159" t="s">
        <v>15</v>
      </c>
      <c r="R159">
        <v>2566.0500000000002</v>
      </c>
    </row>
    <row r="160" spans="1:18" x14ac:dyDescent="0.3">
      <c r="A160">
        <v>1163</v>
      </c>
      <c r="B160" t="str">
        <f t="shared" si="10"/>
        <v>Scott Hampton</v>
      </c>
      <c r="C160" t="s">
        <v>214</v>
      </c>
      <c r="D160" t="s">
        <v>28</v>
      </c>
      <c r="E160" t="s">
        <v>41</v>
      </c>
      <c r="F160" t="str">
        <f>CONCATENATE(Table1[[#This Row],[Product_Category]]," - ",Table1[[#This Row],[Product_Name]])</f>
        <v>Accessories - Sunglasses</v>
      </c>
      <c r="G160" s="2">
        <f>IF(H160="", AVERAGEIF(Table1[Product_Category],D160,$H$2:$H$474),H160)</f>
        <v>2.5249999999999999</v>
      </c>
      <c r="I160" s="2">
        <f t="shared" si="11"/>
        <v>1033.58</v>
      </c>
      <c r="J160">
        <v>1033.58</v>
      </c>
      <c r="K160">
        <f t="shared" si="12"/>
        <v>0.68</v>
      </c>
      <c r="L160">
        <v>0.68</v>
      </c>
      <c r="M160" s="2">
        <f t="shared" si="13"/>
        <v>835.13263999999981</v>
      </c>
      <c r="N160">
        <v>0</v>
      </c>
      <c r="O160" t="s">
        <v>39</v>
      </c>
      <c r="P160" t="str">
        <f t="shared" si="14"/>
        <v>B2C</v>
      </c>
      <c r="Q160" t="s">
        <v>15</v>
      </c>
      <c r="R160">
        <v>-441.46</v>
      </c>
    </row>
    <row r="161" spans="1:18" x14ac:dyDescent="0.3">
      <c r="A161">
        <v>1164</v>
      </c>
      <c r="B161" t="str">
        <f t="shared" si="10"/>
        <v>Steven Ingram</v>
      </c>
      <c r="C161" t="s">
        <v>215</v>
      </c>
      <c r="D161" t="s">
        <v>28</v>
      </c>
      <c r="E161" t="s">
        <v>41</v>
      </c>
      <c r="F161" t="str">
        <f>CONCATENATE(Table1[[#This Row],[Product_Category]]," - ",Table1[[#This Row],[Product_Name]])</f>
        <v>Accessories - Sunglasses</v>
      </c>
      <c r="G161">
        <f>IF(H161="", AVERAGEIF(Table1[Product_Category],D161,$H$2:$H$474),H161)</f>
        <v>5</v>
      </c>
      <c r="H161">
        <v>5</v>
      </c>
      <c r="I161" s="2">
        <f t="shared" si="11"/>
        <v>2755.6936585365856</v>
      </c>
      <c r="K161">
        <f t="shared" si="12"/>
        <v>0</v>
      </c>
      <c r="M161" s="2">
        <f t="shared" si="13"/>
        <v>13778.468292682928</v>
      </c>
      <c r="N161">
        <v>0</v>
      </c>
      <c r="O161" t="s">
        <v>552</v>
      </c>
      <c r="P161" t="str">
        <f t="shared" si="14"/>
        <v>B2B</v>
      </c>
      <c r="Q161" t="s">
        <v>22</v>
      </c>
      <c r="R161">
        <v>598.79</v>
      </c>
    </row>
    <row r="162" spans="1:18" x14ac:dyDescent="0.3">
      <c r="A162">
        <v>1165</v>
      </c>
      <c r="B162" t="str">
        <f t="shared" si="10"/>
        <v>Joshua Jones</v>
      </c>
      <c r="C162" t="s">
        <v>216</v>
      </c>
      <c r="D162" t="s">
        <v>32</v>
      </c>
      <c r="E162" t="s">
        <v>71</v>
      </c>
      <c r="F162" t="str">
        <f>CONCATENATE(Table1[[#This Row],[Product_Category]]," - ",Table1[[#This Row],[Product_Name]])</f>
        <v>T-Shirts - Classic Tee</v>
      </c>
      <c r="G162">
        <f>IF(H162="", AVERAGEIF(Table1[Product_Category],D162,$H$2:$H$474),H162)</f>
        <v>2</v>
      </c>
      <c r="H162">
        <v>2</v>
      </c>
      <c r="I162" s="2">
        <f t="shared" si="11"/>
        <v>2715.2732432432431</v>
      </c>
      <c r="K162">
        <f t="shared" si="12"/>
        <v>0.08</v>
      </c>
      <c r="L162">
        <v>0.08</v>
      </c>
      <c r="M162" s="2">
        <f t="shared" si="13"/>
        <v>4996.1027675675678</v>
      </c>
      <c r="N162">
        <v>0</v>
      </c>
      <c r="O162" t="s">
        <v>39</v>
      </c>
      <c r="P162" t="str">
        <f t="shared" si="14"/>
        <v>B2B</v>
      </c>
      <c r="Q162" t="s">
        <v>22</v>
      </c>
      <c r="R162">
        <v>-102.32</v>
      </c>
    </row>
    <row r="163" spans="1:18" x14ac:dyDescent="0.3">
      <c r="A163">
        <v>1166</v>
      </c>
      <c r="B163" t="str">
        <f t="shared" si="10"/>
        <v>Jennifer Johnson</v>
      </c>
      <c r="C163" t="s">
        <v>217</v>
      </c>
      <c r="D163" t="s">
        <v>19</v>
      </c>
      <c r="E163" t="s">
        <v>79</v>
      </c>
      <c r="F163" t="str">
        <f>CONCATENATE(Table1[[#This Row],[Product_Category]]," - ",Table1[[#This Row],[Product_Name]])</f>
        <v>Jackets - Bomber Jacket</v>
      </c>
      <c r="G163" s="2">
        <f>IF(H163="", AVERAGEIF(Table1[Product_Category],D163,$H$2:$H$474),H163)</f>
        <v>1.675</v>
      </c>
      <c r="I163" s="2">
        <f t="shared" si="11"/>
        <v>2952.3559374999995</v>
      </c>
      <c r="K163">
        <f t="shared" si="12"/>
        <v>0.91</v>
      </c>
      <c r="L163">
        <v>0.91</v>
      </c>
      <c r="M163" s="2">
        <f t="shared" si="13"/>
        <v>445.06765757812479</v>
      </c>
      <c r="N163">
        <v>0</v>
      </c>
      <c r="O163" t="s">
        <v>17</v>
      </c>
      <c r="P163" t="str">
        <f t="shared" si="14"/>
        <v>B2C</v>
      </c>
      <c r="R163">
        <v>285.44</v>
      </c>
    </row>
    <row r="164" spans="1:18" x14ac:dyDescent="0.3">
      <c r="A164">
        <v>1167</v>
      </c>
      <c r="B164" t="str">
        <f t="shared" si="10"/>
        <v>Robert Evans</v>
      </c>
      <c r="C164" t="s">
        <v>218</v>
      </c>
      <c r="D164" t="s">
        <v>32</v>
      </c>
      <c r="E164" t="s">
        <v>43</v>
      </c>
      <c r="F164" t="str">
        <f>CONCATENATE(Table1[[#This Row],[Product_Category]]," - ",Table1[[#This Row],[Product_Name]])</f>
        <v>T-Shirts - Oversized T-shirt</v>
      </c>
      <c r="G164">
        <f>IF(H164="", AVERAGEIF(Table1[Product_Category],D164,$H$2:$H$474),H164)</f>
        <v>0</v>
      </c>
      <c r="H164">
        <v>0</v>
      </c>
      <c r="I164" s="2">
        <f t="shared" si="11"/>
        <v>4595.8999999999996</v>
      </c>
      <c r="J164">
        <v>4595.8999999999996</v>
      </c>
      <c r="K164">
        <f t="shared" si="12"/>
        <v>0.09</v>
      </c>
      <c r="L164">
        <v>0.09</v>
      </c>
      <c r="M164" s="2">
        <f t="shared" si="13"/>
        <v>0</v>
      </c>
      <c r="N164">
        <v>0</v>
      </c>
      <c r="O164" t="s">
        <v>39</v>
      </c>
      <c r="P164" t="str">
        <f t="shared" si="14"/>
        <v>B2C</v>
      </c>
      <c r="R164">
        <v>-653.79999999999995</v>
      </c>
    </row>
    <row r="165" spans="1:18" x14ac:dyDescent="0.3">
      <c r="A165">
        <v>1168</v>
      </c>
      <c r="B165" t="str">
        <f t="shared" si="10"/>
        <v>Eugene Olson Jr.</v>
      </c>
      <c r="C165" t="s">
        <v>219</v>
      </c>
      <c r="D165" t="s">
        <v>28</v>
      </c>
      <c r="E165" t="s">
        <v>41</v>
      </c>
      <c r="F165" t="str">
        <f>CONCATENATE(Table1[[#This Row],[Product_Category]]," - ",Table1[[#This Row],[Product_Name]])</f>
        <v>Accessories - Sunglasses</v>
      </c>
      <c r="G165">
        <f>IF(H165="", AVERAGEIF(Table1[Product_Category],D165,$H$2:$H$474),H165)</f>
        <v>0</v>
      </c>
      <c r="H165">
        <v>0</v>
      </c>
      <c r="I165" s="2">
        <f t="shared" si="11"/>
        <v>3655.71</v>
      </c>
      <c r="J165">
        <v>3655.71</v>
      </c>
      <c r="K165">
        <f t="shared" si="12"/>
        <v>0.48</v>
      </c>
      <c r="L165">
        <v>0.48</v>
      </c>
      <c r="M165" s="2">
        <f t="shared" si="13"/>
        <v>0</v>
      </c>
      <c r="N165">
        <v>0</v>
      </c>
      <c r="O165" t="s">
        <v>552</v>
      </c>
      <c r="P165" t="str">
        <f t="shared" si="14"/>
        <v>B2C</v>
      </c>
      <c r="R165">
        <v>2024.15</v>
      </c>
    </row>
    <row r="166" spans="1:18" x14ac:dyDescent="0.3">
      <c r="A166">
        <v>1169</v>
      </c>
      <c r="B166" t="str">
        <f t="shared" si="10"/>
        <v>Kristine Sexton</v>
      </c>
      <c r="C166" t="s">
        <v>220</v>
      </c>
      <c r="D166" t="s">
        <v>32</v>
      </c>
      <c r="E166" t="s">
        <v>71</v>
      </c>
      <c r="F166" t="str">
        <f>CONCATENATE(Table1[[#This Row],[Product_Category]]," - ",Table1[[#This Row],[Product_Name]])</f>
        <v>T-Shirts - Classic Tee</v>
      </c>
      <c r="G166">
        <f>IF(H166="", AVERAGEIF(Table1[Product_Category],D166,$H$2:$H$474),H166)</f>
        <v>-1</v>
      </c>
      <c r="H166">
        <v>-1</v>
      </c>
      <c r="I166" s="2">
        <f t="shared" si="11"/>
        <v>2948.26</v>
      </c>
      <c r="J166">
        <v>2948.26</v>
      </c>
      <c r="K166">
        <f t="shared" si="12"/>
        <v>0.9</v>
      </c>
      <c r="L166">
        <v>0.9</v>
      </c>
      <c r="M166" s="2">
        <f t="shared" si="13"/>
        <v>-294.82599999999996</v>
      </c>
      <c r="N166">
        <v>-294.83</v>
      </c>
      <c r="O166" t="s">
        <v>45</v>
      </c>
      <c r="P166" t="str">
        <f t="shared" si="14"/>
        <v>B2C</v>
      </c>
      <c r="R166">
        <v>1285.1500000000001</v>
      </c>
    </row>
    <row r="167" spans="1:18" x14ac:dyDescent="0.3">
      <c r="A167">
        <v>1170</v>
      </c>
      <c r="B167" t="str">
        <f t="shared" si="10"/>
        <v>Marc Hull</v>
      </c>
      <c r="C167" t="s">
        <v>221</v>
      </c>
      <c r="D167" t="s">
        <v>12</v>
      </c>
      <c r="E167" t="s">
        <v>48</v>
      </c>
      <c r="F167" t="str">
        <f>CONCATENATE(Table1[[#This Row],[Product_Category]]," - ",Table1[[#This Row],[Product_Name]])</f>
        <v>Jeans - Straight Cut</v>
      </c>
      <c r="G167">
        <f>IF(H167="", AVERAGEIF(Table1[Product_Category],D167,$H$2:$H$474),H167)</f>
        <v>0</v>
      </c>
      <c r="H167">
        <v>0</v>
      </c>
      <c r="I167" s="2">
        <f t="shared" si="11"/>
        <v>2592.8782222222212</v>
      </c>
      <c r="K167">
        <f t="shared" si="12"/>
        <v>0.76</v>
      </c>
      <c r="L167">
        <v>0.76</v>
      </c>
      <c r="M167" s="2">
        <f t="shared" si="13"/>
        <v>0</v>
      </c>
      <c r="N167">
        <v>0</v>
      </c>
      <c r="O167" t="s">
        <v>14</v>
      </c>
      <c r="P167" t="str">
        <f t="shared" si="14"/>
        <v>B2C</v>
      </c>
      <c r="Q167" t="s">
        <v>15</v>
      </c>
      <c r="R167">
        <v>-528.70000000000005</v>
      </c>
    </row>
    <row r="168" spans="1:18" x14ac:dyDescent="0.3">
      <c r="A168">
        <v>1171</v>
      </c>
      <c r="B168" t="str">
        <f t="shared" si="10"/>
        <v>Richard Johnson</v>
      </c>
      <c r="C168" t="s">
        <v>222</v>
      </c>
      <c r="D168" t="s">
        <v>12</v>
      </c>
      <c r="E168" t="s">
        <v>48</v>
      </c>
      <c r="F168" t="str">
        <f>CONCATENATE(Table1[[#This Row],[Product_Category]]," - ",Table1[[#This Row],[Product_Name]])</f>
        <v>Jeans - Straight Cut</v>
      </c>
      <c r="G168">
        <f>IF(H168="", AVERAGEIF(Table1[Product_Category],D168,$H$2:$H$474),H168)</f>
        <v>1</v>
      </c>
      <c r="H168">
        <v>1</v>
      </c>
      <c r="I168" s="2">
        <f t="shared" si="11"/>
        <v>2592.8782222222212</v>
      </c>
      <c r="K168">
        <f t="shared" si="12"/>
        <v>0</v>
      </c>
      <c r="M168" s="2">
        <f t="shared" si="13"/>
        <v>2592.8782222222212</v>
      </c>
      <c r="N168">
        <v>0</v>
      </c>
      <c r="O168" t="s">
        <v>45</v>
      </c>
      <c r="P168" t="str">
        <f t="shared" si="14"/>
        <v>B2B</v>
      </c>
      <c r="Q168" t="s">
        <v>22</v>
      </c>
      <c r="R168">
        <v>2475.83</v>
      </c>
    </row>
    <row r="169" spans="1:18" x14ac:dyDescent="0.3">
      <c r="A169">
        <v>1172</v>
      </c>
      <c r="B169" t="str">
        <f t="shared" si="10"/>
        <v>Diane Davis</v>
      </c>
      <c r="C169" t="s">
        <v>223</v>
      </c>
      <c r="D169" t="s">
        <v>19</v>
      </c>
      <c r="E169" t="s">
        <v>20</v>
      </c>
      <c r="F169" t="str">
        <f>CONCATENATE(Table1[[#This Row],[Product_Category]]," - ",Table1[[#This Row],[Product_Name]])</f>
        <v>Jackets - Puffer Coat</v>
      </c>
      <c r="G169">
        <f>IF(H169="", AVERAGEIF(Table1[Product_Category],D169,$H$2:$H$474),H169)</f>
        <v>-2</v>
      </c>
      <c r="H169">
        <v>-2</v>
      </c>
      <c r="I169" s="2">
        <f t="shared" si="11"/>
        <v>2719.32</v>
      </c>
      <c r="J169">
        <v>2719.32</v>
      </c>
      <c r="K169">
        <f t="shared" si="12"/>
        <v>0</v>
      </c>
      <c r="M169" s="2">
        <f t="shared" si="13"/>
        <v>-5438.64</v>
      </c>
      <c r="N169">
        <v>0</v>
      </c>
      <c r="O169" t="s">
        <v>552</v>
      </c>
      <c r="P169" t="str">
        <f t="shared" si="14"/>
        <v>B2C</v>
      </c>
      <c r="Q169" t="s">
        <v>15</v>
      </c>
      <c r="R169">
        <v>655.1</v>
      </c>
    </row>
    <row r="170" spans="1:18" x14ac:dyDescent="0.3">
      <c r="A170">
        <v>1173</v>
      </c>
      <c r="B170" t="str">
        <f t="shared" si="10"/>
        <v>Shaun Bush</v>
      </c>
      <c r="C170" t="s">
        <v>224</v>
      </c>
      <c r="D170" t="s">
        <v>12</v>
      </c>
      <c r="E170" t="s">
        <v>35</v>
      </c>
      <c r="F170" t="str">
        <f>CONCATENATE(Table1[[#This Row],[Product_Category]]," - ",Table1[[#This Row],[Product_Name]])</f>
        <v>Jeans - Boyfriend Jeans</v>
      </c>
      <c r="G170">
        <f>IF(H170="", AVERAGEIF(Table1[Product_Category],D170,$H$2:$H$474),H170)</f>
        <v>2</v>
      </c>
      <c r="I170" s="2">
        <f t="shared" si="11"/>
        <v>4063.39</v>
      </c>
      <c r="J170">
        <v>4063.39</v>
      </c>
      <c r="K170">
        <f t="shared" si="12"/>
        <v>0</v>
      </c>
      <c r="M170" s="2">
        <f t="shared" si="13"/>
        <v>8126.78</v>
      </c>
      <c r="N170">
        <v>0</v>
      </c>
      <c r="O170" t="s">
        <v>39</v>
      </c>
      <c r="P170" t="str">
        <f t="shared" si="14"/>
        <v>B2C</v>
      </c>
      <c r="R170">
        <v>2034.39</v>
      </c>
    </row>
    <row r="171" spans="1:18" x14ac:dyDescent="0.3">
      <c r="A171">
        <v>1174</v>
      </c>
      <c r="B171" t="str">
        <f t="shared" si="10"/>
        <v>Tiffany Flores</v>
      </c>
      <c r="C171" t="s">
        <v>225</v>
      </c>
      <c r="D171" t="s">
        <v>19</v>
      </c>
      <c r="E171" t="s">
        <v>121</v>
      </c>
      <c r="F171" t="str">
        <f>CONCATENATE(Table1[[#This Row],[Product_Category]]," - ",Table1[[#This Row],[Product_Name]])</f>
        <v>Jackets - Leather Jacket</v>
      </c>
      <c r="G171">
        <f>IF(H171="", AVERAGEIF(Table1[Product_Category],D171,$H$2:$H$474),H171)</f>
        <v>6</v>
      </c>
      <c r="H171">
        <v>6</v>
      </c>
      <c r="I171" s="2">
        <f t="shared" si="11"/>
        <v>4984.6499999999996</v>
      </c>
      <c r="J171">
        <v>4984.6499999999996</v>
      </c>
      <c r="K171">
        <f t="shared" si="12"/>
        <v>0.42</v>
      </c>
      <c r="L171">
        <v>0.42</v>
      </c>
      <c r="M171" s="2">
        <f t="shared" si="13"/>
        <v>17346.582000000002</v>
      </c>
      <c r="N171">
        <v>17346.580000000002</v>
      </c>
      <c r="O171" t="s">
        <v>39</v>
      </c>
      <c r="P171" t="str">
        <f t="shared" si="14"/>
        <v>B2C</v>
      </c>
      <c r="R171">
        <v>2931.32</v>
      </c>
    </row>
    <row r="172" spans="1:18" x14ac:dyDescent="0.3">
      <c r="A172">
        <v>1175</v>
      </c>
      <c r="B172" t="str">
        <f t="shared" si="10"/>
        <v>Ashley Brown</v>
      </c>
      <c r="C172" t="s">
        <v>226</v>
      </c>
      <c r="D172" t="s">
        <v>37</v>
      </c>
      <c r="E172" t="s">
        <v>38</v>
      </c>
      <c r="F172" t="str">
        <f>CONCATENATE(Table1[[#This Row],[Product_Category]]," - ",Table1[[#This Row],[Product_Name]])</f>
        <v>Dresses - Casual Midi</v>
      </c>
      <c r="G172">
        <f>IF(H172="", AVERAGEIF(Table1[Product_Category],D172,$H$2:$H$474),H172)</f>
        <v>3</v>
      </c>
      <c r="H172">
        <v>3</v>
      </c>
      <c r="I172" s="2">
        <f t="shared" si="11"/>
        <v>2878.0747619047615</v>
      </c>
      <c r="K172">
        <f t="shared" si="12"/>
        <v>0</v>
      </c>
      <c r="M172" s="2">
        <f t="shared" si="13"/>
        <v>8634.2242857142846</v>
      </c>
      <c r="N172">
        <v>0</v>
      </c>
      <c r="O172" t="s">
        <v>17</v>
      </c>
      <c r="P172" t="str">
        <f t="shared" si="14"/>
        <v>B2C</v>
      </c>
      <c r="Q172" t="s">
        <v>15</v>
      </c>
      <c r="R172">
        <v>728.61</v>
      </c>
    </row>
    <row r="173" spans="1:18" x14ac:dyDescent="0.3">
      <c r="A173">
        <v>1176</v>
      </c>
      <c r="B173" t="str">
        <f t="shared" si="10"/>
        <v>Bailey Williamson</v>
      </c>
      <c r="C173" t="s">
        <v>227</v>
      </c>
      <c r="D173" t="s">
        <v>12</v>
      </c>
      <c r="E173" t="s">
        <v>35</v>
      </c>
      <c r="F173" t="str">
        <f>CONCATENATE(Table1[[#This Row],[Product_Category]]," - ",Table1[[#This Row],[Product_Name]])</f>
        <v>Jeans - Boyfriend Jeans</v>
      </c>
      <c r="G173">
        <f>IF(H173="", AVERAGEIF(Table1[Product_Category],D173,$H$2:$H$474),H173)</f>
        <v>6</v>
      </c>
      <c r="H173">
        <v>6</v>
      </c>
      <c r="I173" s="2">
        <f t="shared" si="11"/>
        <v>2592.8782222222212</v>
      </c>
      <c r="K173">
        <f t="shared" si="12"/>
        <v>0.87</v>
      </c>
      <c r="L173">
        <v>0.87</v>
      </c>
      <c r="M173" s="2">
        <f t="shared" si="13"/>
        <v>2022.4450133333326</v>
      </c>
      <c r="N173">
        <v>0</v>
      </c>
      <c r="O173" t="s">
        <v>21</v>
      </c>
      <c r="P173" t="str">
        <f t="shared" si="14"/>
        <v>B2B</v>
      </c>
      <c r="Q173" t="s">
        <v>22</v>
      </c>
      <c r="R173">
        <v>-879.15</v>
      </c>
    </row>
    <row r="174" spans="1:18" x14ac:dyDescent="0.3">
      <c r="A174">
        <v>1177</v>
      </c>
      <c r="B174" t="str">
        <f t="shared" si="10"/>
        <v>Elizabeth Torres</v>
      </c>
      <c r="C174" t="s">
        <v>228</v>
      </c>
      <c r="D174" t="s">
        <v>12</v>
      </c>
      <c r="E174" t="s">
        <v>48</v>
      </c>
      <c r="F174" t="str">
        <f>CONCATENATE(Table1[[#This Row],[Product_Category]]," - ",Table1[[#This Row],[Product_Name]])</f>
        <v>Jeans - Straight Cut</v>
      </c>
      <c r="G174">
        <f>IF(H174="", AVERAGEIF(Table1[Product_Category],D174,$H$2:$H$474),H174)</f>
        <v>2</v>
      </c>
      <c r="I174" s="2">
        <f t="shared" si="11"/>
        <v>2426.13</v>
      </c>
      <c r="J174">
        <v>2426.13</v>
      </c>
      <c r="K174">
        <f t="shared" si="12"/>
        <v>0</v>
      </c>
      <c r="M174" s="2">
        <f t="shared" si="13"/>
        <v>4852.26</v>
      </c>
      <c r="N174">
        <v>0</v>
      </c>
      <c r="O174" t="s">
        <v>17</v>
      </c>
      <c r="P174" t="str">
        <f t="shared" si="14"/>
        <v>B2C</v>
      </c>
      <c r="Q174" t="s">
        <v>15</v>
      </c>
      <c r="R174">
        <v>353.91</v>
      </c>
    </row>
    <row r="175" spans="1:18" x14ac:dyDescent="0.3">
      <c r="A175">
        <v>1178</v>
      </c>
      <c r="B175" t="str">
        <f t="shared" si="10"/>
        <v>Joshua Anderson</v>
      </c>
      <c r="C175" t="s">
        <v>229</v>
      </c>
      <c r="D175" t="s">
        <v>32</v>
      </c>
      <c r="E175" t="s">
        <v>33</v>
      </c>
      <c r="F175" t="str">
        <f>CONCATENATE(Table1[[#This Row],[Product_Category]]," - ",Table1[[#This Row],[Product_Name]])</f>
        <v>T-Shirts - Crop Top</v>
      </c>
      <c r="G175">
        <f>IF(H175="", AVERAGEIF(Table1[Product_Category],D175,$H$2:$H$474),H175)</f>
        <v>4</v>
      </c>
      <c r="H175">
        <v>4</v>
      </c>
      <c r="I175" s="2">
        <f t="shared" si="11"/>
        <v>1204.5899999999999</v>
      </c>
      <c r="J175">
        <v>1204.5899999999999</v>
      </c>
      <c r="K175">
        <f t="shared" si="12"/>
        <v>0</v>
      </c>
      <c r="M175" s="2">
        <f t="shared" si="13"/>
        <v>4818.3599999999997</v>
      </c>
      <c r="N175">
        <v>0</v>
      </c>
      <c r="O175" t="s">
        <v>552</v>
      </c>
      <c r="P175" t="str">
        <f t="shared" si="14"/>
        <v>B2C</v>
      </c>
      <c r="R175">
        <v>2161.64</v>
      </c>
    </row>
    <row r="176" spans="1:18" x14ac:dyDescent="0.3">
      <c r="A176">
        <v>1179</v>
      </c>
      <c r="B176" t="str">
        <f t="shared" si="10"/>
        <v>Kevin Allen</v>
      </c>
      <c r="C176" t="s">
        <v>230</v>
      </c>
      <c r="D176" t="s">
        <v>19</v>
      </c>
      <c r="E176" t="s">
        <v>79</v>
      </c>
      <c r="F176" t="str">
        <f>CONCATENATE(Table1[[#This Row],[Product_Category]]," - ",Table1[[#This Row],[Product_Name]])</f>
        <v>Jackets - Bomber Jacket</v>
      </c>
      <c r="G176">
        <f>IF(H176="", AVERAGEIF(Table1[Product_Category],D176,$H$2:$H$474),H176)</f>
        <v>0</v>
      </c>
      <c r="H176">
        <v>0</v>
      </c>
      <c r="I176" s="2">
        <f t="shared" si="11"/>
        <v>2952.3559374999995</v>
      </c>
      <c r="K176">
        <f t="shared" si="12"/>
        <v>0</v>
      </c>
      <c r="M176" s="2">
        <f t="shared" si="13"/>
        <v>0</v>
      </c>
      <c r="N176">
        <v>0</v>
      </c>
      <c r="O176" t="s">
        <v>21</v>
      </c>
      <c r="P176" t="str">
        <f t="shared" si="14"/>
        <v>B2C</v>
      </c>
      <c r="Q176" t="s">
        <v>15</v>
      </c>
      <c r="R176">
        <v>510.53</v>
      </c>
    </row>
    <row r="177" spans="1:18" x14ac:dyDescent="0.3">
      <c r="A177">
        <v>1180</v>
      </c>
      <c r="B177" t="str">
        <f t="shared" si="10"/>
        <v>Michelle Moore</v>
      </c>
      <c r="C177" t="s">
        <v>231</v>
      </c>
      <c r="D177" t="s">
        <v>37</v>
      </c>
      <c r="E177" t="s">
        <v>90</v>
      </c>
      <c r="F177" t="str">
        <f>CONCATENATE(Table1[[#This Row],[Product_Category]]," - ",Table1[[#This Row],[Product_Name]])</f>
        <v>Dresses - Bodycon</v>
      </c>
      <c r="G177">
        <f>IF(H177="", AVERAGEIF(Table1[Product_Category],D177,$H$2:$H$474),H177)</f>
        <v>6</v>
      </c>
      <c r="H177">
        <v>6</v>
      </c>
      <c r="I177" s="2">
        <f t="shared" si="11"/>
        <v>2495.96</v>
      </c>
      <c r="J177">
        <v>2495.96</v>
      </c>
      <c r="K177">
        <f t="shared" si="12"/>
        <v>0</v>
      </c>
      <c r="M177" s="2">
        <f t="shared" si="13"/>
        <v>14975.76</v>
      </c>
      <c r="N177">
        <v>0</v>
      </c>
      <c r="O177" t="s">
        <v>552</v>
      </c>
      <c r="P177" t="str">
        <f t="shared" si="14"/>
        <v>B2C</v>
      </c>
      <c r="Q177" t="s">
        <v>15</v>
      </c>
      <c r="R177">
        <v>835.4</v>
      </c>
    </row>
    <row r="178" spans="1:18" x14ac:dyDescent="0.3">
      <c r="A178">
        <v>1181</v>
      </c>
      <c r="B178" t="str">
        <f t="shared" si="10"/>
        <v>John Barber</v>
      </c>
      <c r="C178" t="s">
        <v>232</v>
      </c>
      <c r="D178" t="s">
        <v>19</v>
      </c>
      <c r="E178" t="s">
        <v>79</v>
      </c>
      <c r="F178" t="str">
        <f>CONCATENATE(Table1[[#This Row],[Product_Category]]," - ",Table1[[#This Row],[Product_Name]])</f>
        <v>Jackets - Bomber Jacket</v>
      </c>
      <c r="G178" s="2">
        <f>IF(H178="", AVERAGEIF(Table1[Product_Category],D178,$H$2:$H$474),H178)</f>
        <v>1.675</v>
      </c>
      <c r="I178" s="2">
        <f t="shared" si="11"/>
        <v>2952.3559374999995</v>
      </c>
      <c r="K178">
        <f t="shared" si="12"/>
        <v>0</v>
      </c>
      <c r="M178" s="2">
        <f t="shared" si="13"/>
        <v>4945.1961953124992</v>
      </c>
      <c r="N178">
        <v>0</v>
      </c>
      <c r="O178" t="s">
        <v>21</v>
      </c>
      <c r="P178" t="str">
        <f t="shared" si="14"/>
        <v>B2B</v>
      </c>
      <c r="Q178" t="s">
        <v>22</v>
      </c>
      <c r="R178">
        <v>2564.06</v>
      </c>
    </row>
    <row r="179" spans="1:18" x14ac:dyDescent="0.3">
      <c r="A179">
        <v>1182</v>
      </c>
      <c r="B179" t="str">
        <f t="shared" si="10"/>
        <v>Andrew Mclaughlin</v>
      </c>
      <c r="C179" t="s">
        <v>233</v>
      </c>
      <c r="D179" t="s">
        <v>12</v>
      </c>
      <c r="E179" t="s">
        <v>13</v>
      </c>
      <c r="F179" t="str">
        <f>CONCATENATE(Table1[[#This Row],[Product_Category]]," - ",Table1[[#This Row],[Product_Name]])</f>
        <v>Jeans - Slim Fit Jeans</v>
      </c>
      <c r="G179">
        <f>IF(H179="", AVERAGEIF(Table1[Product_Category],D179,$H$2:$H$474),H179)</f>
        <v>-1</v>
      </c>
      <c r="H179">
        <v>-1</v>
      </c>
      <c r="I179" s="2">
        <f t="shared" si="11"/>
        <v>2592.8782222222212</v>
      </c>
      <c r="K179">
        <f t="shared" si="12"/>
        <v>0</v>
      </c>
      <c r="M179" s="2">
        <f t="shared" si="13"/>
        <v>-2592.8782222222212</v>
      </c>
      <c r="N179">
        <v>0</v>
      </c>
      <c r="O179" t="s">
        <v>45</v>
      </c>
      <c r="P179" t="str">
        <f t="shared" si="14"/>
        <v>B2C</v>
      </c>
      <c r="R179">
        <v>-747.25</v>
      </c>
    </row>
    <row r="180" spans="1:18" x14ac:dyDescent="0.3">
      <c r="A180">
        <v>1183</v>
      </c>
      <c r="B180" t="str">
        <f t="shared" si="10"/>
        <v>Sherry Ward</v>
      </c>
      <c r="C180" t="s">
        <v>234</v>
      </c>
      <c r="D180" t="s">
        <v>28</v>
      </c>
      <c r="E180" t="s">
        <v>119</v>
      </c>
      <c r="F180" t="str">
        <f>CONCATENATE(Table1[[#This Row],[Product_Category]]," - ",Table1[[#This Row],[Product_Name]])</f>
        <v>Accessories - Watches</v>
      </c>
      <c r="G180">
        <f>IF(H180="", AVERAGEIF(Table1[Product_Category],D180,$H$2:$H$474),H180)</f>
        <v>6</v>
      </c>
      <c r="H180">
        <v>6</v>
      </c>
      <c r="I180" s="2">
        <f t="shared" si="11"/>
        <v>2372.3000000000002</v>
      </c>
      <c r="J180">
        <v>2372.3000000000002</v>
      </c>
      <c r="K180">
        <f t="shared" si="12"/>
        <v>0</v>
      </c>
      <c r="M180" s="2">
        <f t="shared" si="13"/>
        <v>14233.800000000001</v>
      </c>
      <c r="N180">
        <v>0</v>
      </c>
      <c r="O180" t="s">
        <v>14</v>
      </c>
      <c r="P180" t="str">
        <f t="shared" si="14"/>
        <v>B2C</v>
      </c>
      <c r="R180">
        <v>1888.87</v>
      </c>
    </row>
    <row r="181" spans="1:18" x14ac:dyDescent="0.3">
      <c r="A181">
        <v>1184</v>
      </c>
      <c r="B181" t="str">
        <f t="shared" si="10"/>
        <v>Craig Farrell</v>
      </c>
      <c r="C181" t="s">
        <v>235</v>
      </c>
      <c r="D181" t="s">
        <v>12</v>
      </c>
      <c r="E181" t="s">
        <v>101</v>
      </c>
      <c r="F181" t="str">
        <f>CONCATENATE(Table1[[#This Row],[Product_Category]]," - ",Table1[[#This Row],[Product_Name]])</f>
        <v>Jeans - Ripped Denim</v>
      </c>
      <c r="G181">
        <f>IF(H181="", AVERAGEIF(Table1[Product_Category],D181,$H$2:$H$474),H181)</f>
        <v>0</v>
      </c>
      <c r="H181">
        <v>0</v>
      </c>
      <c r="I181" s="2">
        <f t="shared" si="11"/>
        <v>2697.1</v>
      </c>
      <c r="J181">
        <v>2697.1</v>
      </c>
      <c r="K181">
        <f t="shared" si="12"/>
        <v>0</v>
      </c>
      <c r="M181" s="2">
        <f t="shared" si="13"/>
        <v>0</v>
      </c>
      <c r="N181">
        <v>0</v>
      </c>
      <c r="O181" t="s">
        <v>14</v>
      </c>
      <c r="P181" t="str">
        <f t="shared" si="14"/>
        <v>B2B</v>
      </c>
      <c r="Q181" t="s">
        <v>22</v>
      </c>
      <c r="R181">
        <v>1518.99</v>
      </c>
    </row>
    <row r="182" spans="1:18" x14ac:dyDescent="0.3">
      <c r="A182">
        <v>1185</v>
      </c>
      <c r="B182" t="str">
        <f t="shared" si="10"/>
        <v>Stacy Brady</v>
      </c>
      <c r="C182" t="s">
        <v>236</v>
      </c>
      <c r="D182" t="s">
        <v>28</v>
      </c>
      <c r="E182" t="s">
        <v>29</v>
      </c>
      <c r="F182" t="str">
        <f>CONCATENATE(Table1[[#This Row],[Product_Category]]," - ",Table1[[#This Row],[Product_Name]])</f>
        <v>Accessories - Belts</v>
      </c>
      <c r="G182" s="2">
        <f>IF(H182="", AVERAGEIF(Table1[Product_Category],D182,$H$2:$H$474),H182)</f>
        <v>2.5249999999999999</v>
      </c>
      <c r="I182" s="2">
        <f t="shared" si="11"/>
        <v>2755.6936585365856</v>
      </c>
      <c r="K182">
        <f t="shared" si="12"/>
        <v>0</v>
      </c>
      <c r="M182" s="2">
        <f t="shared" si="13"/>
        <v>6958.1264878048787</v>
      </c>
      <c r="N182">
        <v>0</v>
      </c>
      <c r="O182" t="s">
        <v>14</v>
      </c>
      <c r="P182" t="str">
        <f t="shared" si="14"/>
        <v>B2C</v>
      </c>
      <c r="Q182" t="s">
        <v>15</v>
      </c>
      <c r="R182">
        <v>-445.19</v>
      </c>
    </row>
    <row r="183" spans="1:18" x14ac:dyDescent="0.3">
      <c r="A183">
        <v>1186</v>
      </c>
      <c r="B183" t="str">
        <f t="shared" si="10"/>
        <v>Daniel Patton</v>
      </c>
      <c r="C183" t="s">
        <v>237</v>
      </c>
      <c r="D183" t="s">
        <v>12</v>
      </c>
      <c r="E183" t="s">
        <v>35</v>
      </c>
      <c r="F183" t="str">
        <f>CONCATENATE(Table1[[#This Row],[Product_Category]]," - ",Table1[[#This Row],[Product_Name]])</f>
        <v>Jeans - Boyfriend Jeans</v>
      </c>
      <c r="G183">
        <f>IF(H183="", AVERAGEIF(Table1[Product_Category],D183,$H$2:$H$474),H183)</f>
        <v>6</v>
      </c>
      <c r="H183">
        <v>6</v>
      </c>
      <c r="I183" s="2">
        <f t="shared" si="11"/>
        <v>2592.8782222222212</v>
      </c>
      <c r="K183">
        <f t="shared" si="12"/>
        <v>0.71</v>
      </c>
      <c r="L183">
        <v>0.71</v>
      </c>
      <c r="M183" s="2">
        <f t="shared" si="13"/>
        <v>4511.6081066666648</v>
      </c>
      <c r="N183">
        <v>0</v>
      </c>
      <c r="O183" t="s">
        <v>39</v>
      </c>
      <c r="P183" t="str">
        <f t="shared" si="14"/>
        <v>B2B</v>
      </c>
      <c r="Q183" t="s">
        <v>22</v>
      </c>
      <c r="R183">
        <v>-40.479999999999997</v>
      </c>
    </row>
    <row r="184" spans="1:18" x14ac:dyDescent="0.3">
      <c r="A184">
        <v>1187</v>
      </c>
      <c r="B184" t="str">
        <f t="shared" si="10"/>
        <v>Karen Smith</v>
      </c>
      <c r="C184" t="s">
        <v>238</v>
      </c>
      <c r="D184" t="s">
        <v>28</v>
      </c>
      <c r="E184" t="s">
        <v>29</v>
      </c>
      <c r="F184" t="str">
        <f>CONCATENATE(Table1[[#This Row],[Product_Category]]," - ",Table1[[#This Row],[Product_Name]])</f>
        <v>Accessories - Belts</v>
      </c>
      <c r="G184">
        <f>IF(H184="", AVERAGEIF(Table1[Product_Category],D184,$H$2:$H$474),H184)</f>
        <v>3</v>
      </c>
      <c r="H184">
        <v>3</v>
      </c>
      <c r="I184" s="2">
        <f t="shared" si="11"/>
        <v>3810.89</v>
      </c>
      <c r="J184">
        <v>3810.89</v>
      </c>
      <c r="K184">
        <f t="shared" si="12"/>
        <v>0</v>
      </c>
      <c r="M184" s="2">
        <f t="shared" si="13"/>
        <v>11432.67</v>
      </c>
      <c r="N184">
        <v>0</v>
      </c>
      <c r="O184" t="s">
        <v>21</v>
      </c>
      <c r="P184" t="str">
        <f t="shared" si="14"/>
        <v>B2C</v>
      </c>
      <c r="Q184" t="s">
        <v>15</v>
      </c>
      <c r="R184">
        <v>1153.72</v>
      </c>
    </row>
    <row r="185" spans="1:18" x14ac:dyDescent="0.3">
      <c r="A185">
        <v>1188</v>
      </c>
      <c r="B185" t="str">
        <f t="shared" si="10"/>
        <v>Maria Morrow</v>
      </c>
      <c r="C185" t="s">
        <v>239</v>
      </c>
      <c r="D185" t="s">
        <v>28</v>
      </c>
      <c r="E185" t="s">
        <v>29</v>
      </c>
      <c r="F185" t="str">
        <f>CONCATENATE(Table1[[#This Row],[Product_Category]]," - ",Table1[[#This Row],[Product_Name]])</f>
        <v>Accessories - Belts</v>
      </c>
      <c r="G185">
        <f>IF(H185="", AVERAGEIF(Table1[Product_Category],D185,$H$2:$H$474),H185)</f>
        <v>6</v>
      </c>
      <c r="H185">
        <v>6</v>
      </c>
      <c r="I185" s="2">
        <f t="shared" si="11"/>
        <v>4910.28</v>
      </c>
      <c r="J185">
        <v>4910.28</v>
      </c>
      <c r="K185">
        <f t="shared" si="12"/>
        <v>0.12</v>
      </c>
      <c r="L185">
        <v>0.12</v>
      </c>
      <c r="M185" s="2">
        <f t="shared" si="13"/>
        <v>25926.278399999999</v>
      </c>
      <c r="N185">
        <v>25926.28</v>
      </c>
      <c r="O185" t="s">
        <v>39</v>
      </c>
      <c r="P185" t="str">
        <f t="shared" si="14"/>
        <v>B2C</v>
      </c>
      <c r="R185">
        <v>2089.25</v>
      </c>
    </row>
    <row r="186" spans="1:18" x14ac:dyDescent="0.3">
      <c r="A186">
        <v>1189</v>
      </c>
      <c r="B186" t="str">
        <f t="shared" si="10"/>
        <v>Elizabeth Johnson</v>
      </c>
      <c r="C186" t="s">
        <v>240</v>
      </c>
      <c r="D186" t="s">
        <v>32</v>
      </c>
      <c r="E186" t="s">
        <v>43</v>
      </c>
      <c r="F186" t="str">
        <f>CONCATENATE(Table1[[#This Row],[Product_Category]]," - ",Table1[[#This Row],[Product_Name]])</f>
        <v>T-Shirts - Oversized T-shirt</v>
      </c>
      <c r="G186" s="2">
        <f>IF(H186="", AVERAGEIF(Table1[Product_Category],D186,$H$2:$H$474),H186)</f>
        <v>1.5813953488372092</v>
      </c>
      <c r="I186" s="2">
        <f t="shared" si="11"/>
        <v>4808.1000000000004</v>
      </c>
      <c r="J186">
        <v>4808.1000000000004</v>
      </c>
      <c r="K186">
        <f t="shared" si="12"/>
        <v>0</v>
      </c>
      <c r="M186" s="2">
        <f t="shared" si="13"/>
        <v>7603.5069767441864</v>
      </c>
      <c r="N186">
        <v>0</v>
      </c>
      <c r="O186" t="s">
        <v>17</v>
      </c>
      <c r="P186" t="str">
        <f t="shared" si="14"/>
        <v>B2C</v>
      </c>
      <c r="R186">
        <v>392.87</v>
      </c>
    </row>
    <row r="187" spans="1:18" x14ac:dyDescent="0.3">
      <c r="A187">
        <v>1190</v>
      </c>
      <c r="B187" t="str">
        <f t="shared" si="10"/>
        <v>Antonio Boyd PhD</v>
      </c>
      <c r="C187" t="s">
        <v>241</v>
      </c>
      <c r="D187" t="s">
        <v>19</v>
      </c>
      <c r="E187" t="s">
        <v>20</v>
      </c>
      <c r="F187" t="str">
        <f>CONCATENATE(Table1[[#This Row],[Product_Category]]," - ",Table1[[#This Row],[Product_Name]])</f>
        <v>Jackets - Puffer Coat</v>
      </c>
      <c r="G187" s="2">
        <f>IF(H187="", AVERAGEIF(Table1[Product_Category],D187,$H$2:$H$474),H187)</f>
        <v>1.675</v>
      </c>
      <c r="I187" s="2">
        <f t="shared" si="11"/>
        <v>2952.3559374999995</v>
      </c>
      <c r="K187">
        <f t="shared" si="12"/>
        <v>0.63</v>
      </c>
      <c r="L187">
        <v>0.63</v>
      </c>
      <c r="M187" s="2">
        <f t="shared" si="13"/>
        <v>1829.7225922656246</v>
      </c>
      <c r="N187">
        <v>0</v>
      </c>
      <c r="O187" t="s">
        <v>45</v>
      </c>
      <c r="P187" t="str">
        <f t="shared" si="14"/>
        <v>B2B</v>
      </c>
      <c r="Q187" t="s">
        <v>22</v>
      </c>
      <c r="R187">
        <v>75.040000000000006</v>
      </c>
    </row>
    <row r="188" spans="1:18" x14ac:dyDescent="0.3">
      <c r="A188">
        <v>1191</v>
      </c>
      <c r="B188" t="str">
        <f t="shared" si="10"/>
        <v>John Tucker</v>
      </c>
      <c r="C188" t="s">
        <v>242</v>
      </c>
      <c r="D188" t="s">
        <v>28</v>
      </c>
      <c r="E188" t="s">
        <v>29</v>
      </c>
      <c r="F188" t="str">
        <f>CONCATENATE(Table1[[#This Row],[Product_Category]]," - ",Table1[[#This Row],[Product_Name]])</f>
        <v>Accessories - Belts</v>
      </c>
      <c r="G188" s="2">
        <f>IF(H188="", AVERAGEIF(Table1[Product_Category],D188,$H$2:$H$474),H188)</f>
        <v>2.5249999999999999</v>
      </c>
      <c r="I188" s="2">
        <f t="shared" si="11"/>
        <v>2469.87</v>
      </c>
      <c r="J188">
        <v>2469.87</v>
      </c>
      <c r="K188">
        <f t="shared" si="12"/>
        <v>0.56000000000000005</v>
      </c>
      <c r="L188">
        <v>0.56000000000000005</v>
      </c>
      <c r="M188" s="2">
        <f t="shared" si="13"/>
        <v>2744.0255699999993</v>
      </c>
      <c r="N188">
        <v>0</v>
      </c>
      <c r="O188" t="s">
        <v>21</v>
      </c>
      <c r="P188" t="str">
        <f t="shared" si="14"/>
        <v>B2C</v>
      </c>
      <c r="Q188" t="s">
        <v>15</v>
      </c>
      <c r="R188">
        <v>2860.2</v>
      </c>
    </row>
    <row r="189" spans="1:18" x14ac:dyDescent="0.3">
      <c r="A189">
        <v>1193</v>
      </c>
      <c r="B189" t="str">
        <f t="shared" si="10"/>
        <v>Christine Lopez</v>
      </c>
      <c r="C189" t="s">
        <v>244</v>
      </c>
      <c r="D189" t="s">
        <v>37</v>
      </c>
      <c r="E189" t="s">
        <v>38</v>
      </c>
      <c r="F189" t="str">
        <f>CONCATENATE(Table1[[#This Row],[Product_Category]]," - ",Table1[[#This Row],[Product_Name]])</f>
        <v>Dresses - Casual Midi</v>
      </c>
      <c r="G189" s="2">
        <f>IF(H189="", AVERAGEIF(Table1[Product_Category],D189,$H$2:$H$474),H189)</f>
        <v>2.0217391304347827</v>
      </c>
      <c r="I189" s="2">
        <f t="shared" si="11"/>
        <v>3031.06</v>
      </c>
      <c r="J189">
        <v>3031.06</v>
      </c>
      <c r="K189">
        <f t="shared" si="12"/>
        <v>0</v>
      </c>
      <c r="M189" s="2">
        <f t="shared" si="13"/>
        <v>6128.0126086956525</v>
      </c>
      <c r="N189">
        <v>0</v>
      </c>
      <c r="O189" t="s">
        <v>45</v>
      </c>
      <c r="P189" t="str">
        <f t="shared" si="14"/>
        <v>B2B</v>
      </c>
      <c r="Q189" t="s">
        <v>22</v>
      </c>
      <c r="R189">
        <v>-682.74</v>
      </c>
    </row>
    <row r="190" spans="1:18" x14ac:dyDescent="0.3">
      <c r="A190">
        <v>1195</v>
      </c>
      <c r="B190" t="str">
        <f t="shared" si="10"/>
        <v>Christine Rodgers</v>
      </c>
      <c r="C190" t="s">
        <v>246</v>
      </c>
      <c r="D190" t="s">
        <v>37</v>
      </c>
      <c r="E190" t="s">
        <v>62</v>
      </c>
      <c r="F190" t="str">
        <f>CONCATENATE(Table1[[#This Row],[Product_Category]]," - ",Table1[[#This Row],[Product_Name]])</f>
        <v>Dresses - Wrap Dress</v>
      </c>
      <c r="G190" s="2">
        <f>IF(H190="", AVERAGEIF(Table1[Product_Category],D190,$H$2:$H$474),H190)</f>
        <v>2.0217391304347827</v>
      </c>
      <c r="I190" s="2">
        <f t="shared" si="11"/>
        <v>2878.0747619047615</v>
      </c>
      <c r="K190">
        <f t="shared" si="12"/>
        <v>1.2</v>
      </c>
      <c r="L190">
        <v>1.2</v>
      </c>
      <c r="M190" s="2">
        <f t="shared" si="13"/>
        <v>-1163.7432732919251</v>
      </c>
      <c r="N190">
        <v>0</v>
      </c>
      <c r="O190" t="s">
        <v>21</v>
      </c>
      <c r="P190" t="str">
        <f t="shared" si="14"/>
        <v>B2C</v>
      </c>
      <c r="Q190" t="s">
        <v>15</v>
      </c>
      <c r="R190">
        <v>1059.17</v>
      </c>
    </row>
    <row r="191" spans="1:18" x14ac:dyDescent="0.3">
      <c r="A191">
        <v>1196</v>
      </c>
      <c r="B191" t="str">
        <f t="shared" si="10"/>
        <v>Michael Hawkins</v>
      </c>
      <c r="C191" t="s">
        <v>247</v>
      </c>
      <c r="D191" t="s">
        <v>12</v>
      </c>
      <c r="E191" t="s">
        <v>13</v>
      </c>
      <c r="F191" t="str">
        <f>CONCATENATE(Table1[[#This Row],[Product_Category]]," - ",Table1[[#This Row],[Product_Name]])</f>
        <v>Jeans - Slim Fit Jeans</v>
      </c>
      <c r="G191">
        <f>IF(H191="", AVERAGEIF(Table1[Product_Category],D191,$H$2:$H$474),H191)</f>
        <v>2</v>
      </c>
      <c r="I191" s="2">
        <f t="shared" si="11"/>
        <v>3959.06</v>
      </c>
      <c r="J191">
        <v>3959.06</v>
      </c>
      <c r="K191">
        <f t="shared" si="12"/>
        <v>0.37</v>
      </c>
      <c r="L191">
        <v>0.37</v>
      </c>
      <c r="M191" s="2">
        <f t="shared" si="13"/>
        <v>4988.4156000000003</v>
      </c>
      <c r="N191">
        <v>0</v>
      </c>
      <c r="O191" t="s">
        <v>552</v>
      </c>
      <c r="P191" t="str">
        <f t="shared" si="14"/>
        <v>B2B</v>
      </c>
      <c r="Q191" t="s">
        <v>22</v>
      </c>
      <c r="R191">
        <v>1539.5</v>
      </c>
    </row>
    <row r="192" spans="1:18" x14ac:dyDescent="0.3">
      <c r="A192">
        <v>1197</v>
      </c>
      <c r="B192" t="str">
        <f t="shared" si="10"/>
        <v>Dean Jimenez</v>
      </c>
      <c r="C192" t="s">
        <v>248</v>
      </c>
      <c r="D192" t="s">
        <v>19</v>
      </c>
      <c r="E192" t="s">
        <v>87</v>
      </c>
      <c r="F192" t="str">
        <f>CONCATENATE(Table1[[#This Row],[Product_Category]]," - ",Table1[[#This Row],[Product_Name]])</f>
        <v>Jackets - Denim Jacket</v>
      </c>
      <c r="G192">
        <f>IF(H192="", AVERAGEIF(Table1[Product_Category],D192,$H$2:$H$474),H192)</f>
        <v>1</v>
      </c>
      <c r="H192">
        <v>1</v>
      </c>
      <c r="I192" s="2">
        <f t="shared" si="11"/>
        <v>2952.3559374999995</v>
      </c>
      <c r="K192">
        <f t="shared" si="12"/>
        <v>0</v>
      </c>
      <c r="M192" s="2">
        <f t="shared" si="13"/>
        <v>2952.3559374999995</v>
      </c>
      <c r="N192">
        <v>0</v>
      </c>
      <c r="O192" t="s">
        <v>552</v>
      </c>
      <c r="P192" t="str">
        <f t="shared" si="14"/>
        <v>B2B</v>
      </c>
      <c r="Q192" t="s">
        <v>22</v>
      </c>
      <c r="R192">
        <v>650.97</v>
      </c>
    </row>
    <row r="193" spans="1:18" x14ac:dyDescent="0.3">
      <c r="A193">
        <v>1198</v>
      </c>
      <c r="B193" t="str">
        <f t="shared" si="10"/>
        <v>Jacqueline Erickson</v>
      </c>
      <c r="C193" t="s">
        <v>249</v>
      </c>
      <c r="D193" t="s">
        <v>28</v>
      </c>
      <c r="E193" t="s">
        <v>41</v>
      </c>
      <c r="F193" t="str">
        <f>CONCATENATE(Table1[[#This Row],[Product_Category]]," - ",Table1[[#This Row],[Product_Name]])</f>
        <v>Accessories - Sunglasses</v>
      </c>
      <c r="G193">
        <f>IF(H193="", AVERAGEIF(Table1[Product_Category],D193,$H$2:$H$474),H193)</f>
        <v>3</v>
      </c>
      <c r="H193">
        <v>3</v>
      </c>
      <c r="I193" s="2">
        <f t="shared" si="11"/>
        <v>3594.97</v>
      </c>
      <c r="J193">
        <v>3594.97</v>
      </c>
      <c r="K193">
        <f t="shared" si="12"/>
        <v>0</v>
      </c>
      <c r="M193" s="2">
        <f t="shared" si="13"/>
        <v>10784.91</v>
      </c>
      <c r="N193">
        <v>0</v>
      </c>
      <c r="O193" t="s">
        <v>14</v>
      </c>
      <c r="P193" t="str">
        <f t="shared" si="14"/>
        <v>B2C</v>
      </c>
      <c r="Q193" t="s">
        <v>15</v>
      </c>
      <c r="R193">
        <v>2422.27</v>
      </c>
    </row>
    <row r="194" spans="1:18" x14ac:dyDescent="0.3">
      <c r="A194">
        <v>1199</v>
      </c>
      <c r="B194" t="str">
        <f t="shared" ref="B194:B257" si="15">TRIM(SUBSTITUTE(SUBSTITUTE(SUBSTITUTE(SUBSTITUTE(C194,"Dr. ",""),"Mrs. ",""),"Mr. ",""),"Ms. ",""))</f>
        <v>Jade Chavez</v>
      </c>
      <c r="C194" t="s">
        <v>250</v>
      </c>
      <c r="D194" t="s">
        <v>24</v>
      </c>
      <c r="E194" t="s">
        <v>85</v>
      </c>
      <c r="F194" t="str">
        <f>CONCATENATE(Table1[[#This Row],[Product_Category]]," - ",Table1[[#This Row],[Product_Name]])</f>
        <v>Shoes - Boots</v>
      </c>
      <c r="G194" s="2">
        <f>IF(H194="", AVERAGEIF(Table1[Product_Category],D194,$H$2:$H$474),H194)</f>
        <v>1.5517241379310345</v>
      </c>
      <c r="I194" s="2">
        <f t="shared" ref="I194:I257" si="16">IF(J194="",AVERAGEIF($D$2:$D$474,D194,$J$2:$J$474),J194)</f>
        <v>2317.1</v>
      </c>
      <c r="J194">
        <v>2317.1</v>
      </c>
      <c r="K194">
        <f t="shared" ref="K194:K257" si="17">IF(AND(ISBLANK(L194),I194&gt;0,G194&gt;0,N194&gt;0), 1-(N194/(G194*I194)), L194)</f>
        <v>0</v>
      </c>
      <c r="M194" s="2">
        <f t="shared" ref="M194:M257" si="18">G194*I194*(1-K194)</f>
        <v>3595.5</v>
      </c>
      <c r="N194">
        <v>0</v>
      </c>
      <c r="O194" t="s">
        <v>39</v>
      </c>
      <c r="P194" t="str">
        <f t="shared" ref="P194:P257" si="19">IF(Q194="",IF(O194="Ahmedabad","B2C",IF(O194="Bangalore","B2C",IF(O194="Hyderabad","B2B",IF(O194="Mumbai","B2C","B2C")))),Q194)</f>
        <v>B2C</v>
      </c>
      <c r="R194">
        <v>2637.77</v>
      </c>
    </row>
    <row r="195" spans="1:18" x14ac:dyDescent="0.3">
      <c r="A195">
        <v>1200</v>
      </c>
      <c r="B195" t="str">
        <f t="shared" si="15"/>
        <v>Laura Green</v>
      </c>
      <c r="C195" t="s">
        <v>251</v>
      </c>
      <c r="D195" t="s">
        <v>24</v>
      </c>
      <c r="E195" t="s">
        <v>53</v>
      </c>
      <c r="F195" t="str">
        <f>CONCATENATE(Table1[[#This Row],[Product_Category]]," - ",Table1[[#This Row],[Product_Name]])</f>
        <v>Shoes - Sneakers</v>
      </c>
      <c r="G195">
        <f>IF(H195="", AVERAGEIF(Table1[Product_Category],D195,$H$2:$H$474),H195)</f>
        <v>4</v>
      </c>
      <c r="H195">
        <v>4</v>
      </c>
      <c r="I195" s="2">
        <f t="shared" si="16"/>
        <v>2676.5783333333325</v>
      </c>
      <c r="K195">
        <f t="shared" si="17"/>
        <v>0</v>
      </c>
      <c r="M195" s="2">
        <f t="shared" si="18"/>
        <v>10706.31333333333</v>
      </c>
      <c r="N195">
        <v>0</v>
      </c>
      <c r="O195" t="s">
        <v>552</v>
      </c>
      <c r="P195" t="str">
        <f t="shared" si="19"/>
        <v>B2C</v>
      </c>
      <c r="Q195" t="s">
        <v>15</v>
      </c>
      <c r="R195">
        <v>2782.21</v>
      </c>
    </row>
    <row r="196" spans="1:18" x14ac:dyDescent="0.3">
      <c r="A196">
        <v>1201</v>
      </c>
      <c r="B196" t="str">
        <f t="shared" si="15"/>
        <v>Crystal Hayes MD</v>
      </c>
      <c r="C196" t="s">
        <v>252</v>
      </c>
      <c r="D196" t="s">
        <v>19</v>
      </c>
      <c r="E196" t="s">
        <v>79</v>
      </c>
      <c r="F196" t="str">
        <f>CONCATENATE(Table1[[#This Row],[Product_Category]]," - ",Table1[[#This Row],[Product_Name]])</f>
        <v>Jackets - Bomber Jacket</v>
      </c>
      <c r="G196">
        <f>IF(H196="", AVERAGEIF(Table1[Product_Category],D196,$H$2:$H$474),H196)</f>
        <v>2</v>
      </c>
      <c r="H196">
        <v>2</v>
      </c>
      <c r="I196" s="2">
        <f t="shared" si="16"/>
        <v>3507.85</v>
      </c>
      <c r="J196">
        <v>3507.85</v>
      </c>
      <c r="K196">
        <f t="shared" si="17"/>
        <v>0</v>
      </c>
      <c r="M196" s="2">
        <f t="shared" si="18"/>
        <v>7015.7</v>
      </c>
      <c r="N196">
        <v>0</v>
      </c>
      <c r="O196" t="s">
        <v>45</v>
      </c>
      <c r="P196" t="str">
        <f t="shared" si="19"/>
        <v>B2B</v>
      </c>
      <c r="Q196" t="s">
        <v>22</v>
      </c>
      <c r="R196">
        <v>1023.04</v>
      </c>
    </row>
    <row r="197" spans="1:18" x14ac:dyDescent="0.3">
      <c r="A197">
        <v>1202</v>
      </c>
      <c r="B197" t="str">
        <f t="shared" si="15"/>
        <v>Amy Walker</v>
      </c>
      <c r="C197" t="s">
        <v>253</v>
      </c>
      <c r="D197" t="s">
        <v>28</v>
      </c>
      <c r="E197" t="s">
        <v>41</v>
      </c>
      <c r="F197" t="str">
        <f>CONCATENATE(Table1[[#This Row],[Product_Category]]," - ",Table1[[#This Row],[Product_Name]])</f>
        <v>Accessories - Sunglasses</v>
      </c>
      <c r="G197" s="2">
        <f>IF(H197="", AVERAGEIF(Table1[Product_Category],D197,$H$2:$H$474),H197)</f>
        <v>2.5249999999999999</v>
      </c>
      <c r="I197" s="2">
        <f t="shared" si="16"/>
        <v>2755.6936585365856</v>
      </c>
      <c r="K197">
        <f t="shared" si="17"/>
        <v>0</v>
      </c>
      <c r="M197" s="2">
        <f t="shared" si="18"/>
        <v>6958.1264878048787</v>
      </c>
      <c r="N197">
        <v>0</v>
      </c>
      <c r="O197" t="s">
        <v>39</v>
      </c>
      <c r="P197" t="str">
        <f t="shared" si="19"/>
        <v>B2C</v>
      </c>
      <c r="Q197" t="s">
        <v>15</v>
      </c>
      <c r="R197">
        <v>-207.53</v>
      </c>
    </row>
    <row r="198" spans="1:18" x14ac:dyDescent="0.3">
      <c r="A198">
        <v>1203</v>
      </c>
      <c r="B198" t="str">
        <f t="shared" si="15"/>
        <v>Amy Gonzales</v>
      </c>
      <c r="C198" t="s">
        <v>254</v>
      </c>
      <c r="D198" t="s">
        <v>32</v>
      </c>
      <c r="E198" t="s">
        <v>33</v>
      </c>
      <c r="F198" t="str">
        <f>CONCATENATE(Table1[[#This Row],[Product_Category]]," - ",Table1[[#This Row],[Product_Name]])</f>
        <v>T-Shirts - Crop Top</v>
      </c>
      <c r="G198">
        <f>IF(H198="", AVERAGEIF(Table1[Product_Category],D198,$H$2:$H$474),H198)</f>
        <v>5</v>
      </c>
      <c r="H198">
        <v>5</v>
      </c>
      <c r="I198" s="2">
        <f t="shared" si="16"/>
        <v>2715.2732432432431</v>
      </c>
      <c r="K198">
        <f t="shared" si="17"/>
        <v>0</v>
      </c>
      <c r="M198" s="2">
        <f t="shared" si="18"/>
        <v>13576.366216216215</v>
      </c>
      <c r="N198">
        <v>0</v>
      </c>
      <c r="O198" t="s">
        <v>552</v>
      </c>
      <c r="P198" t="str">
        <f t="shared" si="19"/>
        <v>B2C</v>
      </c>
      <c r="Q198" t="s">
        <v>15</v>
      </c>
      <c r="R198">
        <v>657.59</v>
      </c>
    </row>
    <row r="199" spans="1:18" x14ac:dyDescent="0.3">
      <c r="A199">
        <v>1204</v>
      </c>
      <c r="B199" t="str">
        <f t="shared" si="15"/>
        <v>David Parker</v>
      </c>
      <c r="C199" t="s">
        <v>255</v>
      </c>
      <c r="D199" t="s">
        <v>24</v>
      </c>
      <c r="E199" t="s">
        <v>65</v>
      </c>
      <c r="F199" t="str">
        <f>CONCATENATE(Table1[[#This Row],[Product_Category]]," - ",Table1[[#This Row],[Product_Name]])</f>
        <v>Shoes - Slip-ons</v>
      </c>
      <c r="G199" s="2">
        <f>IF(H199="", AVERAGEIF(Table1[Product_Category],D199,$H$2:$H$474),H199)</f>
        <v>1.5517241379310345</v>
      </c>
      <c r="I199" s="2">
        <f t="shared" si="16"/>
        <v>4213.3999999999996</v>
      </c>
      <c r="J199">
        <v>4213.3999999999996</v>
      </c>
      <c r="K199">
        <f t="shared" si="17"/>
        <v>0</v>
      </c>
      <c r="M199" s="2">
        <f t="shared" si="18"/>
        <v>6538.0344827586205</v>
      </c>
      <c r="N199">
        <v>0</v>
      </c>
      <c r="O199" t="s">
        <v>45</v>
      </c>
      <c r="P199" t="str">
        <f t="shared" si="19"/>
        <v>B2B</v>
      </c>
      <c r="Q199" t="s">
        <v>22</v>
      </c>
      <c r="R199">
        <v>1867.53</v>
      </c>
    </row>
    <row r="200" spans="1:18" x14ac:dyDescent="0.3">
      <c r="A200">
        <v>1205</v>
      </c>
      <c r="B200" t="str">
        <f t="shared" si="15"/>
        <v>Jennifer Williams</v>
      </c>
      <c r="C200" t="s">
        <v>256</v>
      </c>
      <c r="D200" t="s">
        <v>12</v>
      </c>
      <c r="E200" t="s">
        <v>13</v>
      </c>
      <c r="F200" t="str">
        <f>CONCATENATE(Table1[[#This Row],[Product_Category]]," - ",Table1[[#This Row],[Product_Name]])</f>
        <v>Jeans - Slim Fit Jeans</v>
      </c>
      <c r="G200">
        <f>IF(H200="", AVERAGEIF(Table1[Product_Category],D200,$H$2:$H$474),H200)</f>
        <v>2</v>
      </c>
      <c r="I200" s="2">
        <f t="shared" si="16"/>
        <v>696.49</v>
      </c>
      <c r="J200">
        <v>696.49</v>
      </c>
      <c r="K200">
        <f t="shared" si="17"/>
        <v>0</v>
      </c>
      <c r="M200" s="2">
        <f t="shared" si="18"/>
        <v>1392.98</v>
      </c>
      <c r="N200">
        <v>0</v>
      </c>
      <c r="O200" t="s">
        <v>14</v>
      </c>
      <c r="P200" t="str">
        <f t="shared" si="19"/>
        <v>B2C</v>
      </c>
      <c r="Q200" t="s">
        <v>15</v>
      </c>
      <c r="R200">
        <v>-24.51</v>
      </c>
    </row>
    <row r="201" spans="1:18" x14ac:dyDescent="0.3">
      <c r="A201">
        <v>1206</v>
      </c>
      <c r="B201" t="str">
        <f t="shared" si="15"/>
        <v>Charles White</v>
      </c>
      <c r="C201" t="s">
        <v>257</v>
      </c>
      <c r="D201" t="s">
        <v>32</v>
      </c>
      <c r="E201" t="s">
        <v>71</v>
      </c>
      <c r="F201" t="str">
        <f>CONCATENATE(Table1[[#This Row],[Product_Category]]," - ",Table1[[#This Row],[Product_Name]])</f>
        <v>T-Shirts - Classic Tee</v>
      </c>
      <c r="G201">
        <f>IF(H201="", AVERAGEIF(Table1[Product_Category],D201,$H$2:$H$474),H201)</f>
        <v>0</v>
      </c>
      <c r="H201">
        <v>0</v>
      </c>
      <c r="I201" s="2">
        <f t="shared" si="16"/>
        <v>2715.2732432432431</v>
      </c>
      <c r="K201">
        <f t="shared" si="17"/>
        <v>0</v>
      </c>
      <c r="M201" s="2">
        <f t="shared" si="18"/>
        <v>0</v>
      </c>
      <c r="N201">
        <v>0</v>
      </c>
      <c r="O201" t="s">
        <v>552</v>
      </c>
      <c r="P201" t="str">
        <f t="shared" si="19"/>
        <v>B2C</v>
      </c>
      <c r="R201">
        <v>2472.2399999999998</v>
      </c>
    </row>
    <row r="202" spans="1:18" x14ac:dyDescent="0.3">
      <c r="A202">
        <v>1207</v>
      </c>
      <c r="B202" t="str">
        <f t="shared" si="15"/>
        <v>Jerome Richardson</v>
      </c>
      <c r="C202" t="s">
        <v>258</v>
      </c>
      <c r="D202" t="s">
        <v>12</v>
      </c>
      <c r="E202" t="s">
        <v>48</v>
      </c>
      <c r="F202" t="str">
        <f>CONCATENATE(Table1[[#This Row],[Product_Category]]," - ",Table1[[#This Row],[Product_Name]])</f>
        <v>Jeans - Straight Cut</v>
      </c>
      <c r="G202">
        <f>IF(H202="", AVERAGEIF(Table1[Product_Category],D202,$H$2:$H$474),H202)</f>
        <v>2</v>
      </c>
      <c r="I202" s="2">
        <f t="shared" si="16"/>
        <v>563.14</v>
      </c>
      <c r="J202">
        <v>563.14</v>
      </c>
      <c r="K202">
        <f t="shared" si="17"/>
        <v>0.33</v>
      </c>
      <c r="L202">
        <v>0.33</v>
      </c>
      <c r="M202" s="2">
        <f t="shared" si="18"/>
        <v>754.60759999999993</v>
      </c>
      <c r="N202">
        <v>0</v>
      </c>
      <c r="O202" t="s">
        <v>17</v>
      </c>
      <c r="P202" t="str">
        <f t="shared" si="19"/>
        <v>B2B</v>
      </c>
      <c r="Q202" t="s">
        <v>22</v>
      </c>
      <c r="R202">
        <v>945.7</v>
      </c>
    </row>
    <row r="203" spans="1:18" x14ac:dyDescent="0.3">
      <c r="A203">
        <v>1208</v>
      </c>
      <c r="B203" t="str">
        <f t="shared" si="15"/>
        <v>Jean Yoder</v>
      </c>
      <c r="C203" t="s">
        <v>259</v>
      </c>
      <c r="D203" t="s">
        <v>19</v>
      </c>
      <c r="E203" t="s">
        <v>87</v>
      </c>
      <c r="F203" t="str">
        <f>CONCATENATE(Table1[[#This Row],[Product_Category]]," - ",Table1[[#This Row],[Product_Name]])</f>
        <v>Jackets - Denim Jacket</v>
      </c>
      <c r="G203">
        <f>IF(H203="", AVERAGEIF(Table1[Product_Category],D203,$H$2:$H$474),H203)</f>
        <v>1</v>
      </c>
      <c r="H203">
        <v>1</v>
      </c>
      <c r="I203" s="2">
        <f t="shared" si="16"/>
        <v>2952.3559374999995</v>
      </c>
      <c r="K203">
        <f t="shared" si="17"/>
        <v>0</v>
      </c>
      <c r="M203" s="2">
        <f t="shared" si="18"/>
        <v>2952.3559374999995</v>
      </c>
      <c r="N203">
        <v>0</v>
      </c>
      <c r="O203" t="s">
        <v>21</v>
      </c>
      <c r="P203" t="str">
        <f t="shared" si="19"/>
        <v>B2C</v>
      </c>
      <c r="R203">
        <v>648.73</v>
      </c>
    </row>
    <row r="204" spans="1:18" x14ac:dyDescent="0.3">
      <c r="A204">
        <v>1209</v>
      </c>
      <c r="B204" t="str">
        <f t="shared" si="15"/>
        <v>Theodore Yang</v>
      </c>
      <c r="C204" t="s">
        <v>260</v>
      </c>
      <c r="D204" t="s">
        <v>28</v>
      </c>
      <c r="E204" t="s">
        <v>119</v>
      </c>
      <c r="F204" t="str">
        <f>CONCATENATE(Table1[[#This Row],[Product_Category]]," - ",Table1[[#This Row],[Product_Name]])</f>
        <v>Accessories - Watches</v>
      </c>
      <c r="G204" s="2">
        <f>IF(H204="", AVERAGEIF(Table1[Product_Category],D204,$H$2:$H$474),H204)</f>
        <v>2.5249999999999999</v>
      </c>
      <c r="I204" s="2">
        <f t="shared" si="16"/>
        <v>4029.87</v>
      </c>
      <c r="J204">
        <v>4029.87</v>
      </c>
      <c r="K204">
        <f t="shared" si="17"/>
        <v>0</v>
      </c>
      <c r="M204" s="2">
        <f t="shared" si="18"/>
        <v>10175.42175</v>
      </c>
      <c r="N204">
        <v>0</v>
      </c>
      <c r="O204" t="s">
        <v>17</v>
      </c>
      <c r="P204" t="str">
        <f t="shared" si="19"/>
        <v>B2C</v>
      </c>
      <c r="R204">
        <v>1447.79</v>
      </c>
    </row>
    <row r="205" spans="1:18" x14ac:dyDescent="0.3">
      <c r="A205">
        <v>1210</v>
      </c>
      <c r="B205" t="str">
        <f t="shared" si="15"/>
        <v>Rebecca Grant</v>
      </c>
      <c r="C205" t="s">
        <v>261</v>
      </c>
      <c r="D205" t="s">
        <v>28</v>
      </c>
      <c r="E205" t="s">
        <v>119</v>
      </c>
      <c r="F205" t="str">
        <f>CONCATENATE(Table1[[#This Row],[Product_Category]]," - ",Table1[[#This Row],[Product_Name]])</f>
        <v>Accessories - Watches</v>
      </c>
      <c r="G205">
        <f>IF(H205="", AVERAGEIF(Table1[Product_Category],D205,$H$2:$H$474),H205)</f>
        <v>4</v>
      </c>
      <c r="H205">
        <v>4</v>
      </c>
      <c r="I205" s="2">
        <f t="shared" si="16"/>
        <v>2755.6936585365856</v>
      </c>
      <c r="K205">
        <f t="shared" si="17"/>
        <v>1.1599999999999999</v>
      </c>
      <c r="L205">
        <v>1.1599999999999999</v>
      </c>
      <c r="M205" s="2">
        <f t="shared" si="18"/>
        <v>-1763.643941463414</v>
      </c>
      <c r="N205">
        <v>0</v>
      </c>
      <c r="O205" t="s">
        <v>14</v>
      </c>
      <c r="P205" t="str">
        <f t="shared" si="19"/>
        <v>B2C</v>
      </c>
      <c r="R205">
        <v>2179.54</v>
      </c>
    </row>
    <row r="206" spans="1:18" x14ac:dyDescent="0.3">
      <c r="A206">
        <v>1211</v>
      </c>
      <c r="B206" t="str">
        <f t="shared" si="15"/>
        <v>Kelli Young</v>
      </c>
      <c r="C206" t="s">
        <v>262</v>
      </c>
      <c r="D206" t="s">
        <v>12</v>
      </c>
      <c r="E206" t="s">
        <v>101</v>
      </c>
      <c r="F206" t="str">
        <f>CONCATENATE(Table1[[#This Row],[Product_Category]]," - ",Table1[[#This Row],[Product_Name]])</f>
        <v>Jeans - Ripped Denim</v>
      </c>
      <c r="G206">
        <f>IF(H206="", AVERAGEIF(Table1[Product_Category],D206,$H$2:$H$474),H206)</f>
        <v>2</v>
      </c>
      <c r="I206" s="2">
        <f t="shared" si="16"/>
        <v>1560.37</v>
      </c>
      <c r="J206">
        <v>1560.37</v>
      </c>
      <c r="K206">
        <f t="shared" si="17"/>
        <v>0</v>
      </c>
      <c r="M206" s="2">
        <f t="shared" si="18"/>
        <v>3120.74</v>
      </c>
      <c r="N206">
        <v>0</v>
      </c>
      <c r="O206" t="s">
        <v>17</v>
      </c>
      <c r="P206" t="str">
        <f t="shared" si="19"/>
        <v>B2C</v>
      </c>
      <c r="Q206" t="s">
        <v>15</v>
      </c>
      <c r="R206">
        <v>2783.91</v>
      </c>
    </row>
    <row r="207" spans="1:18" x14ac:dyDescent="0.3">
      <c r="A207">
        <v>1212</v>
      </c>
      <c r="B207" t="str">
        <f t="shared" si="15"/>
        <v>Bradley Quinn</v>
      </c>
      <c r="C207" t="s">
        <v>263</v>
      </c>
      <c r="D207" t="s">
        <v>24</v>
      </c>
      <c r="E207" t="s">
        <v>65</v>
      </c>
      <c r="F207" t="str">
        <f>CONCATENATE(Table1[[#This Row],[Product_Category]]," - ",Table1[[#This Row],[Product_Name]])</f>
        <v>Shoes - Slip-ons</v>
      </c>
      <c r="G207">
        <f>IF(H207="", AVERAGEIF(Table1[Product_Category],D207,$H$2:$H$474),H207)</f>
        <v>-1</v>
      </c>
      <c r="H207">
        <v>-1</v>
      </c>
      <c r="I207" s="2">
        <f t="shared" si="16"/>
        <v>4098.12</v>
      </c>
      <c r="J207">
        <v>4098.12</v>
      </c>
      <c r="K207">
        <f t="shared" si="17"/>
        <v>0</v>
      </c>
      <c r="M207" s="2">
        <f t="shared" si="18"/>
        <v>-4098.12</v>
      </c>
      <c r="N207">
        <v>0</v>
      </c>
      <c r="O207" t="s">
        <v>552</v>
      </c>
      <c r="P207" t="str">
        <f t="shared" si="19"/>
        <v>B2C</v>
      </c>
      <c r="R207">
        <v>-656.35</v>
      </c>
    </row>
    <row r="208" spans="1:18" x14ac:dyDescent="0.3">
      <c r="A208">
        <v>1213</v>
      </c>
      <c r="B208" t="str">
        <f t="shared" si="15"/>
        <v>Darrell Reynolds</v>
      </c>
      <c r="C208" t="s">
        <v>264</v>
      </c>
      <c r="D208" t="s">
        <v>32</v>
      </c>
      <c r="E208" t="s">
        <v>71</v>
      </c>
      <c r="F208" t="str">
        <f>CONCATENATE(Table1[[#This Row],[Product_Category]]," - ",Table1[[#This Row],[Product_Name]])</f>
        <v>T-Shirts - Classic Tee</v>
      </c>
      <c r="G208" s="2">
        <f>IF(H208="", AVERAGEIF(Table1[Product_Category],D208,$H$2:$H$474),H208)</f>
        <v>1.5813953488372092</v>
      </c>
      <c r="I208" s="2">
        <f t="shared" si="16"/>
        <v>2715.2732432432431</v>
      </c>
      <c r="K208">
        <f t="shared" si="17"/>
        <v>0</v>
      </c>
      <c r="M208" s="2">
        <f t="shared" si="18"/>
        <v>4293.9204776869892</v>
      </c>
      <c r="N208">
        <v>0</v>
      </c>
      <c r="O208" t="s">
        <v>17</v>
      </c>
      <c r="P208" t="str">
        <f t="shared" si="19"/>
        <v>B2C</v>
      </c>
      <c r="R208">
        <v>1093.98</v>
      </c>
    </row>
    <row r="209" spans="1:18" x14ac:dyDescent="0.3">
      <c r="A209">
        <v>1214</v>
      </c>
      <c r="B209" t="str">
        <f t="shared" si="15"/>
        <v>Alicia Hernandez</v>
      </c>
      <c r="C209" t="s">
        <v>265</v>
      </c>
      <c r="D209" t="s">
        <v>19</v>
      </c>
      <c r="E209" t="s">
        <v>121</v>
      </c>
      <c r="F209" t="str">
        <f>CONCATENATE(Table1[[#This Row],[Product_Category]]," - ",Table1[[#This Row],[Product_Name]])</f>
        <v>Jackets - Leather Jacket</v>
      </c>
      <c r="G209">
        <f>IF(H209="", AVERAGEIF(Table1[Product_Category],D209,$H$2:$H$474),H209)</f>
        <v>4</v>
      </c>
      <c r="H209">
        <v>4</v>
      </c>
      <c r="I209" s="2">
        <f t="shared" si="16"/>
        <v>1273.5999999999999</v>
      </c>
      <c r="J209">
        <v>1273.5999999999999</v>
      </c>
      <c r="K209">
        <f t="shared" si="17"/>
        <v>0</v>
      </c>
      <c r="M209" s="2">
        <f t="shared" si="18"/>
        <v>5094.3999999999996</v>
      </c>
      <c r="N209">
        <v>0</v>
      </c>
      <c r="O209" t="s">
        <v>552</v>
      </c>
      <c r="P209" t="str">
        <f t="shared" si="19"/>
        <v>B2C</v>
      </c>
      <c r="Q209" t="s">
        <v>15</v>
      </c>
      <c r="R209">
        <v>1851.89</v>
      </c>
    </row>
    <row r="210" spans="1:18" x14ac:dyDescent="0.3">
      <c r="A210">
        <v>1215</v>
      </c>
      <c r="B210" t="str">
        <f t="shared" si="15"/>
        <v>Melanie Hoffman</v>
      </c>
      <c r="C210" t="s">
        <v>266</v>
      </c>
      <c r="D210" t="s">
        <v>32</v>
      </c>
      <c r="E210" t="s">
        <v>71</v>
      </c>
      <c r="F210" t="str">
        <f>CONCATENATE(Table1[[#This Row],[Product_Category]]," - ",Table1[[#This Row],[Product_Name]])</f>
        <v>T-Shirts - Classic Tee</v>
      </c>
      <c r="G210">
        <f>IF(H210="", AVERAGEIF(Table1[Product_Category],D210,$H$2:$H$474),H210)</f>
        <v>6</v>
      </c>
      <c r="H210">
        <v>6</v>
      </c>
      <c r="I210" s="2">
        <f t="shared" si="16"/>
        <v>3802.27</v>
      </c>
      <c r="J210">
        <v>3802.27</v>
      </c>
      <c r="K210">
        <f t="shared" si="17"/>
        <v>0</v>
      </c>
      <c r="M210" s="2">
        <f t="shared" si="18"/>
        <v>22813.62</v>
      </c>
      <c r="N210">
        <v>0</v>
      </c>
      <c r="O210" t="s">
        <v>17</v>
      </c>
      <c r="P210" t="str">
        <f t="shared" si="19"/>
        <v>B2C</v>
      </c>
      <c r="Q210" t="s">
        <v>15</v>
      </c>
      <c r="R210">
        <v>-266.99</v>
      </c>
    </row>
    <row r="211" spans="1:18" x14ac:dyDescent="0.3">
      <c r="A211">
        <v>1216</v>
      </c>
      <c r="B211" t="str">
        <f t="shared" si="15"/>
        <v>Benjamin Dunlap</v>
      </c>
      <c r="C211" t="s">
        <v>267</v>
      </c>
      <c r="D211" t="s">
        <v>32</v>
      </c>
      <c r="E211" t="s">
        <v>71</v>
      </c>
      <c r="F211" t="str">
        <f>CONCATENATE(Table1[[#This Row],[Product_Category]]," - ",Table1[[#This Row],[Product_Name]])</f>
        <v>T-Shirts - Classic Tee</v>
      </c>
      <c r="G211">
        <f>IF(H211="", AVERAGEIF(Table1[Product_Category],D211,$H$2:$H$474),H211)</f>
        <v>6</v>
      </c>
      <c r="H211">
        <v>6</v>
      </c>
      <c r="I211" s="2">
        <f t="shared" si="16"/>
        <v>2715.2732432432431</v>
      </c>
      <c r="K211">
        <f t="shared" si="17"/>
        <v>1.17</v>
      </c>
      <c r="L211">
        <v>1.17</v>
      </c>
      <c r="M211" s="2">
        <f t="shared" si="18"/>
        <v>-2769.5787081081066</v>
      </c>
      <c r="N211">
        <v>0</v>
      </c>
      <c r="O211" t="s">
        <v>14</v>
      </c>
      <c r="P211" t="str">
        <f t="shared" si="19"/>
        <v>B2B</v>
      </c>
      <c r="Q211" t="s">
        <v>22</v>
      </c>
      <c r="R211">
        <v>2986.8</v>
      </c>
    </row>
    <row r="212" spans="1:18" x14ac:dyDescent="0.3">
      <c r="A212">
        <v>1217</v>
      </c>
      <c r="B212" t="str">
        <f t="shared" si="15"/>
        <v>Cheryl King</v>
      </c>
      <c r="C212" t="s">
        <v>268</v>
      </c>
      <c r="D212" t="s">
        <v>19</v>
      </c>
      <c r="E212" t="s">
        <v>87</v>
      </c>
      <c r="F212" t="str">
        <f>CONCATENATE(Table1[[#This Row],[Product_Category]]," - ",Table1[[#This Row],[Product_Name]])</f>
        <v>Jackets - Denim Jacket</v>
      </c>
      <c r="G212">
        <f>IF(H212="", AVERAGEIF(Table1[Product_Category],D212,$H$2:$H$474),H212)</f>
        <v>3</v>
      </c>
      <c r="H212">
        <v>3</v>
      </c>
      <c r="I212" s="2">
        <f t="shared" si="16"/>
        <v>2850.38</v>
      </c>
      <c r="J212">
        <v>2850.38</v>
      </c>
      <c r="K212">
        <f t="shared" si="17"/>
        <v>0</v>
      </c>
      <c r="M212" s="2">
        <f t="shared" si="18"/>
        <v>8551.14</v>
      </c>
      <c r="N212">
        <v>0</v>
      </c>
      <c r="O212" t="s">
        <v>14</v>
      </c>
      <c r="P212" t="str">
        <f t="shared" si="19"/>
        <v>B2C</v>
      </c>
      <c r="Q212" t="s">
        <v>15</v>
      </c>
      <c r="R212">
        <v>17.309999999999999</v>
      </c>
    </row>
    <row r="213" spans="1:18" x14ac:dyDescent="0.3">
      <c r="A213">
        <v>1218</v>
      </c>
      <c r="B213" t="str">
        <f t="shared" si="15"/>
        <v>Jamie Alexander</v>
      </c>
      <c r="C213" t="s">
        <v>269</v>
      </c>
      <c r="D213" t="s">
        <v>37</v>
      </c>
      <c r="E213" t="s">
        <v>62</v>
      </c>
      <c r="F213" t="str">
        <f>CONCATENATE(Table1[[#This Row],[Product_Category]]," - ",Table1[[#This Row],[Product_Name]])</f>
        <v>Dresses - Wrap Dress</v>
      </c>
      <c r="G213">
        <f>IF(H213="", AVERAGEIF(Table1[Product_Category],D213,$H$2:$H$474),H213)</f>
        <v>3</v>
      </c>
      <c r="H213">
        <v>3</v>
      </c>
      <c r="I213" s="2">
        <f t="shared" si="16"/>
        <v>1544.45</v>
      </c>
      <c r="J213">
        <v>1544.45</v>
      </c>
      <c r="K213">
        <f t="shared" si="17"/>
        <v>0.33</v>
      </c>
      <c r="L213">
        <v>0.33</v>
      </c>
      <c r="M213" s="2">
        <f t="shared" si="18"/>
        <v>3104.3444999999997</v>
      </c>
      <c r="N213">
        <v>3104.34</v>
      </c>
      <c r="O213" t="s">
        <v>552</v>
      </c>
      <c r="P213" t="str">
        <f t="shared" si="19"/>
        <v>B2B</v>
      </c>
      <c r="Q213" t="s">
        <v>22</v>
      </c>
      <c r="R213">
        <v>707.56</v>
      </c>
    </row>
    <row r="214" spans="1:18" x14ac:dyDescent="0.3">
      <c r="A214">
        <v>1219</v>
      </c>
      <c r="B214" t="str">
        <f t="shared" si="15"/>
        <v>Kayla Crawford</v>
      </c>
      <c r="C214" t="s">
        <v>270</v>
      </c>
      <c r="D214" t="s">
        <v>12</v>
      </c>
      <c r="E214" t="s">
        <v>48</v>
      </c>
      <c r="F214" t="str">
        <f>CONCATENATE(Table1[[#This Row],[Product_Category]]," - ",Table1[[#This Row],[Product_Name]])</f>
        <v>Jeans - Straight Cut</v>
      </c>
      <c r="G214">
        <f>IF(H214="", AVERAGEIF(Table1[Product_Category],D214,$H$2:$H$474),H214)</f>
        <v>2</v>
      </c>
      <c r="I214" s="2">
        <f t="shared" si="16"/>
        <v>2592.8782222222212</v>
      </c>
      <c r="K214">
        <f t="shared" si="17"/>
        <v>0</v>
      </c>
      <c r="M214" s="2">
        <f t="shared" si="18"/>
        <v>5185.7564444444424</v>
      </c>
      <c r="N214">
        <v>0</v>
      </c>
      <c r="O214" t="s">
        <v>39</v>
      </c>
      <c r="P214" t="str">
        <f t="shared" si="19"/>
        <v>B2C</v>
      </c>
      <c r="R214">
        <v>2206</v>
      </c>
    </row>
    <row r="215" spans="1:18" x14ac:dyDescent="0.3">
      <c r="A215">
        <v>1220</v>
      </c>
      <c r="B215" t="str">
        <f t="shared" si="15"/>
        <v>Amber Rivera</v>
      </c>
      <c r="C215" t="s">
        <v>271</v>
      </c>
      <c r="D215" t="s">
        <v>32</v>
      </c>
      <c r="E215" t="s">
        <v>43</v>
      </c>
      <c r="F215" t="str">
        <f>CONCATENATE(Table1[[#This Row],[Product_Category]]," - ",Table1[[#This Row],[Product_Name]])</f>
        <v>T-Shirts - Oversized T-shirt</v>
      </c>
      <c r="G215" s="2">
        <f>IF(H215="", AVERAGEIF(Table1[Product_Category],D215,$H$2:$H$474),H215)</f>
        <v>1.5813953488372092</v>
      </c>
      <c r="I215" s="2">
        <f t="shared" si="16"/>
        <v>2715.2732432432431</v>
      </c>
      <c r="K215">
        <f t="shared" si="17"/>
        <v>0</v>
      </c>
      <c r="M215" s="2">
        <f t="shared" si="18"/>
        <v>4293.9204776869892</v>
      </c>
      <c r="N215">
        <v>0</v>
      </c>
      <c r="O215" t="s">
        <v>39</v>
      </c>
      <c r="P215" t="str">
        <f t="shared" si="19"/>
        <v>B2C</v>
      </c>
      <c r="R215">
        <v>1598.22</v>
      </c>
    </row>
    <row r="216" spans="1:18" x14ac:dyDescent="0.3">
      <c r="A216">
        <v>1221</v>
      </c>
      <c r="B216" t="str">
        <f t="shared" si="15"/>
        <v>Cody Mitchell</v>
      </c>
      <c r="C216" t="s">
        <v>272</v>
      </c>
      <c r="D216" t="s">
        <v>28</v>
      </c>
      <c r="E216" t="s">
        <v>29</v>
      </c>
      <c r="F216" t="str">
        <f>CONCATENATE(Table1[[#This Row],[Product_Category]]," - ",Table1[[#This Row],[Product_Name]])</f>
        <v>Accessories - Belts</v>
      </c>
      <c r="G216">
        <f>IF(H216="", AVERAGEIF(Table1[Product_Category],D216,$H$2:$H$474),H216)</f>
        <v>3</v>
      </c>
      <c r="H216">
        <v>3</v>
      </c>
      <c r="I216" s="2">
        <f t="shared" si="16"/>
        <v>2755.6936585365856</v>
      </c>
      <c r="K216">
        <f t="shared" si="17"/>
        <v>0</v>
      </c>
      <c r="M216" s="2">
        <f t="shared" si="18"/>
        <v>8267.0809756097569</v>
      </c>
      <c r="N216">
        <v>0</v>
      </c>
      <c r="O216" t="s">
        <v>21</v>
      </c>
      <c r="P216" t="str">
        <f t="shared" si="19"/>
        <v>B2B</v>
      </c>
      <c r="Q216" t="s">
        <v>22</v>
      </c>
      <c r="R216">
        <v>898.67</v>
      </c>
    </row>
    <row r="217" spans="1:18" x14ac:dyDescent="0.3">
      <c r="A217">
        <v>1222</v>
      </c>
      <c r="B217" t="str">
        <f t="shared" si="15"/>
        <v>Karen Pennington</v>
      </c>
      <c r="C217" t="s">
        <v>273</v>
      </c>
      <c r="D217" t="s">
        <v>32</v>
      </c>
      <c r="E217" t="s">
        <v>71</v>
      </c>
      <c r="F217" t="str">
        <f>CONCATENATE(Table1[[#This Row],[Product_Category]]," - ",Table1[[#This Row],[Product_Name]])</f>
        <v>T-Shirts - Classic Tee</v>
      </c>
      <c r="G217" s="2">
        <f>IF(H217="", AVERAGEIF(Table1[Product_Category],D217,$H$2:$H$474),H217)</f>
        <v>1.5813953488372092</v>
      </c>
      <c r="I217" s="2">
        <f t="shared" si="16"/>
        <v>683.85</v>
      </c>
      <c r="J217">
        <v>683.85</v>
      </c>
      <c r="K217">
        <f t="shared" si="17"/>
        <v>0</v>
      </c>
      <c r="M217" s="2">
        <f t="shared" si="18"/>
        <v>1081.4372093023255</v>
      </c>
      <c r="N217">
        <v>0</v>
      </c>
      <c r="O217" t="s">
        <v>45</v>
      </c>
      <c r="P217" t="str">
        <f t="shared" si="19"/>
        <v>B2C</v>
      </c>
      <c r="Q217" t="s">
        <v>15</v>
      </c>
      <c r="R217">
        <v>1489.45</v>
      </c>
    </row>
    <row r="218" spans="1:18" x14ac:dyDescent="0.3">
      <c r="A218">
        <v>1223</v>
      </c>
      <c r="B218" t="str">
        <f t="shared" si="15"/>
        <v>Nicholas Thompson</v>
      </c>
      <c r="C218" t="s">
        <v>274</v>
      </c>
      <c r="D218" t="s">
        <v>32</v>
      </c>
      <c r="E218" t="s">
        <v>33</v>
      </c>
      <c r="F218" t="str">
        <f>CONCATENATE(Table1[[#This Row],[Product_Category]]," - ",Table1[[#This Row],[Product_Name]])</f>
        <v>T-Shirts - Crop Top</v>
      </c>
      <c r="G218" s="2">
        <f>IF(H218="", AVERAGEIF(Table1[Product_Category],D218,$H$2:$H$474),H218)</f>
        <v>1.5813953488372092</v>
      </c>
      <c r="I218" s="2">
        <f t="shared" si="16"/>
        <v>2715.2732432432431</v>
      </c>
      <c r="K218">
        <f t="shared" si="17"/>
        <v>0</v>
      </c>
      <c r="M218" s="2">
        <f t="shared" si="18"/>
        <v>4293.9204776869892</v>
      </c>
      <c r="N218">
        <v>0</v>
      </c>
      <c r="O218" t="s">
        <v>552</v>
      </c>
      <c r="P218" t="str">
        <f t="shared" si="19"/>
        <v>B2B</v>
      </c>
      <c r="Q218" t="s">
        <v>22</v>
      </c>
      <c r="R218">
        <v>-531.04999999999995</v>
      </c>
    </row>
    <row r="219" spans="1:18" x14ac:dyDescent="0.3">
      <c r="A219">
        <v>1224</v>
      </c>
      <c r="B219" t="str">
        <f t="shared" si="15"/>
        <v>Shelby Lewis</v>
      </c>
      <c r="C219" t="s">
        <v>275</v>
      </c>
      <c r="D219" t="s">
        <v>37</v>
      </c>
      <c r="E219" t="s">
        <v>62</v>
      </c>
      <c r="F219" t="str">
        <f>CONCATENATE(Table1[[#This Row],[Product_Category]]," - ",Table1[[#This Row],[Product_Name]])</f>
        <v>Dresses - Wrap Dress</v>
      </c>
      <c r="G219" s="2">
        <f>IF(H219="", AVERAGEIF(Table1[Product_Category],D219,$H$2:$H$474),H219)</f>
        <v>2.0217391304347827</v>
      </c>
      <c r="I219" s="2">
        <f t="shared" si="16"/>
        <v>2878.0747619047615</v>
      </c>
      <c r="K219">
        <f t="shared" si="17"/>
        <v>0</v>
      </c>
      <c r="M219" s="2">
        <f t="shared" si="18"/>
        <v>5818.7163664596264</v>
      </c>
      <c r="N219">
        <v>0</v>
      </c>
      <c r="O219" t="s">
        <v>17</v>
      </c>
      <c r="P219" t="str">
        <f t="shared" si="19"/>
        <v>B2C</v>
      </c>
      <c r="Q219" t="s">
        <v>15</v>
      </c>
      <c r="R219">
        <v>2219.56</v>
      </c>
    </row>
    <row r="220" spans="1:18" x14ac:dyDescent="0.3">
      <c r="A220">
        <v>1225</v>
      </c>
      <c r="B220" t="str">
        <f t="shared" si="15"/>
        <v>Gregory Flores</v>
      </c>
      <c r="C220" t="s">
        <v>276</v>
      </c>
      <c r="D220" t="s">
        <v>24</v>
      </c>
      <c r="E220" t="s">
        <v>25</v>
      </c>
      <c r="F220" t="str">
        <f>CONCATENATE(Table1[[#This Row],[Product_Category]]," - ",Table1[[#This Row],[Product_Name]])</f>
        <v>Shoes - Loafers</v>
      </c>
      <c r="G220">
        <f>IF(H220="", AVERAGEIF(Table1[Product_Category],D220,$H$2:$H$474),H220)</f>
        <v>-1</v>
      </c>
      <c r="H220">
        <v>-1</v>
      </c>
      <c r="I220" s="2">
        <f t="shared" si="16"/>
        <v>1406.32</v>
      </c>
      <c r="J220">
        <v>1406.32</v>
      </c>
      <c r="K220">
        <f t="shared" si="17"/>
        <v>1.05</v>
      </c>
      <c r="L220">
        <v>1.05</v>
      </c>
      <c r="M220" s="2">
        <f t="shared" si="18"/>
        <v>70.316000000000059</v>
      </c>
      <c r="N220">
        <v>70.319999999999993</v>
      </c>
      <c r="O220" t="s">
        <v>39</v>
      </c>
      <c r="P220" t="str">
        <f t="shared" si="19"/>
        <v>B2C</v>
      </c>
      <c r="R220">
        <v>1937.71</v>
      </c>
    </row>
    <row r="221" spans="1:18" x14ac:dyDescent="0.3">
      <c r="A221">
        <v>1226</v>
      </c>
      <c r="B221" t="str">
        <f t="shared" si="15"/>
        <v>Jeffrey Haynes</v>
      </c>
      <c r="C221" t="s">
        <v>277</v>
      </c>
      <c r="D221" t="s">
        <v>37</v>
      </c>
      <c r="E221" t="s">
        <v>90</v>
      </c>
      <c r="F221" t="str">
        <f>CONCATENATE(Table1[[#This Row],[Product_Category]]," - ",Table1[[#This Row],[Product_Name]])</f>
        <v>Dresses - Bodycon</v>
      </c>
      <c r="G221">
        <f>IF(H221="", AVERAGEIF(Table1[Product_Category],D221,$H$2:$H$474),H221)</f>
        <v>1</v>
      </c>
      <c r="H221">
        <v>1</v>
      </c>
      <c r="I221" s="2">
        <f t="shared" si="16"/>
        <v>2878.0747619047615</v>
      </c>
      <c r="K221">
        <f t="shared" si="17"/>
        <v>1.1499999999999999</v>
      </c>
      <c r="L221">
        <v>1.1499999999999999</v>
      </c>
      <c r="M221" s="2">
        <f t="shared" si="18"/>
        <v>-431.71121428571399</v>
      </c>
      <c r="N221">
        <v>0</v>
      </c>
      <c r="O221" t="s">
        <v>17</v>
      </c>
      <c r="P221" t="str">
        <f t="shared" si="19"/>
        <v>B2B</v>
      </c>
      <c r="Q221" t="s">
        <v>22</v>
      </c>
      <c r="R221">
        <v>2806.56</v>
      </c>
    </row>
    <row r="222" spans="1:18" x14ac:dyDescent="0.3">
      <c r="A222">
        <v>1227</v>
      </c>
      <c r="B222" t="str">
        <f t="shared" si="15"/>
        <v>Antonio Moses</v>
      </c>
      <c r="C222" t="s">
        <v>278</v>
      </c>
      <c r="D222" t="s">
        <v>28</v>
      </c>
      <c r="E222" t="s">
        <v>41</v>
      </c>
      <c r="F222" t="str">
        <f>CONCATENATE(Table1[[#This Row],[Product_Category]]," - ",Table1[[#This Row],[Product_Name]])</f>
        <v>Accessories - Sunglasses</v>
      </c>
      <c r="G222">
        <f>IF(H222="", AVERAGEIF(Table1[Product_Category],D222,$H$2:$H$474),H222)</f>
        <v>2</v>
      </c>
      <c r="H222">
        <v>2</v>
      </c>
      <c r="I222" s="2">
        <f t="shared" si="16"/>
        <v>2755.6936585365856</v>
      </c>
      <c r="K222">
        <f t="shared" si="17"/>
        <v>0.25</v>
      </c>
      <c r="L222">
        <v>0.25</v>
      </c>
      <c r="M222" s="2">
        <f t="shared" si="18"/>
        <v>4133.5404878048785</v>
      </c>
      <c r="N222">
        <v>0</v>
      </c>
      <c r="O222" t="s">
        <v>552</v>
      </c>
      <c r="P222" t="str">
        <f t="shared" si="19"/>
        <v>B2C</v>
      </c>
      <c r="Q222" t="s">
        <v>15</v>
      </c>
      <c r="R222">
        <v>2096.6799999999998</v>
      </c>
    </row>
    <row r="223" spans="1:18" x14ac:dyDescent="0.3">
      <c r="A223">
        <v>1229</v>
      </c>
      <c r="B223" t="str">
        <f t="shared" si="15"/>
        <v>Allen Burton</v>
      </c>
      <c r="C223" t="s">
        <v>280</v>
      </c>
      <c r="D223" t="s">
        <v>37</v>
      </c>
      <c r="E223" t="s">
        <v>90</v>
      </c>
      <c r="F223" t="str">
        <f>CONCATENATE(Table1[[#This Row],[Product_Category]]," - ",Table1[[#This Row],[Product_Name]])</f>
        <v>Dresses - Bodycon</v>
      </c>
      <c r="G223" s="2">
        <f>IF(H223="", AVERAGEIF(Table1[Product_Category],D223,$H$2:$H$474),H223)</f>
        <v>2.0217391304347827</v>
      </c>
      <c r="I223" s="2">
        <f t="shared" si="16"/>
        <v>2878.0747619047615</v>
      </c>
      <c r="K223">
        <f t="shared" si="17"/>
        <v>0</v>
      </c>
      <c r="M223" s="2">
        <f t="shared" si="18"/>
        <v>5818.7163664596264</v>
      </c>
      <c r="N223">
        <v>0</v>
      </c>
      <c r="O223" t="s">
        <v>14</v>
      </c>
      <c r="P223" t="str">
        <f t="shared" si="19"/>
        <v>B2C</v>
      </c>
      <c r="R223">
        <v>925.22</v>
      </c>
    </row>
    <row r="224" spans="1:18" x14ac:dyDescent="0.3">
      <c r="A224">
        <v>1230</v>
      </c>
      <c r="B224" t="str">
        <f t="shared" si="15"/>
        <v>Adam Bennett</v>
      </c>
      <c r="C224" t="s">
        <v>281</v>
      </c>
      <c r="D224" t="s">
        <v>28</v>
      </c>
      <c r="E224" t="s">
        <v>119</v>
      </c>
      <c r="F224" t="str">
        <f>CONCATENATE(Table1[[#This Row],[Product_Category]]," - ",Table1[[#This Row],[Product_Name]])</f>
        <v>Accessories - Watches</v>
      </c>
      <c r="G224">
        <f>IF(H224="", AVERAGEIF(Table1[Product_Category],D224,$H$2:$H$474),H224)</f>
        <v>3</v>
      </c>
      <c r="H224">
        <v>3</v>
      </c>
      <c r="I224" s="2">
        <f t="shared" si="16"/>
        <v>2755.6936585365856</v>
      </c>
      <c r="K224">
        <f t="shared" si="17"/>
        <v>1.2</v>
      </c>
      <c r="L224">
        <v>1.2</v>
      </c>
      <c r="M224" s="2">
        <f t="shared" si="18"/>
        <v>-1653.416195121951</v>
      </c>
      <c r="N224">
        <v>0</v>
      </c>
      <c r="O224" t="s">
        <v>552</v>
      </c>
      <c r="P224" t="str">
        <f t="shared" si="19"/>
        <v>B2C</v>
      </c>
      <c r="R224">
        <v>2725.11</v>
      </c>
    </row>
    <row r="225" spans="1:18" x14ac:dyDescent="0.3">
      <c r="A225">
        <v>1231</v>
      </c>
      <c r="B225" t="str">
        <f t="shared" si="15"/>
        <v>Ashley Stevens</v>
      </c>
      <c r="C225" t="s">
        <v>282</v>
      </c>
      <c r="D225" t="s">
        <v>24</v>
      </c>
      <c r="E225" t="s">
        <v>65</v>
      </c>
      <c r="F225" t="str">
        <f>CONCATENATE(Table1[[#This Row],[Product_Category]]," - ",Table1[[#This Row],[Product_Name]])</f>
        <v>Shoes - Slip-ons</v>
      </c>
      <c r="G225">
        <f>IF(H225="", AVERAGEIF(Table1[Product_Category],D225,$H$2:$H$474),H225)</f>
        <v>1</v>
      </c>
      <c r="H225">
        <v>1</v>
      </c>
      <c r="I225" s="2">
        <f t="shared" si="16"/>
        <v>1744.73</v>
      </c>
      <c r="J225">
        <v>1744.73</v>
      </c>
      <c r="K225">
        <f t="shared" si="17"/>
        <v>0</v>
      </c>
      <c r="M225" s="2">
        <f t="shared" si="18"/>
        <v>1744.73</v>
      </c>
      <c r="N225">
        <v>0</v>
      </c>
      <c r="O225" t="s">
        <v>45</v>
      </c>
      <c r="P225" t="str">
        <f t="shared" si="19"/>
        <v>B2B</v>
      </c>
      <c r="Q225" t="s">
        <v>22</v>
      </c>
      <c r="R225">
        <v>1393.69</v>
      </c>
    </row>
    <row r="226" spans="1:18" x14ac:dyDescent="0.3">
      <c r="A226">
        <v>1232</v>
      </c>
      <c r="B226" t="str">
        <f t="shared" si="15"/>
        <v>Sierra Miller</v>
      </c>
      <c r="C226" t="s">
        <v>283</v>
      </c>
      <c r="D226" t="s">
        <v>24</v>
      </c>
      <c r="E226" t="s">
        <v>53</v>
      </c>
      <c r="F226" t="str">
        <f>CONCATENATE(Table1[[#This Row],[Product_Category]]," - ",Table1[[#This Row],[Product_Name]])</f>
        <v>Shoes - Sneakers</v>
      </c>
      <c r="G226">
        <f>IF(H226="", AVERAGEIF(Table1[Product_Category],D226,$H$2:$H$474),H226)</f>
        <v>2</v>
      </c>
      <c r="H226">
        <v>2</v>
      </c>
      <c r="I226" s="2">
        <f t="shared" si="16"/>
        <v>2526.77</v>
      </c>
      <c r="J226">
        <v>2526.77</v>
      </c>
      <c r="K226">
        <f t="shared" si="17"/>
        <v>0</v>
      </c>
      <c r="M226" s="2">
        <f t="shared" si="18"/>
        <v>5053.54</v>
      </c>
      <c r="N226">
        <v>0</v>
      </c>
      <c r="O226" t="s">
        <v>21</v>
      </c>
      <c r="P226" t="str">
        <f t="shared" si="19"/>
        <v>B2C</v>
      </c>
      <c r="Q226" t="s">
        <v>15</v>
      </c>
      <c r="R226">
        <v>1494.67</v>
      </c>
    </row>
    <row r="227" spans="1:18" x14ac:dyDescent="0.3">
      <c r="A227">
        <v>1233</v>
      </c>
      <c r="B227" t="str">
        <f t="shared" si="15"/>
        <v>Katie Garcia</v>
      </c>
      <c r="C227" t="s">
        <v>284</v>
      </c>
      <c r="D227" t="s">
        <v>19</v>
      </c>
      <c r="E227" t="s">
        <v>20</v>
      </c>
      <c r="F227" t="str">
        <f>CONCATENATE(Table1[[#This Row],[Product_Category]]," - ",Table1[[#This Row],[Product_Name]])</f>
        <v>Jackets - Puffer Coat</v>
      </c>
      <c r="G227">
        <f>IF(H227="", AVERAGEIF(Table1[Product_Category],D227,$H$2:$H$474),H227)</f>
        <v>-1</v>
      </c>
      <c r="H227">
        <v>-1</v>
      </c>
      <c r="I227" s="2">
        <f t="shared" si="16"/>
        <v>2952.3559374999995</v>
      </c>
      <c r="K227">
        <f t="shared" si="17"/>
        <v>7.0000000000000007E-2</v>
      </c>
      <c r="L227">
        <v>7.0000000000000007E-2</v>
      </c>
      <c r="M227" s="2">
        <f t="shared" si="18"/>
        <v>-2745.6910218749995</v>
      </c>
      <c r="N227">
        <v>0</v>
      </c>
      <c r="O227" t="s">
        <v>39</v>
      </c>
      <c r="P227" t="str">
        <f t="shared" si="19"/>
        <v>B2C</v>
      </c>
      <c r="R227">
        <v>2237.2399999999998</v>
      </c>
    </row>
    <row r="228" spans="1:18" x14ac:dyDescent="0.3">
      <c r="A228">
        <v>1234</v>
      </c>
      <c r="B228" t="str">
        <f t="shared" si="15"/>
        <v>Timothy Goodman</v>
      </c>
      <c r="C228" t="s">
        <v>285</v>
      </c>
      <c r="D228" t="s">
        <v>12</v>
      </c>
      <c r="E228" t="s">
        <v>48</v>
      </c>
      <c r="F228" t="str">
        <f>CONCATENATE(Table1[[#This Row],[Product_Category]]," - ",Table1[[#This Row],[Product_Name]])</f>
        <v>Jeans - Straight Cut</v>
      </c>
      <c r="G228">
        <f>IF(H228="", AVERAGEIF(Table1[Product_Category],D228,$H$2:$H$474),H228)</f>
        <v>2</v>
      </c>
      <c r="I228" s="2">
        <f t="shared" si="16"/>
        <v>1069.8800000000001</v>
      </c>
      <c r="J228">
        <v>1069.8800000000001</v>
      </c>
      <c r="K228">
        <f t="shared" si="17"/>
        <v>0.05</v>
      </c>
      <c r="L228">
        <v>0.05</v>
      </c>
      <c r="M228" s="2">
        <f t="shared" si="18"/>
        <v>2032.7720000000002</v>
      </c>
      <c r="N228">
        <v>0</v>
      </c>
      <c r="O228" t="s">
        <v>45</v>
      </c>
      <c r="P228" t="str">
        <f t="shared" si="19"/>
        <v>B2B</v>
      </c>
      <c r="Q228" t="s">
        <v>22</v>
      </c>
      <c r="R228">
        <v>110.58</v>
      </c>
    </row>
    <row r="229" spans="1:18" x14ac:dyDescent="0.3">
      <c r="A229">
        <v>1235</v>
      </c>
      <c r="B229" t="str">
        <f t="shared" si="15"/>
        <v>Rebecca Drake</v>
      </c>
      <c r="C229" t="s">
        <v>286</v>
      </c>
      <c r="D229" t="s">
        <v>19</v>
      </c>
      <c r="E229" t="s">
        <v>79</v>
      </c>
      <c r="F229" t="str">
        <f>CONCATENATE(Table1[[#This Row],[Product_Category]]," - ",Table1[[#This Row],[Product_Name]])</f>
        <v>Jackets - Bomber Jacket</v>
      </c>
      <c r="G229" s="2">
        <f>IF(H229="", AVERAGEIF(Table1[Product_Category],D229,$H$2:$H$474),H229)</f>
        <v>1.675</v>
      </c>
      <c r="I229" s="2">
        <f t="shared" si="16"/>
        <v>2952.3559374999995</v>
      </c>
      <c r="K229">
        <f t="shared" si="17"/>
        <v>0</v>
      </c>
      <c r="M229" s="2">
        <f t="shared" si="18"/>
        <v>4945.1961953124992</v>
      </c>
      <c r="N229">
        <v>0</v>
      </c>
      <c r="O229" t="s">
        <v>552</v>
      </c>
      <c r="P229" t="str">
        <f t="shared" si="19"/>
        <v>B2B</v>
      </c>
      <c r="Q229" t="s">
        <v>22</v>
      </c>
      <c r="R229">
        <v>-403.94</v>
      </c>
    </row>
    <row r="230" spans="1:18" x14ac:dyDescent="0.3">
      <c r="A230">
        <v>1237</v>
      </c>
      <c r="B230" t="str">
        <f t="shared" si="15"/>
        <v>Matthew Holloway</v>
      </c>
      <c r="C230" t="s">
        <v>288</v>
      </c>
      <c r="D230" t="s">
        <v>32</v>
      </c>
      <c r="E230" t="s">
        <v>71</v>
      </c>
      <c r="F230" t="str">
        <f>CONCATENATE(Table1[[#This Row],[Product_Category]]," - ",Table1[[#This Row],[Product_Name]])</f>
        <v>T-Shirts - Classic Tee</v>
      </c>
      <c r="G230" s="2">
        <f>IF(H230="", AVERAGEIF(Table1[Product_Category],D230,$H$2:$H$474),H230)</f>
        <v>1.5813953488372092</v>
      </c>
      <c r="I230" s="2">
        <f t="shared" si="16"/>
        <v>2715.2732432432431</v>
      </c>
      <c r="K230">
        <f t="shared" si="17"/>
        <v>0.28999999999999998</v>
      </c>
      <c r="L230">
        <v>0.28999999999999998</v>
      </c>
      <c r="M230" s="2">
        <f t="shared" si="18"/>
        <v>3048.683539157762</v>
      </c>
      <c r="N230">
        <v>0</v>
      </c>
      <c r="O230" t="s">
        <v>45</v>
      </c>
      <c r="P230" t="str">
        <f t="shared" si="19"/>
        <v>B2C</v>
      </c>
      <c r="Q230" t="s">
        <v>15</v>
      </c>
      <c r="R230">
        <v>-465.98</v>
      </c>
    </row>
    <row r="231" spans="1:18" x14ac:dyDescent="0.3">
      <c r="A231">
        <v>1238</v>
      </c>
      <c r="B231" t="str">
        <f t="shared" si="15"/>
        <v>Scott Weeks</v>
      </c>
      <c r="C231" t="s">
        <v>289</v>
      </c>
      <c r="D231" t="s">
        <v>24</v>
      </c>
      <c r="E231" t="s">
        <v>65</v>
      </c>
      <c r="F231" t="str">
        <f>CONCATENATE(Table1[[#This Row],[Product_Category]]," - ",Table1[[#This Row],[Product_Name]])</f>
        <v>Shoes - Slip-ons</v>
      </c>
      <c r="G231" s="2">
        <f>IF(H231="", AVERAGEIF(Table1[Product_Category],D231,$H$2:$H$474),H231)</f>
        <v>1.5517241379310345</v>
      </c>
      <c r="I231" s="2">
        <f t="shared" si="16"/>
        <v>2676.5783333333325</v>
      </c>
      <c r="K231">
        <f t="shared" si="17"/>
        <v>0</v>
      </c>
      <c r="M231" s="2">
        <f t="shared" si="18"/>
        <v>4153.3112068965502</v>
      </c>
      <c r="N231">
        <v>0</v>
      </c>
      <c r="O231" t="s">
        <v>45</v>
      </c>
      <c r="P231" t="str">
        <f t="shared" si="19"/>
        <v>B2C</v>
      </c>
      <c r="R231">
        <v>2742.61</v>
      </c>
    </row>
    <row r="232" spans="1:18" x14ac:dyDescent="0.3">
      <c r="A232">
        <v>1239</v>
      </c>
      <c r="B232" t="str">
        <f t="shared" si="15"/>
        <v>Karina Davis</v>
      </c>
      <c r="C232" t="s">
        <v>290</v>
      </c>
      <c r="D232" t="s">
        <v>32</v>
      </c>
      <c r="E232" t="s">
        <v>81</v>
      </c>
      <c r="F232" t="str">
        <f>CONCATENATE(Table1[[#This Row],[Product_Category]]," - ",Table1[[#This Row],[Product_Name]])</f>
        <v>T-Shirts - Graphic Tee</v>
      </c>
      <c r="G232">
        <f>IF(H232="", AVERAGEIF(Table1[Product_Category],D232,$H$2:$H$474),H232)</f>
        <v>4</v>
      </c>
      <c r="H232">
        <v>4</v>
      </c>
      <c r="I232" s="2">
        <f t="shared" si="16"/>
        <v>644.58000000000004</v>
      </c>
      <c r="J232">
        <v>644.58000000000004</v>
      </c>
      <c r="K232">
        <f t="shared" si="17"/>
        <v>0</v>
      </c>
      <c r="M232" s="2">
        <f t="shared" si="18"/>
        <v>2578.3200000000002</v>
      </c>
      <c r="N232">
        <v>0</v>
      </c>
      <c r="O232" t="s">
        <v>14</v>
      </c>
      <c r="P232" t="str">
        <f t="shared" si="19"/>
        <v>B2B</v>
      </c>
      <c r="Q232" t="s">
        <v>22</v>
      </c>
      <c r="R232">
        <v>1097.8800000000001</v>
      </c>
    </row>
    <row r="233" spans="1:18" x14ac:dyDescent="0.3">
      <c r="A233">
        <v>1240</v>
      </c>
      <c r="B233" t="str">
        <f t="shared" si="15"/>
        <v>Melanie Ramirez</v>
      </c>
      <c r="C233" t="s">
        <v>291</v>
      </c>
      <c r="D233" t="s">
        <v>37</v>
      </c>
      <c r="E233" t="s">
        <v>38</v>
      </c>
      <c r="F233" t="str">
        <f>CONCATENATE(Table1[[#This Row],[Product_Category]]," - ",Table1[[#This Row],[Product_Name]])</f>
        <v>Dresses - Casual Midi</v>
      </c>
      <c r="G233" s="2">
        <f>IF(H233="", AVERAGEIF(Table1[Product_Category],D233,$H$2:$H$474),H233)</f>
        <v>2.0217391304347827</v>
      </c>
      <c r="I233" s="2">
        <f t="shared" si="16"/>
        <v>4634.13</v>
      </c>
      <c r="J233">
        <v>4634.13</v>
      </c>
      <c r="K233">
        <f t="shared" si="17"/>
        <v>0</v>
      </c>
      <c r="M233" s="2">
        <f t="shared" si="18"/>
        <v>9369.001956521739</v>
      </c>
      <c r="N233">
        <v>0</v>
      </c>
      <c r="O233" t="s">
        <v>39</v>
      </c>
      <c r="P233" t="str">
        <f t="shared" si="19"/>
        <v>B2C</v>
      </c>
      <c r="R233">
        <v>2625.44</v>
      </c>
    </row>
    <row r="234" spans="1:18" x14ac:dyDescent="0.3">
      <c r="A234">
        <v>1241</v>
      </c>
      <c r="B234" t="str">
        <f t="shared" si="15"/>
        <v>Caroline Thomas</v>
      </c>
      <c r="C234" t="s">
        <v>292</v>
      </c>
      <c r="D234" t="s">
        <v>12</v>
      </c>
      <c r="E234" t="s">
        <v>13</v>
      </c>
      <c r="F234" t="str">
        <f>CONCATENATE(Table1[[#This Row],[Product_Category]]," - ",Table1[[#This Row],[Product_Name]])</f>
        <v>Jeans - Slim Fit Jeans</v>
      </c>
      <c r="G234">
        <f>IF(H234="", AVERAGEIF(Table1[Product_Category],D234,$H$2:$H$474),H234)</f>
        <v>6</v>
      </c>
      <c r="H234">
        <v>6</v>
      </c>
      <c r="I234" s="2">
        <f t="shared" si="16"/>
        <v>3111.95</v>
      </c>
      <c r="J234">
        <v>3111.95</v>
      </c>
      <c r="K234">
        <f t="shared" si="17"/>
        <v>0</v>
      </c>
      <c r="M234" s="2">
        <f t="shared" si="18"/>
        <v>18671.699999999997</v>
      </c>
      <c r="N234">
        <v>0</v>
      </c>
      <c r="O234" t="s">
        <v>39</v>
      </c>
      <c r="P234" t="str">
        <f t="shared" si="19"/>
        <v>B2C</v>
      </c>
      <c r="R234">
        <v>2814.82</v>
      </c>
    </row>
    <row r="235" spans="1:18" x14ac:dyDescent="0.3">
      <c r="A235">
        <v>1242</v>
      </c>
      <c r="B235" t="str">
        <f t="shared" si="15"/>
        <v>Pamela Navarro</v>
      </c>
      <c r="C235" t="s">
        <v>293</v>
      </c>
      <c r="D235" t="s">
        <v>12</v>
      </c>
      <c r="E235" t="s">
        <v>101</v>
      </c>
      <c r="F235" t="str">
        <f>CONCATENATE(Table1[[#This Row],[Product_Category]]," - ",Table1[[#This Row],[Product_Name]])</f>
        <v>Jeans - Ripped Denim</v>
      </c>
      <c r="G235">
        <f>IF(H235="", AVERAGEIF(Table1[Product_Category],D235,$H$2:$H$474),H235)</f>
        <v>-1</v>
      </c>
      <c r="H235">
        <v>-1</v>
      </c>
      <c r="I235" s="2">
        <f t="shared" si="16"/>
        <v>2592.8782222222212</v>
      </c>
      <c r="K235">
        <f t="shared" si="17"/>
        <v>0</v>
      </c>
      <c r="M235" s="2">
        <f t="shared" si="18"/>
        <v>-2592.8782222222212</v>
      </c>
      <c r="N235">
        <v>0</v>
      </c>
      <c r="O235" t="s">
        <v>45</v>
      </c>
      <c r="P235" t="str">
        <f t="shared" si="19"/>
        <v>B2B</v>
      </c>
      <c r="Q235" t="s">
        <v>22</v>
      </c>
      <c r="R235">
        <v>1576.74</v>
      </c>
    </row>
    <row r="236" spans="1:18" x14ac:dyDescent="0.3">
      <c r="A236">
        <v>1243</v>
      </c>
      <c r="B236" t="str">
        <f t="shared" si="15"/>
        <v>Jack Mccoy</v>
      </c>
      <c r="C236" t="s">
        <v>294</v>
      </c>
      <c r="D236" t="s">
        <v>28</v>
      </c>
      <c r="E236" t="s">
        <v>140</v>
      </c>
      <c r="F236" t="str">
        <f>CONCATENATE(Table1[[#This Row],[Product_Category]]," - ",Table1[[#This Row],[Product_Name]])</f>
        <v>Accessories - Caps</v>
      </c>
      <c r="G236">
        <f>IF(H236="", AVERAGEIF(Table1[Product_Category],D236,$H$2:$H$474),H236)</f>
        <v>3</v>
      </c>
      <c r="H236">
        <v>3</v>
      </c>
      <c r="I236" s="2">
        <f t="shared" si="16"/>
        <v>2755.6936585365856</v>
      </c>
      <c r="K236">
        <f t="shared" si="17"/>
        <v>0.69</v>
      </c>
      <c r="L236">
        <v>0.69</v>
      </c>
      <c r="M236" s="2">
        <f t="shared" si="18"/>
        <v>2562.795102439025</v>
      </c>
      <c r="N236">
        <v>0</v>
      </c>
      <c r="O236" t="s">
        <v>17</v>
      </c>
      <c r="P236" t="str">
        <f t="shared" si="19"/>
        <v>B2C</v>
      </c>
      <c r="R236">
        <v>779.51</v>
      </c>
    </row>
    <row r="237" spans="1:18" x14ac:dyDescent="0.3">
      <c r="A237">
        <v>1244</v>
      </c>
      <c r="B237" t="str">
        <f t="shared" si="15"/>
        <v>Ashley Walker</v>
      </c>
      <c r="C237" t="s">
        <v>295</v>
      </c>
      <c r="D237" t="s">
        <v>37</v>
      </c>
      <c r="E237" t="s">
        <v>58</v>
      </c>
      <c r="F237" t="str">
        <f>CONCATENATE(Table1[[#This Row],[Product_Category]]," - ",Table1[[#This Row],[Product_Name]])</f>
        <v>Dresses - Maxi Dress</v>
      </c>
      <c r="G237">
        <f>IF(H237="", AVERAGEIF(Table1[Product_Category],D237,$H$2:$H$474),H237)</f>
        <v>6</v>
      </c>
      <c r="H237">
        <v>6</v>
      </c>
      <c r="I237" s="2">
        <f t="shared" si="16"/>
        <v>2878.0747619047615</v>
      </c>
      <c r="K237">
        <f t="shared" si="17"/>
        <v>0</v>
      </c>
      <c r="M237" s="2">
        <f t="shared" si="18"/>
        <v>17268.448571428569</v>
      </c>
      <c r="N237">
        <v>0</v>
      </c>
      <c r="O237" t="s">
        <v>17</v>
      </c>
      <c r="P237" t="str">
        <f t="shared" si="19"/>
        <v>B2C</v>
      </c>
      <c r="Q237" t="s">
        <v>15</v>
      </c>
      <c r="R237">
        <v>2574.7600000000002</v>
      </c>
    </row>
    <row r="238" spans="1:18" x14ac:dyDescent="0.3">
      <c r="A238">
        <v>1245</v>
      </c>
      <c r="B238" t="str">
        <f t="shared" si="15"/>
        <v>Christopher Mcknight</v>
      </c>
      <c r="C238" t="s">
        <v>296</v>
      </c>
      <c r="D238" t="s">
        <v>32</v>
      </c>
      <c r="E238" t="s">
        <v>71</v>
      </c>
      <c r="F238" t="str">
        <f>CONCATENATE(Table1[[#This Row],[Product_Category]]," - ",Table1[[#This Row],[Product_Name]])</f>
        <v>T-Shirts - Classic Tee</v>
      </c>
      <c r="G238" s="2">
        <f>IF(H238="", AVERAGEIF(Table1[Product_Category],D238,$H$2:$H$474),H238)</f>
        <v>1.5813953488372092</v>
      </c>
      <c r="I238" s="2">
        <f t="shared" si="16"/>
        <v>1822.9</v>
      </c>
      <c r="J238">
        <v>1822.9</v>
      </c>
      <c r="K238">
        <f t="shared" si="17"/>
        <v>0</v>
      </c>
      <c r="M238" s="2">
        <f t="shared" si="18"/>
        <v>2882.7255813953489</v>
      </c>
      <c r="N238">
        <v>0</v>
      </c>
      <c r="O238" t="s">
        <v>14</v>
      </c>
      <c r="P238" t="str">
        <f t="shared" si="19"/>
        <v>B2C</v>
      </c>
      <c r="R238">
        <v>1076.3399999999999</v>
      </c>
    </row>
    <row r="239" spans="1:18" x14ac:dyDescent="0.3">
      <c r="A239">
        <v>1246</v>
      </c>
      <c r="B239" t="str">
        <f t="shared" si="15"/>
        <v>Derrick Scott</v>
      </c>
      <c r="C239" t="s">
        <v>297</v>
      </c>
      <c r="D239" t="s">
        <v>37</v>
      </c>
      <c r="E239" t="s">
        <v>58</v>
      </c>
      <c r="F239" t="str">
        <f>CONCATENATE(Table1[[#This Row],[Product_Category]]," - ",Table1[[#This Row],[Product_Name]])</f>
        <v>Dresses - Maxi Dress</v>
      </c>
      <c r="G239">
        <f>IF(H239="", AVERAGEIF(Table1[Product_Category],D239,$H$2:$H$474),H239)</f>
        <v>0</v>
      </c>
      <c r="H239">
        <v>0</v>
      </c>
      <c r="I239" s="2">
        <f t="shared" si="16"/>
        <v>2878.0747619047615</v>
      </c>
      <c r="K239">
        <f t="shared" si="17"/>
        <v>0.03</v>
      </c>
      <c r="L239">
        <v>0.03</v>
      </c>
      <c r="M239" s="2">
        <f t="shared" si="18"/>
        <v>0</v>
      </c>
      <c r="N239">
        <v>0</v>
      </c>
      <c r="O239" t="s">
        <v>552</v>
      </c>
      <c r="P239" t="str">
        <f t="shared" si="19"/>
        <v>B2C</v>
      </c>
      <c r="R239">
        <v>733.8</v>
      </c>
    </row>
    <row r="240" spans="1:18" x14ac:dyDescent="0.3">
      <c r="A240">
        <v>1247</v>
      </c>
      <c r="B240" t="str">
        <f t="shared" si="15"/>
        <v>Jared Tate</v>
      </c>
      <c r="C240" t="s">
        <v>298</v>
      </c>
      <c r="D240" t="s">
        <v>32</v>
      </c>
      <c r="E240" t="s">
        <v>33</v>
      </c>
      <c r="F240" t="str">
        <f>CONCATENATE(Table1[[#This Row],[Product_Category]]," - ",Table1[[#This Row],[Product_Name]])</f>
        <v>T-Shirts - Crop Top</v>
      </c>
      <c r="G240">
        <f>IF(H240="", AVERAGEIF(Table1[Product_Category],D240,$H$2:$H$474),H240)</f>
        <v>-1</v>
      </c>
      <c r="H240">
        <v>-1</v>
      </c>
      <c r="I240" s="2">
        <f t="shared" si="16"/>
        <v>2715.2732432432431</v>
      </c>
      <c r="K240">
        <f t="shared" si="17"/>
        <v>0</v>
      </c>
      <c r="M240" s="2">
        <f t="shared" si="18"/>
        <v>-2715.2732432432431</v>
      </c>
      <c r="N240">
        <v>0</v>
      </c>
      <c r="O240" t="s">
        <v>552</v>
      </c>
      <c r="P240" t="str">
        <f t="shared" si="19"/>
        <v>B2B</v>
      </c>
      <c r="Q240" t="s">
        <v>22</v>
      </c>
      <c r="R240">
        <v>1605.97</v>
      </c>
    </row>
    <row r="241" spans="1:18" x14ac:dyDescent="0.3">
      <c r="A241">
        <v>1248</v>
      </c>
      <c r="B241" t="str">
        <f t="shared" si="15"/>
        <v>Edward Morgan</v>
      </c>
      <c r="C241" t="s">
        <v>299</v>
      </c>
      <c r="D241" t="s">
        <v>28</v>
      </c>
      <c r="E241" t="s">
        <v>119</v>
      </c>
      <c r="F241" t="str">
        <f>CONCATENATE(Table1[[#This Row],[Product_Category]]," - ",Table1[[#This Row],[Product_Name]])</f>
        <v>Accessories - Watches</v>
      </c>
      <c r="G241" s="2">
        <f>IF(H241="", AVERAGEIF(Table1[Product_Category],D241,$H$2:$H$474),H241)</f>
        <v>2.5249999999999999</v>
      </c>
      <c r="I241" s="2">
        <f t="shared" si="16"/>
        <v>2755.6936585365856</v>
      </c>
      <c r="K241">
        <f t="shared" si="17"/>
        <v>1.24</v>
      </c>
      <c r="L241">
        <v>1.24</v>
      </c>
      <c r="M241" s="2">
        <f t="shared" si="18"/>
        <v>-1669.9503570731708</v>
      </c>
      <c r="N241">
        <v>0</v>
      </c>
      <c r="O241" t="s">
        <v>21</v>
      </c>
      <c r="P241" t="str">
        <f t="shared" si="19"/>
        <v>B2B</v>
      </c>
      <c r="Q241" t="s">
        <v>22</v>
      </c>
      <c r="R241">
        <v>397.41</v>
      </c>
    </row>
    <row r="242" spans="1:18" x14ac:dyDescent="0.3">
      <c r="A242">
        <v>1249</v>
      </c>
      <c r="B242" t="str">
        <f t="shared" si="15"/>
        <v>Tim Bauer</v>
      </c>
      <c r="C242" t="s">
        <v>300</v>
      </c>
      <c r="D242" t="s">
        <v>28</v>
      </c>
      <c r="E242" t="s">
        <v>140</v>
      </c>
      <c r="F242" t="str">
        <f>CONCATENATE(Table1[[#This Row],[Product_Category]]," - ",Table1[[#This Row],[Product_Name]])</f>
        <v>Accessories - Caps</v>
      </c>
      <c r="G242" s="2">
        <f>IF(H242="", AVERAGEIF(Table1[Product_Category],D242,$H$2:$H$474),H242)</f>
        <v>2.5249999999999999</v>
      </c>
      <c r="I242" s="2">
        <f t="shared" si="16"/>
        <v>2755.6936585365856</v>
      </c>
      <c r="K242">
        <f t="shared" si="17"/>
        <v>0.23</v>
      </c>
      <c r="L242">
        <v>0.23</v>
      </c>
      <c r="M242" s="2">
        <f t="shared" si="18"/>
        <v>5357.7573956097567</v>
      </c>
      <c r="N242">
        <v>0</v>
      </c>
      <c r="O242" t="s">
        <v>45</v>
      </c>
      <c r="P242" t="str">
        <f t="shared" si="19"/>
        <v>B2C</v>
      </c>
      <c r="R242">
        <v>809.89</v>
      </c>
    </row>
    <row r="243" spans="1:18" x14ac:dyDescent="0.3">
      <c r="A243">
        <v>1250</v>
      </c>
      <c r="B243" t="str">
        <f t="shared" si="15"/>
        <v>Anthony Lee</v>
      </c>
      <c r="C243" t="s">
        <v>301</v>
      </c>
      <c r="D243" t="s">
        <v>24</v>
      </c>
      <c r="E243" t="s">
        <v>65</v>
      </c>
      <c r="F243" t="str">
        <f>CONCATENATE(Table1[[#This Row],[Product_Category]]," - ",Table1[[#This Row],[Product_Name]])</f>
        <v>Shoes - Slip-ons</v>
      </c>
      <c r="G243" s="2">
        <f>IF(H243="", AVERAGEIF(Table1[Product_Category],D243,$H$2:$H$474),H243)</f>
        <v>1.5517241379310345</v>
      </c>
      <c r="I243" s="2">
        <f t="shared" si="16"/>
        <v>2676.5783333333325</v>
      </c>
      <c r="K243">
        <f t="shared" si="17"/>
        <v>0</v>
      </c>
      <c r="M243" s="2">
        <f t="shared" si="18"/>
        <v>4153.3112068965502</v>
      </c>
      <c r="N243">
        <v>0</v>
      </c>
      <c r="O243" t="s">
        <v>14</v>
      </c>
      <c r="P243" t="str">
        <f t="shared" si="19"/>
        <v>B2B</v>
      </c>
      <c r="Q243" t="s">
        <v>22</v>
      </c>
      <c r="R243">
        <v>1653.07</v>
      </c>
    </row>
    <row r="244" spans="1:18" x14ac:dyDescent="0.3">
      <c r="A244">
        <v>1251</v>
      </c>
      <c r="B244" t="str">
        <f t="shared" si="15"/>
        <v>Hailey Sullivan</v>
      </c>
      <c r="C244" t="s">
        <v>302</v>
      </c>
      <c r="D244" t="s">
        <v>37</v>
      </c>
      <c r="E244" t="s">
        <v>38</v>
      </c>
      <c r="F244" t="str">
        <f>CONCATENATE(Table1[[#This Row],[Product_Category]]," - ",Table1[[#This Row],[Product_Name]])</f>
        <v>Dresses - Casual Midi</v>
      </c>
      <c r="G244">
        <f>IF(H244="", AVERAGEIF(Table1[Product_Category],D244,$H$2:$H$474),H244)</f>
        <v>2</v>
      </c>
      <c r="H244">
        <v>2</v>
      </c>
      <c r="I244" s="2">
        <f t="shared" si="16"/>
        <v>4841.3999999999996</v>
      </c>
      <c r="J244">
        <v>4841.3999999999996</v>
      </c>
      <c r="K244">
        <f t="shared" si="17"/>
        <v>0.6</v>
      </c>
      <c r="L244">
        <v>0.6</v>
      </c>
      <c r="M244" s="2">
        <f t="shared" si="18"/>
        <v>3873.12</v>
      </c>
      <c r="N244">
        <v>3873.12</v>
      </c>
      <c r="O244" t="s">
        <v>45</v>
      </c>
      <c r="P244" t="str">
        <f t="shared" si="19"/>
        <v>B2C</v>
      </c>
      <c r="R244">
        <v>578.37</v>
      </c>
    </row>
    <row r="245" spans="1:18" x14ac:dyDescent="0.3">
      <c r="A245">
        <v>1252</v>
      </c>
      <c r="B245" t="str">
        <f t="shared" si="15"/>
        <v>Brandy Clark</v>
      </c>
      <c r="C245" t="s">
        <v>303</v>
      </c>
      <c r="D245" t="s">
        <v>32</v>
      </c>
      <c r="E245" t="s">
        <v>71</v>
      </c>
      <c r="F245" t="str">
        <f>CONCATENATE(Table1[[#This Row],[Product_Category]]," - ",Table1[[#This Row],[Product_Name]])</f>
        <v>T-Shirts - Classic Tee</v>
      </c>
      <c r="G245">
        <f>IF(H245="", AVERAGEIF(Table1[Product_Category],D245,$H$2:$H$474),H245)</f>
        <v>6</v>
      </c>
      <c r="H245">
        <v>6</v>
      </c>
      <c r="I245" s="2">
        <f t="shared" si="16"/>
        <v>1638.51</v>
      </c>
      <c r="J245">
        <v>1638.51</v>
      </c>
      <c r="K245">
        <f t="shared" si="17"/>
        <v>0.88</v>
      </c>
      <c r="L245">
        <v>0.88</v>
      </c>
      <c r="M245" s="2">
        <f t="shared" si="18"/>
        <v>1179.7271999999998</v>
      </c>
      <c r="N245">
        <v>1179.73</v>
      </c>
      <c r="O245" t="s">
        <v>21</v>
      </c>
      <c r="P245" t="str">
        <f t="shared" si="19"/>
        <v>B2C</v>
      </c>
      <c r="Q245" t="s">
        <v>15</v>
      </c>
      <c r="R245">
        <v>1484.7</v>
      </c>
    </row>
    <row r="246" spans="1:18" x14ac:dyDescent="0.3">
      <c r="A246">
        <v>1253</v>
      </c>
      <c r="B246" t="str">
        <f t="shared" si="15"/>
        <v>Carlos Anderson</v>
      </c>
      <c r="C246" t="s">
        <v>304</v>
      </c>
      <c r="D246" t="s">
        <v>37</v>
      </c>
      <c r="E246" t="s">
        <v>62</v>
      </c>
      <c r="F246" t="str">
        <f>CONCATENATE(Table1[[#This Row],[Product_Category]]," - ",Table1[[#This Row],[Product_Name]])</f>
        <v>Dresses - Wrap Dress</v>
      </c>
      <c r="G246" s="2">
        <f>IF(H246="", AVERAGEIF(Table1[Product_Category],D246,$H$2:$H$474),H246)</f>
        <v>2.0217391304347827</v>
      </c>
      <c r="I246" s="2">
        <f t="shared" si="16"/>
        <v>2878.0747619047615</v>
      </c>
      <c r="K246">
        <f t="shared" si="17"/>
        <v>0</v>
      </c>
      <c r="M246" s="2">
        <f t="shared" si="18"/>
        <v>5818.7163664596264</v>
      </c>
      <c r="N246">
        <v>0</v>
      </c>
      <c r="O246" t="s">
        <v>39</v>
      </c>
      <c r="P246" t="str">
        <f t="shared" si="19"/>
        <v>B2B</v>
      </c>
      <c r="Q246" t="s">
        <v>22</v>
      </c>
      <c r="R246">
        <v>2512.63</v>
      </c>
    </row>
    <row r="247" spans="1:18" x14ac:dyDescent="0.3">
      <c r="A247">
        <v>1254</v>
      </c>
      <c r="B247" t="str">
        <f t="shared" si="15"/>
        <v>Michael Henson</v>
      </c>
      <c r="C247" t="s">
        <v>305</v>
      </c>
      <c r="D247" t="s">
        <v>24</v>
      </c>
      <c r="E247" t="s">
        <v>65</v>
      </c>
      <c r="F247" t="str">
        <f>CONCATENATE(Table1[[#This Row],[Product_Category]]," - ",Table1[[#This Row],[Product_Name]])</f>
        <v>Shoes - Slip-ons</v>
      </c>
      <c r="G247">
        <f>IF(H247="", AVERAGEIF(Table1[Product_Category],D247,$H$2:$H$474),H247)</f>
        <v>6</v>
      </c>
      <c r="H247">
        <v>6</v>
      </c>
      <c r="I247" s="2">
        <f t="shared" si="16"/>
        <v>2676.5783333333325</v>
      </c>
      <c r="K247">
        <f t="shared" si="17"/>
        <v>0</v>
      </c>
      <c r="M247" s="2">
        <f t="shared" si="18"/>
        <v>16059.469999999994</v>
      </c>
      <c r="N247">
        <v>0</v>
      </c>
      <c r="O247" t="s">
        <v>21</v>
      </c>
      <c r="P247" t="str">
        <f t="shared" si="19"/>
        <v>B2B</v>
      </c>
      <c r="Q247" t="s">
        <v>22</v>
      </c>
      <c r="R247">
        <v>2418.9899999999998</v>
      </c>
    </row>
    <row r="248" spans="1:18" x14ac:dyDescent="0.3">
      <c r="A248">
        <v>1255</v>
      </c>
      <c r="B248" t="str">
        <f t="shared" si="15"/>
        <v>Kim Campos</v>
      </c>
      <c r="C248" t="s">
        <v>306</v>
      </c>
      <c r="D248" t="s">
        <v>32</v>
      </c>
      <c r="E248" t="s">
        <v>71</v>
      </c>
      <c r="F248" t="str">
        <f>CONCATENATE(Table1[[#This Row],[Product_Category]]," - ",Table1[[#This Row],[Product_Name]])</f>
        <v>T-Shirts - Classic Tee</v>
      </c>
      <c r="G248">
        <f>IF(H248="", AVERAGEIF(Table1[Product_Category],D248,$H$2:$H$474),H248)</f>
        <v>4</v>
      </c>
      <c r="H248">
        <v>4</v>
      </c>
      <c r="I248" s="2">
        <f t="shared" si="16"/>
        <v>1849.68</v>
      </c>
      <c r="J248">
        <v>1849.68</v>
      </c>
      <c r="K248">
        <f t="shared" si="17"/>
        <v>0</v>
      </c>
      <c r="M248" s="2">
        <f t="shared" si="18"/>
        <v>7398.72</v>
      </c>
      <c r="N248">
        <v>0</v>
      </c>
      <c r="O248" t="s">
        <v>552</v>
      </c>
      <c r="P248" t="str">
        <f t="shared" si="19"/>
        <v>B2C</v>
      </c>
      <c r="Q248" t="s">
        <v>15</v>
      </c>
      <c r="R248">
        <v>-706.09</v>
      </c>
    </row>
    <row r="249" spans="1:18" x14ac:dyDescent="0.3">
      <c r="A249">
        <v>1256</v>
      </c>
      <c r="B249" t="str">
        <f t="shared" si="15"/>
        <v>Janet Cooley</v>
      </c>
      <c r="C249" t="s">
        <v>307</v>
      </c>
      <c r="D249" t="s">
        <v>19</v>
      </c>
      <c r="E249" t="s">
        <v>79</v>
      </c>
      <c r="F249" t="str">
        <f>CONCATENATE(Table1[[#This Row],[Product_Category]]," - ",Table1[[#This Row],[Product_Name]])</f>
        <v>Jackets - Bomber Jacket</v>
      </c>
      <c r="G249" s="2">
        <f>IF(H249="", AVERAGEIF(Table1[Product_Category],D249,$H$2:$H$474),H249)</f>
        <v>1.675</v>
      </c>
      <c r="I249" s="2">
        <f t="shared" si="16"/>
        <v>1801.38</v>
      </c>
      <c r="J249">
        <v>1801.38</v>
      </c>
      <c r="K249">
        <f t="shared" si="17"/>
        <v>0</v>
      </c>
      <c r="M249" s="2">
        <f t="shared" si="18"/>
        <v>3017.3115000000003</v>
      </c>
      <c r="N249">
        <v>0</v>
      </c>
      <c r="O249" t="s">
        <v>39</v>
      </c>
      <c r="P249" t="str">
        <f t="shared" si="19"/>
        <v>B2C</v>
      </c>
      <c r="Q249" t="s">
        <v>15</v>
      </c>
      <c r="R249">
        <v>2071.1</v>
      </c>
    </row>
    <row r="250" spans="1:18" x14ac:dyDescent="0.3">
      <c r="A250">
        <v>1257</v>
      </c>
      <c r="B250" t="str">
        <f t="shared" si="15"/>
        <v>Matthew Gomez DDS</v>
      </c>
      <c r="C250" t="s">
        <v>308</v>
      </c>
      <c r="D250" t="s">
        <v>12</v>
      </c>
      <c r="E250" t="s">
        <v>48</v>
      </c>
      <c r="F250" t="str">
        <f>CONCATENATE(Table1[[#This Row],[Product_Category]]," - ",Table1[[#This Row],[Product_Name]])</f>
        <v>Jeans - Straight Cut</v>
      </c>
      <c r="G250">
        <f>IF(H250="", AVERAGEIF(Table1[Product_Category],D250,$H$2:$H$474),H250)</f>
        <v>2</v>
      </c>
      <c r="I250" s="2">
        <f t="shared" si="16"/>
        <v>1228.78</v>
      </c>
      <c r="J250">
        <v>1228.78</v>
      </c>
      <c r="K250">
        <f t="shared" si="17"/>
        <v>0</v>
      </c>
      <c r="M250" s="2">
        <f t="shared" si="18"/>
        <v>2457.56</v>
      </c>
      <c r="N250">
        <v>0</v>
      </c>
      <c r="O250" t="s">
        <v>17</v>
      </c>
      <c r="P250" t="str">
        <f t="shared" si="19"/>
        <v>B2C</v>
      </c>
      <c r="Q250" t="s">
        <v>15</v>
      </c>
      <c r="R250">
        <v>-83.19</v>
      </c>
    </row>
    <row r="251" spans="1:18" x14ac:dyDescent="0.3">
      <c r="A251">
        <v>1258</v>
      </c>
      <c r="B251" t="str">
        <f t="shared" si="15"/>
        <v>Shane Gomez</v>
      </c>
      <c r="C251" t="s">
        <v>309</v>
      </c>
      <c r="D251" t="s">
        <v>37</v>
      </c>
      <c r="E251" t="s">
        <v>90</v>
      </c>
      <c r="F251" t="str">
        <f>CONCATENATE(Table1[[#This Row],[Product_Category]]," - ",Table1[[#This Row],[Product_Name]])</f>
        <v>Dresses - Bodycon</v>
      </c>
      <c r="G251">
        <f>IF(H251="", AVERAGEIF(Table1[Product_Category],D251,$H$2:$H$474),H251)</f>
        <v>-2</v>
      </c>
      <c r="H251">
        <v>-2</v>
      </c>
      <c r="I251" s="2">
        <f t="shared" si="16"/>
        <v>4313.38</v>
      </c>
      <c r="J251">
        <v>4313.38</v>
      </c>
      <c r="K251">
        <f t="shared" si="17"/>
        <v>0</v>
      </c>
      <c r="M251" s="2">
        <f t="shared" si="18"/>
        <v>-8626.76</v>
      </c>
      <c r="N251">
        <v>0</v>
      </c>
      <c r="O251" t="s">
        <v>14</v>
      </c>
      <c r="P251" t="str">
        <f t="shared" si="19"/>
        <v>B2C</v>
      </c>
      <c r="Q251" t="s">
        <v>15</v>
      </c>
      <c r="R251">
        <v>2636.96</v>
      </c>
    </row>
    <row r="252" spans="1:18" x14ac:dyDescent="0.3">
      <c r="A252">
        <v>1259</v>
      </c>
      <c r="B252" t="str">
        <f t="shared" si="15"/>
        <v>Tyler Haney</v>
      </c>
      <c r="C252" t="s">
        <v>310</v>
      </c>
      <c r="D252" t="s">
        <v>24</v>
      </c>
      <c r="E252" t="s">
        <v>85</v>
      </c>
      <c r="F252" t="str">
        <f>CONCATENATE(Table1[[#This Row],[Product_Category]]," - ",Table1[[#This Row],[Product_Name]])</f>
        <v>Shoes - Boots</v>
      </c>
      <c r="G252">
        <f>IF(H252="", AVERAGEIF(Table1[Product_Category],D252,$H$2:$H$474),H252)</f>
        <v>-2</v>
      </c>
      <c r="H252">
        <v>-2</v>
      </c>
      <c r="I252" s="2">
        <f t="shared" si="16"/>
        <v>3396.92</v>
      </c>
      <c r="J252">
        <v>3396.92</v>
      </c>
      <c r="K252">
        <f t="shared" si="17"/>
        <v>0</v>
      </c>
      <c r="M252" s="2">
        <f t="shared" si="18"/>
        <v>-6793.84</v>
      </c>
      <c r="N252">
        <v>0</v>
      </c>
      <c r="O252" t="s">
        <v>17</v>
      </c>
      <c r="P252" t="str">
        <f t="shared" si="19"/>
        <v>B2C</v>
      </c>
      <c r="R252">
        <v>-830.5</v>
      </c>
    </row>
    <row r="253" spans="1:18" x14ac:dyDescent="0.3">
      <c r="A253">
        <v>1260</v>
      </c>
      <c r="B253" t="str">
        <f t="shared" si="15"/>
        <v>Lindsay Haney</v>
      </c>
      <c r="C253" t="s">
        <v>311</v>
      </c>
      <c r="D253" t="s">
        <v>37</v>
      </c>
      <c r="E253" t="s">
        <v>58</v>
      </c>
      <c r="F253" t="str">
        <f>CONCATENATE(Table1[[#This Row],[Product_Category]]," - ",Table1[[#This Row],[Product_Name]])</f>
        <v>Dresses - Maxi Dress</v>
      </c>
      <c r="G253">
        <f>IF(H253="", AVERAGEIF(Table1[Product_Category],D253,$H$2:$H$474),H253)</f>
        <v>2</v>
      </c>
      <c r="H253">
        <v>2</v>
      </c>
      <c r="I253" s="2">
        <f t="shared" si="16"/>
        <v>2878.0747619047615</v>
      </c>
      <c r="K253">
        <f t="shared" si="17"/>
        <v>0</v>
      </c>
      <c r="M253" s="2">
        <f t="shared" si="18"/>
        <v>5756.1495238095231</v>
      </c>
      <c r="N253">
        <v>0</v>
      </c>
      <c r="O253" t="s">
        <v>14</v>
      </c>
      <c r="P253" t="str">
        <f t="shared" si="19"/>
        <v>B2B</v>
      </c>
      <c r="Q253" t="s">
        <v>22</v>
      </c>
      <c r="R253">
        <v>-817.8</v>
      </c>
    </row>
    <row r="254" spans="1:18" x14ac:dyDescent="0.3">
      <c r="A254">
        <v>1262</v>
      </c>
      <c r="B254" t="str">
        <f t="shared" si="15"/>
        <v>George Gray</v>
      </c>
      <c r="C254" t="s">
        <v>313</v>
      </c>
      <c r="D254" t="s">
        <v>28</v>
      </c>
      <c r="E254" t="s">
        <v>119</v>
      </c>
      <c r="F254" t="str">
        <f>CONCATENATE(Table1[[#This Row],[Product_Category]]," - ",Table1[[#This Row],[Product_Name]])</f>
        <v>Accessories - Watches</v>
      </c>
      <c r="G254">
        <f>IF(H254="", AVERAGEIF(Table1[Product_Category],D254,$H$2:$H$474),H254)</f>
        <v>2</v>
      </c>
      <c r="H254">
        <v>2</v>
      </c>
      <c r="I254" s="2">
        <f t="shared" si="16"/>
        <v>2755.6936585365856</v>
      </c>
      <c r="K254">
        <f t="shared" si="17"/>
        <v>0.52</v>
      </c>
      <c r="L254">
        <v>0.52</v>
      </c>
      <c r="M254" s="2">
        <f t="shared" si="18"/>
        <v>2645.4659121951222</v>
      </c>
      <c r="N254">
        <v>0</v>
      </c>
      <c r="O254" t="s">
        <v>39</v>
      </c>
      <c r="P254" t="str">
        <f t="shared" si="19"/>
        <v>B2B</v>
      </c>
      <c r="Q254" t="s">
        <v>22</v>
      </c>
      <c r="R254">
        <v>786.25</v>
      </c>
    </row>
    <row r="255" spans="1:18" x14ac:dyDescent="0.3">
      <c r="A255">
        <v>1263</v>
      </c>
      <c r="B255" t="str">
        <f t="shared" si="15"/>
        <v>Ryan Graves</v>
      </c>
      <c r="C255" t="s">
        <v>314</v>
      </c>
      <c r="D255" t="s">
        <v>24</v>
      </c>
      <c r="E255" t="s">
        <v>65</v>
      </c>
      <c r="F255" t="str">
        <f>CONCATENATE(Table1[[#This Row],[Product_Category]]," - ",Table1[[#This Row],[Product_Name]])</f>
        <v>Shoes - Slip-ons</v>
      </c>
      <c r="G255" s="2">
        <f>IF(H255="", AVERAGEIF(Table1[Product_Category],D255,$H$2:$H$474),H255)</f>
        <v>1.5517241379310345</v>
      </c>
      <c r="I255" s="2">
        <f t="shared" si="16"/>
        <v>2542.7199999999998</v>
      </c>
      <c r="J255">
        <v>2542.7199999999998</v>
      </c>
      <c r="K255">
        <f t="shared" si="17"/>
        <v>0</v>
      </c>
      <c r="M255" s="2">
        <f t="shared" si="18"/>
        <v>3945.5999999999995</v>
      </c>
      <c r="N255">
        <v>0</v>
      </c>
      <c r="O255" t="s">
        <v>14</v>
      </c>
      <c r="P255" t="str">
        <f t="shared" si="19"/>
        <v>B2C</v>
      </c>
      <c r="R255">
        <v>-136.41</v>
      </c>
    </row>
    <row r="256" spans="1:18" x14ac:dyDescent="0.3">
      <c r="A256">
        <v>1264</v>
      </c>
      <c r="B256" t="str">
        <f t="shared" si="15"/>
        <v>Ernest Myers</v>
      </c>
      <c r="C256" t="s">
        <v>315</v>
      </c>
      <c r="D256" t="s">
        <v>32</v>
      </c>
      <c r="E256" t="s">
        <v>81</v>
      </c>
      <c r="F256" t="str">
        <f>CONCATENATE(Table1[[#This Row],[Product_Category]]," - ",Table1[[#This Row],[Product_Name]])</f>
        <v>T-Shirts - Graphic Tee</v>
      </c>
      <c r="G256" s="2">
        <f>IF(H256="", AVERAGEIF(Table1[Product_Category],D256,$H$2:$H$474),H256)</f>
        <v>1.5813953488372092</v>
      </c>
      <c r="I256" s="2">
        <f t="shared" si="16"/>
        <v>3382.08</v>
      </c>
      <c r="J256">
        <v>3382.08</v>
      </c>
      <c r="K256">
        <f t="shared" si="17"/>
        <v>0</v>
      </c>
      <c r="M256" s="2">
        <f t="shared" si="18"/>
        <v>5348.4055813953482</v>
      </c>
      <c r="N256">
        <v>0</v>
      </c>
      <c r="O256" t="s">
        <v>14</v>
      </c>
      <c r="P256" t="str">
        <f t="shared" si="19"/>
        <v>B2C</v>
      </c>
      <c r="R256">
        <v>1647.48</v>
      </c>
    </row>
    <row r="257" spans="1:18" x14ac:dyDescent="0.3">
      <c r="A257">
        <v>1265</v>
      </c>
      <c r="B257" t="str">
        <f t="shared" si="15"/>
        <v>Brandi Lang</v>
      </c>
      <c r="C257" t="s">
        <v>316</v>
      </c>
      <c r="D257" t="s">
        <v>32</v>
      </c>
      <c r="E257" t="s">
        <v>81</v>
      </c>
      <c r="F257" t="str">
        <f>CONCATENATE(Table1[[#This Row],[Product_Category]]," - ",Table1[[#This Row],[Product_Name]])</f>
        <v>T-Shirts - Graphic Tee</v>
      </c>
      <c r="G257">
        <f>IF(H257="", AVERAGEIF(Table1[Product_Category],D257,$H$2:$H$474),H257)</f>
        <v>0</v>
      </c>
      <c r="H257">
        <v>0</v>
      </c>
      <c r="I257" s="2">
        <f t="shared" si="16"/>
        <v>721.41</v>
      </c>
      <c r="J257">
        <v>721.41</v>
      </c>
      <c r="K257">
        <f t="shared" si="17"/>
        <v>1.1599999999999999</v>
      </c>
      <c r="L257">
        <v>1.1599999999999999</v>
      </c>
      <c r="M257" s="2">
        <f t="shared" si="18"/>
        <v>0</v>
      </c>
      <c r="N257">
        <v>0</v>
      </c>
      <c r="O257" t="s">
        <v>552</v>
      </c>
      <c r="P257" t="str">
        <f t="shared" si="19"/>
        <v>B2C</v>
      </c>
      <c r="Q257" t="s">
        <v>15</v>
      </c>
      <c r="R257">
        <v>1718.95</v>
      </c>
    </row>
    <row r="258" spans="1:18" x14ac:dyDescent="0.3">
      <c r="A258">
        <v>1266</v>
      </c>
      <c r="B258" t="str">
        <f t="shared" ref="B258:B321" si="20">TRIM(SUBSTITUTE(SUBSTITUTE(SUBSTITUTE(SUBSTITUTE(C258,"Dr. ",""),"Mrs. ",""),"Mr. ",""),"Ms. ",""))</f>
        <v>Gloria Barnett</v>
      </c>
      <c r="C258" t="s">
        <v>317</v>
      </c>
      <c r="D258" t="s">
        <v>24</v>
      </c>
      <c r="E258" t="s">
        <v>65</v>
      </c>
      <c r="F258" t="str">
        <f>CONCATENATE(Table1[[#This Row],[Product_Category]]," - ",Table1[[#This Row],[Product_Name]])</f>
        <v>Shoes - Slip-ons</v>
      </c>
      <c r="G258" s="2">
        <f>IF(H258="", AVERAGEIF(Table1[Product_Category],D258,$H$2:$H$474),H258)</f>
        <v>1.5517241379310345</v>
      </c>
      <c r="I258" s="2">
        <f t="shared" ref="I258:I321" si="21">IF(J258="",AVERAGEIF($D$2:$D$474,D258,$J$2:$J$474),J258)</f>
        <v>2676.5783333333325</v>
      </c>
      <c r="K258">
        <f t="shared" ref="K258:K321" si="22">IF(AND(ISBLANK(L258),I258&gt;0,G258&gt;0,N258&gt;0), 1-(N258/(G258*I258)), L258)</f>
        <v>1.1200000000000001</v>
      </c>
      <c r="L258">
        <v>1.1200000000000001</v>
      </c>
      <c r="M258" s="2">
        <f t="shared" ref="M258:M321" si="23">G258*I258*(1-K258)</f>
        <v>-498.39734482758644</v>
      </c>
      <c r="N258">
        <v>0</v>
      </c>
      <c r="O258" t="s">
        <v>14</v>
      </c>
      <c r="P258" t="str">
        <f t="shared" ref="P258:P321" si="24">IF(Q258="",IF(O258="Ahmedabad","B2C",IF(O258="Bangalore","B2C",IF(O258="Hyderabad","B2B",IF(O258="Mumbai","B2C","B2C")))),Q258)</f>
        <v>B2C</v>
      </c>
      <c r="Q258" t="s">
        <v>15</v>
      </c>
      <c r="R258">
        <v>1024.8599999999999</v>
      </c>
    </row>
    <row r="259" spans="1:18" x14ac:dyDescent="0.3">
      <c r="A259">
        <v>1267</v>
      </c>
      <c r="B259" t="str">
        <f t="shared" si="20"/>
        <v>Sarah Andrews</v>
      </c>
      <c r="C259" t="s">
        <v>318</v>
      </c>
      <c r="D259" t="s">
        <v>19</v>
      </c>
      <c r="E259" t="s">
        <v>79</v>
      </c>
      <c r="F259" t="str">
        <f>CONCATENATE(Table1[[#This Row],[Product_Category]]," - ",Table1[[#This Row],[Product_Name]])</f>
        <v>Jackets - Bomber Jacket</v>
      </c>
      <c r="G259">
        <f>IF(H259="", AVERAGEIF(Table1[Product_Category],D259,$H$2:$H$474),H259)</f>
        <v>3</v>
      </c>
      <c r="H259">
        <v>3</v>
      </c>
      <c r="I259" s="2">
        <f t="shared" si="21"/>
        <v>3255.23</v>
      </c>
      <c r="J259">
        <v>3255.23</v>
      </c>
      <c r="K259">
        <f t="shared" si="22"/>
        <v>0</v>
      </c>
      <c r="M259" s="2">
        <f t="shared" si="23"/>
        <v>9765.69</v>
      </c>
      <c r="N259">
        <v>0</v>
      </c>
      <c r="O259" t="s">
        <v>14</v>
      </c>
      <c r="P259" t="str">
        <f t="shared" si="24"/>
        <v>B2B</v>
      </c>
      <c r="Q259" t="s">
        <v>22</v>
      </c>
      <c r="R259">
        <v>650.79999999999995</v>
      </c>
    </row>
    <row r="260" spans="1:18" x14ac:dyDescent="0.3">
      <c r="A260">
        <v>1268</v>
      </c>
      <c r="B260" t="str">
        <f t="shared" si="20"/>
        <v>Sonya Martinez</v>
      </c>
      <c r="C260" t="s">
        <v>319</v>
      </c>
      <c r="D260" t="s">
        <v>19</v>
      </c>
      <c r="E260" t="s">
        <v>87</v>
      </c>
      <c r="F260" t="str">
        <f>CONCATENATE(Table1[[#This Row],[Product_Category]]," - ",Table1[[#This Row],[Product_Name]])</f>
        <v>Jackets - Denim Jacket</v>
      </c>
      <c r="G260">
        <f>IF(H260="", AVERAGEIF(Table1[Product_Category],D260,$H$2:$H$474),H260)</f>
        <v>1</v>
      </c>
      <c r="H260">
        <v>1</v>
      </c>
      <c r="I260" s="2">
        <f t="shared" si="21"/>
        <v>2952.3559374999995</v>
      </c>
      <c r="K260">
        <f t="shared" si="22"/>
        <v>1.03</v>
      </c>
      <c r="L260">
        <v>1.03</v>
      </c>
      <c r="M260" s="2">
        <f t="shared" si="23"/>
        <v>-88.570678125000057</v>
      </c>
      <c r="N260">
        <v>0</v>
      </c>
      <c r="O260" t="s">
        <v>45</v>
      </c>
      <c r="P260" t="str">
        <f t="shared" si="24"/>
        <v>B2C</v>
      </c>
      <c r="R260">
        <v>2668.22</v>
      </c>
    </row>
    <row r="261" spans="1:18" x14ac:dyDescent="0.3">
      <c r="A261">
        <v>1269</v>
      </c>
      <c r="B261" t="str">
        <f t="shared" si="20"/>
        <v>Brittany Harris</v>
      </c>
      <c r="C261" t="s">
        <v>320</v>
      </c>
      <c r="D261" t="s">
        <v>32</v>
      </c>
      <c r="E261" t="s">
        <v>81</v>
      </c>
      <c r="F261" t="str">
        <f>CONCATENATE(Table1[[#This Row],[Product_Category]]," - ",Table1[[#This Row],[Product_Name]])</f>
        <v>T-Shirts - Graphic Tee</v>
      </c>
      <c r="G261" s="2">
        <f>IF(H261="", AVERAGEIF(Table1[Product_Category],D261,$H$2:$H$474),H261)</f>
        <v>1.5813953488372092</v>
      </c>
      <c r="I261" s="2">
        <f t="shared" si="21"/>
        <v>2715.2732432432431</v>
      </c>
      <c r="K261">
        <f t="shared" si="22"/>
        <v>0</v>
      </c>
      <c r="M261" s="2">
        <f t="shared" si="23"/>
        <v>4293.9204776869892</v>
      </c>
      <c r="N261">
        <v>0</v>
      </c>
      <c r="O261" t="s">
        <v>21</v>
      </c>
      <c r="P261" t="str">
        <f t="shared" si="24"/>
        <v>B2C</v>
      </c>
      <c r="R261">
        <v>483.01</v>
      </c>
    </row>
    <row r="262" spans="1:18" x14ac:dyDescent="0.3">
      <c r="A262">
        <v>1270</v>
      </c>
      <c r="B262" t="str">
        <f t="shared" si="20"/>
        <v>Vanessa Kelley</v>
      </c>
      <c r="C262" t="s">
        <v>321</v>
      </c>
      <c r="D262" t="s">
        <v>32</v>
      </c>
      <c r="E262" t="s">
        <v>81</v>
      </c>
      <c r="F262" t="str">
        <f>CONCATENATE(Table1[[#This Row],[Product_Category]]," - ",Table1[[#This Row],[Product_Name]])</f>
        <v>T-Shirts - Graphic Tee</v>
      </c>
      <c r="G262">
        <f>IF(H262="", AVERAGEIF(Table1[Product_Category],D262,$H$2:$H$474),H262)</f>
        <v>0</v>
      </c>
      <c r="H262">
        <v>0</v>
      </c>
      <c r="I262" s="2">
        <f t="shared" si="21"/>
        <v>4446.82</v>
      </c>
      <c r="J262">
        <v>4446.82</v>
      </c>
      <c r="K262">
        <f t="shared" si="22"/>
        <v>0</v>
      </c>
      <c r="M262" s="2">
        <f t="shared" si="23"/>
        <v>0</v>
      </c>
      <c r="N262">
        <v>0</v>
      </c>
      <c r="O262" t="s">
        <v>552</v>
      </c>
      <c r="P262" t="str">
        <f t="shared" si="24"/>
        <v>B2B</v>
      </c>
      <c r="Q262" t="s">
        <v>22</v>
      </c>
      <c r="R262">
        <v>-293.05</v>
      </c>
    </row>
    <row r="263" spans="1:18" x14ac:dyDescent="0.3">
      <c r="A263">
        <v>1271</v>
      </c>
      <c r="B263" t="str">
        <f t="shared" si="20"/>
        <v>Robert Gonzalez</v>
      </c>
      <c r="C263" t="s">
        <v>322</v>
      </c>
      <c r="D263" t="s">
        <v>32</v>
      </c>
      <c r="E263" t="s">
        <v>43</v>
      </c>
      <c r="F263" t="str">
        <f>CONCATENATE(Table1[[#This Row],[Product_Category]]," - ",Table1[[#This Row],[Product_Name]])</f>
        <v>T-Shirts - Oversized T-shirt</v>
      </c>
      <c r="G263" s="2">
        <f>IF(H263="", AVERAGEIF(Table1[Product_Category],D263,$H$2:$H$474),H263)</f>
        <v>1.5813953488372092</v>
      </c>
      <c r="I263" s="2">
        <f t="shared" si="21"/>
        <v>2715.2732432432431</v>
      </c>
      <c r="K263">
        <f t="shared" si="22"/>
        <v>0</v>
      </c>
      <c r="M263" s="2">
        <f t="shared" si="23"/>
        <v>4293.9204776869892</v>
      </c>
      <c r="N263">
        <v>0</v>
      </c>
      <c r="O263" t="s">
        <v>39</v>
      </c>
      <c r="P263" t="str">
        <f t="shared" si="24"/>
        <v>B2B</v>
      </c>
      <c r="Q263" t="s">
        <v>22</v>
      </c>
      <c r="R263">
        <v>1295.93</v>
      </c>
    </row>
    <row r="264" spans="1:18" x14ac:dyDescent="0.3">
      <c r="A264">
        <v>1272</v>
      </c>
      <c r="B264" t="str">
        <f t="shared" si="20"/>
        <v>Angela Taylor</v>
      </c>
      <c r="C264" t="s">
        <v>323</v>
      </c>
      <c r="D264" t="s">
        <v>28</v>
      </c>
      <c r="E264" t="s">
        <v>29</v>
      </c>
      <c r="F264" t="str">
        <f>CONCATENATE(Table1[[#This Row],[Product_Category]]," - ",Table1[[#This Row],[Product_Name]])</f>
        <v>Accessories - Belts</v>
      </c>
      <c r="G264" s="2">
        <f>IF(H264="", AVERAGEIF(Table1[Product_Category],D264,$H$2:$H$474),H264)</f>
        <v>2.5249999999999999</v>
      </c>
      <c r="I264" s="2">
        <f t="shared" si="21"/>
        <v>1429.94</v>
      </c>
      <c r="J264">
        <v>1429.94</v>
      </c>
      <c r="K264">
        <f t="shared" si="22"/>
        <v>0</v>
      </c>
      <c r="M264" s="2">
        <f t="shared" si="23"/>
        <v>3610.5985000000001</v>
      </c>
      <c r="N264">
        <v>0</v>
      </c>
      <c r="O264" t="s">
        <v>552</v>
      </c>
      <c r="P264" t="str">
        <f t="shared" si="24"/>
        <v>B2B</v>
      </c>
      <c r="Q264" t="s">
        <v>22</v>
      </c>
      <c r="R264">
        <v>484.51</v>
      </c>
    </row>
    <row r="265" spans="1:18" x14ac:dyDescent="0.3">
      <c r="A265">
        <v>1273</v>
      </c>
      <c r="B265" t="str">
        <f t="shared" si="20"/>
        <v>Bradley Myers</v>
      </c>
      <c r="C265" t="s">
        <v>324</v>
      </c>
      <c r="D265" t="s">
        <v>32</v>
      </c>
      <c r="E265" t="s">
        <v>43</v>
      </c>
      <c r="F265" t="str">
        <f>CONCATENATE(Table1[[#This Row],[Product_Category]]," - ",Table1[[#This Row],[Product_Name]])</f>
        <v>T-Shirts - Oversized T-shirt</v>
      </c>
      <c r="G265" s="2">
        <f>IF(H265="", AVERAGEIF(Table1[Product_Category],D265,$H$2:$H$474),H265)</f>
        <v>1.5813953488372092</v>
      </c>
      <c r="I265" s="2">
        <f t="shared" si="21"/>
        <v>2715.2732432432431</v>
      </c>
      <c r="K265">
        <f t="shared" si="22"/>
        <v>0</v>
      </c>
      <c r="M265" s="2">
        <f t="shared" si="23"/>
        <v>4293.9204776869892</v>
      </c>
      <c r="N265">
        <v>0</v>
      </c>
      <c r="O265" t="s">
        <v>552</v>
      </c>
      <c r="P265" t="str">
        <f t="shared" si="24"/>
        <v>B2C</v>
      </c>
      <c r="Q265" t="s">
        <v>15</v>
      </c>
      <c r="R265">
        <v>-431.92</v>
      </c>
    </row>
    <row r="266" spans="1:18" x14ac:dyDescent="0.3">
      <c r="A266">
        <v>1274</v>
      </c>
      <c r="B266" t="str">
        <f t="shared" si="20"/>
        <v>Russell Love</v>
      </c>
      <c r="C266" t="s">
        <v>325</v>
      </c>
      <c r="D266" t="s">
        <v>37</v>
      </c>
      <c r="E266" t="s">
        <v>62</v>
      </c>
      <c r="F266" t="str">
        <f>CONCATENATE(Table1[[#This Row],[Product_Category]]," - ",Table1[[#This Row],[Product_Name]])</f>
        <v>Dresses - Wrap Dress</v>
      </c>
      <c r="G266" s="2">
        <f>IF(H266="", AVERAGEIF(Table1[Product_Category],D266,$H$2:$H$474),H266)</f>
        <v>2.0217391304347827</v>
      </c>
      <c r="I266" s="2">
        <f t="shared" si="21"/>
        <v>2878.0747619047615</v>
      </c>
      <c r="K266">
        <f t="shared" si="22"/>
        <v>0.59</v>
      </c>
      <c r="L266">
        <v>0.59</v>
      </c>
      <c r="M266" s="2">
        <f t="shared" si="23"/>
        <v>2385.6737102484472</v>
      </c>
      <c r="N266">
        <v>0</v>
      </c>
      <c r="O266" t="s">
        <v>17</v>
      </c>
      <c r="P266" t="str">
        <f t="shared" si="24"/>
        <v>B2B</v>
      </c>
      <c r="Q266" t="s">
        <v>22</v>
      </c>
      <c r="R266">
        <v>62.98</v>
      </c>
    </row>
    <row r="267" spans="1:18" x14ac:dyDescent="0.3">
      <c r="A267">
        <v>1275</v>
      </c>
      <c r="B267" t="str">
        <f t="shared" si="20"/>
        <v>Kelly Wong</v>
      </c>
      <c r="C267" t="s">
        <v>326</v>
      </c>
      <c r="D267" t="s">
        <v>37</v>
      </c>
      <c r="E267" t="s">
        <v>38</v>
      </c>
      <c r="F267" t="str">
        <f>CONCATENATE(Table1[[#This Row],[Product_Category]]," - ",Table1[[#This Row],[Product_Name]])</f>
        <v>Dresses - Casual Midi</v>
      </c>
      <c r="G267">
        <f>IF(H267="", AVERAGEIF(Table1[Product_Category],D267,$H$2:$H$474),H267)</f>
        <v>3</v>
      </c>
      <c r="H267">
        <v>3</v>
      </c>
      <c r="I267" s="2">
        <f t="shared" si="21"/>
        <v>4132</v>
      </c>
      <c r="J267">
        <v>4132</v>
      </c>
      <c r="K267">
        <f t="shared" si="22"/>
        <v>0</v>
      </c>
      <c r="M267" s="2">
        <f t="shared" si="23"/>
        <v>12396</v>
      </c>
      <c r="N267">
        <v>0</v>
      </c>
      <c r="O267" t="s">
        <v>39</v>
      </c>
      <c r="P267" t="str">
        <f t="shared" si="24"/>
        <v>B2B</v>
      </c>
      <c r="Q267" t="s">
        <v>22</v>
      </c>
      <c r="R267">
        <v>2732.47</v>
      </c>
    </row>
    <row r="268" spans="1:18" x14ac:dyDescent="0.3">
      <c r="A268">
        <v>1276</v>
      </c>
      <c r="B268" t="str">
        <f t="shared" si="20"/>
        <v>Erin Wright</v>
      </c>
      <c r="C268" t="s">
        <v>327</v>
      </c>
      <c r="D268" t="s">
        <v>24</v>
      </c>
      <c r="E268" t="s">
        <v>85</v>
      </c>
      <c r="F268" t="str">
        <f>CONCATENATE(Table1[[#This Row],[Product_Category]]," - ",Table1[[#This Row],[Product_Name]])</f>
        <v>Shoes - Boots</v>
      </c>
      <c r="G268" s="2">
        <f>IF(H268="", AVERAGEIF(Table1[Product_Category],D268,$H$2:$H$474),H268)</f>
        <v>1.5517241379310345</v>
      </c>
      <c r="I268" s="2">
        <f t="shared" si="21"/>
        <v>3243.45</v>
      </c>
      <c r="J268">
        <v>3243.45</v>
      </c>
      <c r="K268">
        <f t="shared" si="22"/>
        <v>0.61</v>
      </c>
      <c r="L268">
        <v>0.61</v>
      </c>
      <c r="M268" s="2">
        <f t="shared" si="23"/>
        <v>1962.8464655172411</v>
      </c>
      <c r="N268">
        <v>0</v>
      </c>
      <c r="O268" t="s">
        <v>21</v>
      </c>
      <c r="P268" t="str">
        <f t="shared" si="24"/>
        <v>B2C</v>
      </c>
      <c r="R268">
        <v>-869.12</v>
      </c>
    </row>
    <row r="269" spans="1:18" x14ac:dyDescent="0.3">
      <c r="A269">
        <v>1277</v>
      </c>
      <c r="B269" t="str">
        <f t="shared" si="20"/>
        <v>Michael Coleman</v>
      </c>
      <c r="C269" t="s">
        <v>328</v>
      </c>
      <c r="D269" t="s">
        <v>28</v>
      </c>
      <c r="E269" t="s">
        <v>41</v>
      </c>
      <c r="F269" t="str">
        <f>CONCATENATE(Table1[[#This Row],[Product_Category]]," - ",Table1[[#This Row],[Product_Name]])</f>
        <v>Accessories - Sunglasses</v>
      </c>
      <c r="G269">
        <f>IF(H269="", AVERAGEIF(Table1[Product_Category],D269,$H$2:$H$474),H269)</f>
        <v>2</v>
      </c>
      <c r="H269">
        <v>2</v>
      </c>
      <c r="I269" s="2">
        <f t="shared" si="21"/>
        <v>4720.5200000000004</v>
      </c>
      <c r="J269">
        <v>4720.5200000000004</v>
      </c>
      <c r="K269">
        <f t="shared" si="22"/>
        <v>0.56999999999999995</v>
      </c>
      <c r="L269">
        <v>0.56999999999999995</v>
      </c>
      <c r="M269" s="2">
        <f t="shared" si="23"/>
        <v>4059.6472000000008</v>
      </c>
      <c r="N269">
        <v>4059.65</v>
      </c>
      <c r="O269" t="s">
        <v>14</v>
      </c>
      <c r="P269" t="str">
        <f t="shared" si="24"/>
        <v>B2C</v>
      </c>
      <c r="Q269" t="s">
        <v>15</v>
      </c>
      <c r="R269">
        <v>1255.6600000000001</v>
      </c>
    </row>
    <row r="270" spans="1:18" x14ac:dyDescent="0.3">
      <c r="A270">
        <v>1278</v>
      </c>
      <c r="B270" t="str">
        <f t="shared" si="20"/>
        <v>Jessica Kirby</v>
      </c>
      <c r="C270" t="s">
        <v>329</v>
      </c>
      <c r="D270" t="s">
        <v>28</v>
      </c>
      <c r="E270" t="s">
        <v>41</v>
      </c>
      <c r="F270" t="str">
        <f>CONCATENATE(Table1[[#This Row],[Product_Category]]," - ",Table1[[#This Row],[Product_Name]])</f>
        <v>Accessories - Sunglasses</v>
      </c>
      <c r="G270" s="2">
        <f>IF(H270="", AVERAGEIF(Table1[Product_Category],D270,$H$2:$H$474),H270)</f>
        <v>2.5249999999999999</v>
      </c>
      <c r="I270" s="2">
        <f t="shared" si="21"/>
        <v>3550.91</v>
      </c>
      <c r="J270">
        <v>3550.91</v>
      </c>
      <c r="K270">
        <f t="shared" si="22"/>
        <v>0</v>
      </c>
      <c r="M270" s="2">
        <f t="shared" si="23"/>
        <v>8966.0477499999997</v>
      </c>
      <c r="N270">
        <v>0</v>
      </c>
      <c r="O270" t="s">
        <v>14</v>
      </c>
      <c r="P270" t="str">
        <f t="shared" si="24"/>
        <v>B2C</v>
      </c>
      <c r="Q270" t="s">
        <v>15</v>
      </c>
      <c r="R270">
        <v>466.53</v>
      </c>
    </row>
    <row r="271" spans="1:18" x14ac:dyDescent="0.3">
      <c r="A271">
        <v>1279</v>
      </c>
      <c r="B271" t="str">
        <f t="shared" si="20"/>
        <v>Laura Romero</v>
      </c>
      <c r="C271" t="s">
        <v>330</v>
      </c>
      <c r="D271" t="s">
        <v>24</v>
      </c>
      <c r="E271" t="s">
        <v>85</v>
      </c>
      <c r="F271" t="str">
        <f>CONCATENATE(Table1[[#This Row],[Product_Category]]," - ",Table1[[#This Row],[Product_Name]])</f>
        <v>Shoes - Boots</v>
      </c>
      <c r="G271" s="2">
        <f>IF(H271="", AVERAGEIF(Table1[Product_Category],D271,$H$2:$H$474),H271)</f>
        <v>1.5517241379310345</v>
      </c>
      <c r="I271" s="2">
        <f t="shared" si="21"/>
        <v>2600.33</v>
      </c>
      <c r="J271">
        <v>2600.33</v>
      </c>
      <c r="K271">
        <f t="shared" si="22"/>
        <v>0</v>
      </c>
      <c r="M271" s="2">
        <f t="shared" si="23"/>
        <v>4034.9948275862066</v>
      </c>
      <c r="N271">
        <v>0</v>
      </c>
      <c r="O271" t="s">
        <v>17</v>
      </c>
      <c r="P271" t="str">
        <f t="shared" si="24"/>
        <v>B2C</v>
      </c>
      <c r="Q271" t="s">
        <v>15</v>
      </c>
      <c r="R271">
        <v>1430.67</v>
      </c>
    </row>
    <row r="272" spans="1:18" x14ac:dyDescent="0.3">
      <c r="A272">
        <v>1280</v>
      </c>
      <c r="B272" t="str">
        <f t="shared" si="20"/>
        <v>Joseph Joseph</v>
      </c>
      <c r="C272" t="s">
        <v>331</v>
      </c>
      <c r="D272" t="s">
        <v>32</v>
      </c>
      <c r="E272" t="s">
        <v>33</v>
      </c>
      <c r="F272" t="str">
        <f>CONCATENATE(Table1[[#This Row],[Product_Category]]," - ",Table1[[#This Row],[Product_Name]])</f>
        <v>T-Shirts - Crop Top</v>
      </c>
      <c r="G272">
        <f>IF(H272="", AVERAGEIF(Table1[Product_Category],D272,$H$2:$H$474),H272)</f>
        <v>3</v>
      </c>
      <c r="H272">
        <v>3</v>
      </c>
      <c r="I272" s="2">
        <f t="shared" si="21"/>
        <v>2715.2732432432431</v>
      </c>
      <c r="K272">
        <f t="shared" si="22"/>
        <v>0</v>
      </c>
      <c r="M272" s="2">
        <f t="shared" si="23"/>
        <v>8145.8197297297293</v>
      </c>
      <c r="N272">
        <v>0</v>
      </c>
      <c r="O272" t="s">
        <v>17</v>
      </c>
      <c r="P272" t="str">
        <f t="shared" si="24"/>
        <v>B2B</v>
      </c>
      <c r="Q272" t="s">
        <v>22</v>
      </c>
      <c r="R272">
        <v>263.41000000000003</v>
      </c>
    </row>
    <row r="273" spans="1:18" x14ac:dyDescent="0.3">
      <c r="A273">
        <v>1282</v>
      </c>
      <c r="B273" t="str">
        <f t="shared" si="20"/>
        <v>Kevin Hunter</v>
      </c>
      <c r="C273" t="s">
        <v>333</v>
      </c>
      <c r="D273" t="s">
        <v>24</v>
      </c>
      <c r="E273" t="s">
        <v>25</v>
      </c>
      <c r="F273" t="str">
        <f>CONCATENATE(Table1[[#This Row],[Product_Category]]," - ",Table1[[#This Row],[Product_Name]])</f>
        <v>Shoes - Loafers</v>
      </c>
      <c r="G273">
        <f>IF(H273="", AVERAGEIF(Table1[Product_Category],D273,$H$2:$H$474),H273)</f>
        <v>-1</v>
      </c>
      <c r="H273">
        <v>-1</v>
      </c>
      <c r="I273" s="2">
        <f t="shared" si="21"/>
        <v>2676.5783333333325</v>
      </c>
      <c r="K273">
        <f t="shared" si="22"/>
        <v>0.14000000000000001</v>
      </c>
      <c r="L273">
        <v>0.14000000000000001</v>
      </c>
      <c r="M273" s="2">
        <f t="shared" si="23"/>
        <v>-2301.8573666666657</v>
      </c>
      <c r="N273">
        <v>0</v>
      </c>
      <c r="O273" t="s">
        <v>21</v>
      </c>
      <c r="P273" t="str">
        <f t="shared" si="24"/>
        <v>B2B</v>
      </c>
      <c r="Q273" t="s">
        <v>22</v>
      </c>
      <c r="R273">
        <v>-909.75</v>
      </c>
    </row>
    <row r="274" spans="1:18" x14ac:dyDescent="0.3">
      <c r="A274">
        <v>1283</v>
      </c>
      <c r="B274" t="str">
        <f t="shared" si="20"/>
        <v>Kelly Gray</v>
      </c>
      <c r="C274" t="s">
        <v>334</v>
      </c>
      <c r="D274" t="s">
        <v>24</v>
      </c>
      <c r="E274" t="s">
        <v>65</v>
      </c>
      <c r="F274" t="str">
        <f>CONCATENATE(Table1[[#This Row],[Product_Category]]," - ",Table1[[#This Row],[Product_Name]])</f>
        <v>Shoes - Slip-ons</v>
      </c>
      <c r="G274" s="2">
        <f>IF(H274="", AVERAGEIF(Table1[Product_Category],D274,$H$2:$H$474),H274)</f>
        <v>1.5517241379310345</v>
      </c>
      <c r="I274" s="2">
        <f t="shared" si="21"/>
        <v>2676.5783333333325</v>
      </c>
      <c r="K274">
        <f t="shared" si="22"/>
        <v>0.08</v>
      </c>
      <c r="L274">
        <v>0.08</v>
      </c>
      <c r="M274" s="2">
        <f t="shared" si="23"/>
        <v>3821.0463103448265</v>
      </c>
      <c r="N274">
        <v>0</v>
      </c>
      <c r="O274" t="s">
        <v>552</v>
      </c>
      <c r="P274" t="str">
        <f t="shared" si="24"/>
        <v>B2B</v>
      </c>
      <c r="Q274" t="s">
        <v>22</v>
      </c>
      <c r="R274">
        <v>379.24</v>
      </c>
    </row>
    <row r="275" spans="1:18" x14ac:dyDescent="0.3">
      <c r="A275">
        <v>1284</v>
      </c>
      <c r="B275" t="str">
        <f t="shared" si="20"/>
        <v>Carlos Walsh</v>
      </c>
      <c r="C275" t="s">
        <v>335</v>
      </c>
      <c r="D275" t="s">
        <v>19</v>
      </c>
      <c r="E275" t="s">
        <v>20</v>
      </c>
      <c r="F275" t="str">
        <f>CONCATENATE(Table1[[#This Row],[Product_Category]]," - ",Table1[[#This Row],[Product_Name]])</f>
        <v>Jackets - Puffer Coat</v>
      </c>
      <c r="G275" s="2">
        <f>IF(H275="", AVERAGEIF(Table1[Product_Category],D275,$H$2:$H$474),H275)</f>
        <v>1.675</v>
      </c>
      <c r="I275" s="2">
        <f t="shared" si="21"/>
        <v>1500.19</v>
      </c>
      <c r="J275">
        <v>1500.19</v>
      </c>
      <c r="K275">
        <f t="shared" si="22"/>
        <v>0</v>
      </c>
      <c r="M275" s="2">
        <f t="shared" si="23"/>
        <v>2512.8182500000003</v>
      </c>
      <c r="N275">
        <v>0</v>
      </c>
      <c r="O275" t="s">
        <v>552</v>
      </c>
      <c r="P275" t="str">
        <f t="shared" si="24"/>
        <v>B2C</v>
      </c>
      <c r="R275">
        <v>-348.48</v>
      </c>
    </row>
    <row r="276" spans="1:18" x14ac:dyDescent="0.3">
      <c r="A276">
        <v>1285</v>
      </c>
      <c r="B276" t="str">
        <f t="shared" si="20"/>
        <v>Deborah Mckee</v>
      </c>
      <c r="C276" t="s">
        <v>336</v>
      </c>
      <c r="D276" t="s">
        <v>28</v>
      </c>
      <c r="E276" t="s">
        <v>29</v>
      </c>
      <c r="F276" t="str">
        <f>CONCATENATE(Table1[[#This Row],[Product_Category]]," - ",Table1[[#This Row],[Product_Name]])</f>
        <v>Accessories - Belts</v>
      </c>
      <c r="G276">
        <f>IF(H276="", AVERAGEIF(Table1[Product_Category],D276,$H$2:$H$474),H276)</f>
        <v>5</v>
      </c>
      <c r="H276">
        <v>5</v>
      </c>
      <c r="I276" s="2">
        <f t="shared" si="21"/>
        <v>2755.6936585365856</v>
      </c>
      <c r="K276">
        <f t="shared" si="22"/>
        <v>0</v>
      </c>
      <c r="M276" s="2">
        <f t="shared" si="23"/>
        <v>13778.468292682928</v>
      </c>
      <c r="N276">
        <v>0</v>
      </c>
      <c r="O276" t="s">
        <v>14</v>
      </c>
      <c r="P276" t="str">
        <f t="shared" si="24"/>
        <v>B2C</v>
      </c>
      <c r="R276">
        <v>2024.84</v>
      </c>
    </row>
    <row r="277" spans="1:18" x14ac:dyDescent="0.3">
      <c r="A277">
        <v>1286</v>
      </c>
      <c r="B277" t="str">
        <f t="shared" si="20"/>
        <v>Andrew Harmon</v>
      </c>
      <c r="C277" t="s">
        <v>337</v>
      </c>
      <c r="D277" t="s">
        <v>32</v>
      </c>
      <c r="E277" t="s">
        <v>81</v>
      </c>
      <c r="F277" t="str">
        <f>CONCATENATE(Table1[[#This Row],[Product_Category]]," - ",Table1[[#This Row],[Product_Name]])</f>
        <v>T-Shirts - Graphic Tee</v>
      </c>
      <c r="G277" s="2">
        <f>IF(H277="", AVERAGEIF(Table1[Product_Category],D277,$H$2:$H$474),H277)</f>
        <v>1.5813953488372092</v>
      </c>
      <c r="I277" s="2">
        <f t="shared" si="21"/>
        <v>2972.45</v>
      </c>
      <c r="J277">
        <v>2972.45</v>
      </c>
      <c r="K277">
        <f t="shared" si="22"/>
        <v>0</v>
      </c>
      <c r="M277" s="2">
        <f t="shared" si="23"/>
        <v>4700.6186046511621</v>
      </c>
      <c r="N277">
        <v>0</v>
      </c>
      <c r="O277" t="s">
        <v>21</v>
      </c>
      <c r="P277" t="str">
        <f t="shared" si="24"/>
        <v>B2C</v>
      </c>
      <c r="Q277" t="s">
        <v>15</v>
      </c>
      <c r="R277">
        <v>2562.54</v>
      </c>
    </row>
    <row r="278" spans="1:18" x14ac:dyDescent="0.3">
      <c r="A278">
        <v>1287</v>
      </c>
      <c r="B278" t="str">
        <f t="shared" si="20"/>
        <v>Todd Hall</v>
      </c>
      <c r="C278" t="s">
        <v>338</v>
      </c>
      <c r="D278" t="s">
        <v>12</v>
      </c>
      <c r="E278" t="s">
        <v>13</v>
      </c>
      <c r="F278" t="str">
        <f>CONCATENATE(Table1[[#This Row],[Product_Category]]," - ",Table1[[#This Row],[Product_Name]])</f>
        <v>Jeans - Slim Fit Jeans</v>
      </c>
      <c r="G278">
        <f>IF(H278="", AVERAGEIF(Table1[Product_Category],D278,$H$2:$H$474),H278)</f>
        <v>2</v>
      </c>
      <c r="I278" s="2">
        <f t="shared" si="21"/>
        <v>2592.8782222222212</v>
      </c>
      <c r="K278">
        <f t="shared" si="22"/>
        <v>0</v>
      </c>
      <c r="M278" s="2">
        <f t="shared" si="23"/>
        <v>5185.7564444444424</v>
      </c>
      <c r="N278">
        <v>0</v>
      </c>
      <c r="O278" t="s">
        <v>39</v>
      </c>
      <c r="P278" t="str">
        <f t="shared" si="24"/>
        <v>B2B</v>
      </c>
      <c r="Q278" t="s">
        <v>22</v>
      </c>
      <c r="R278">
        <v>802.66</v>
      </c>
    </row>
    <row r="279" spans="1:18" x14ac:dyDescent="0.3">
      <c r="A279">
        <v>1288</v>
      </c>
      <c r="B279" t="str">
        <f t="shared" si="20"/>
        <v>Danny Gilbert</v>
      </c>
      <c r="C279" t="s">
        <v>339</v>
      </c>
      <c r="D279" t="s">
        <v>24</v>
      </c>
      <c r="E279" t="s">
        <v>65</v>
      </c>
      <c r="F279" t="str">
        <f>CONCATENATE(Table1[[#This Row],[Product_Category]]," - ",Table1[[#This Row],[Product_Name]])</f>
        <v>Shoes - Slip-ons</v>
      </c>
      <c r="G279">
        <f>IF(H279="", AVERAGEIF(Table1[Product_Category],D279,$H$2:$H$474),H279)</f>
        <v>4</v>
      </c>
      <c r="H279">
        <v>4</v>
      </c>
      <c r="I279" s="2">
        <f t="shared" si="21"/>
        <v>2676.5783333333325</v>
      </c>
      <c r="K279">
        <f t="shared" si="22"/>
        <v>0</v>
      </c>
      <c r="M279" s="2">
        <f t="shared" si="23"/>
        <v>10706.31333333333</v>
      </c>
      <c r="N279">
        <v>0</v>
      </c>
      <c r="O279" t="s">
        <v>14</v>
      </c>
      <c r="P279" t="str">
        <f t="shared" si="24"/>
        <v>B2B</v>
      </c>
      <c r="Q279" t="s">
        <v>22</v>
      </c>
      <c r="R279">
        <v>-492.73</v>
      </c>
    </row>
    <row r="280" spans="1:18" x14ac:dyDescent="0.3">
      <c r="A280">
        <v>1289</v>
      </c>
      <c r="B280" t="str">
        <f t="shared" si="20"/>
        <v>Lauren Johnson</v>
      </c>
      <c r="C280" t="s">
        <v>340</v>
      </c>
      <c r="D280" t="s">
        <v>19</v>
      </c>
      <c r="E280" t="s">
        <v>87</v>
      </c>
      <c r="F280" t="str">
        <f>CONCATENATE(Table1[[#This Row],[Product_Category]]," - ",Table1[[#This Row],[Product_Name]])</f>
        <v>Jackets - Denim Jacket</v>
      </c>
      <c r="G280" s="2">
        <f>IF(H280="", AVERAGEIF(Table1[Product_Category],D280,$H$2:$H$474),H280)</f>
        <v>1.675</v>
      </c>
      <c r="I280" s="2">
        <f t="shared" si="21"/>
        <v>3590.85</v>
      </c>
      <c r="J280">
        <v>3590.85</v>
      </c>
      <c r="K280">
        <f t="shared" si="22"/>
        <v>0</v>
      </c>
      <c r="M280" s="2">
        <f t="shared" si="23"/>
        <v>6014.6737499999999</v>
      </c>
      <c r="N280">
        <v>0</v>
      </c>
      <c r="O280" t="s">
        <v>21</v>
      </c>
      <c r="P280" t="str">
        <f t="shared" si="24"/>
        <v>B2C</v>
      </c>
      <c r="Q280" t="s">
        <v>15</v>
      </c>
      <c r="R280">
        <v>2052.5700000000002</v>
      </c>
    </row>
    <row r="281" spans="1:18" x14ac:dyDescent="0.3">
      <c r="A281">
        <v>1290</v>
      </c>
      <c r="B281" t="str">
        <f t="shared" si="20"/>
        <v>Katherine Parsons</v>
      </c>
      <c r="C281" t="s">
        <v>341</v>
      </c>
      <c r="D281" t="s">
        <v>12</v>
      </c>
      <c r="E281" t="s">
        <v>13</v>
      </c>
      <c r="F281" t="str">
        <f>CONCATENATE(Table1[[#This Row],[Product_Category]]," - ",Table1[[#This Row],[Product_Name]])</f>
        <v>Jeans - Slim Fit Jeans</v>
      </c>
      <c r="G281">
        <f>IF(H281="", AVERAGEIF(Table1[Product_Category],D281,$H$2:$H$474),H281)</f>
        <v>2</v>
      </c>
      <c r="I281" s="2">
        <f t="shared" si="21"/>
        <v>1412.12</v>
      </c>
      <c r="J281">
        <v>1412.12</v>
      </c>
      <c r="K281">
        <f t="shared" si="22"/>
        <v>1.2</v>
      </c>
      <c r="L281">
        <v>1.2</v>
      </c>
      <c r="M281" s="2">
        <f t="shared" si="23"/>
        <v>-564.84799999999984</v>
      </c>
      <c r="N281">
        <v>0</v>
      </c>
      <c r="O281" t="s">
        <v>14</v>
      </c>
      <c r="P281" t="str">
        <f t="shared" si="24"/>
        <v>B2B</v>
      </c>
      <c r="Q281" t="s">
        <v>22</v>
      </c>
      <c r="R281">
        <v>430.92</v>
      </c>
    </row>
    <row r="282" spans="1:18" x14ac:dyDescent="0.3">
      <c r="A282">
        <v>1291</v>
      </c>
      <c r="B282" t="str">
        <f t="shared" si="20"/>
        <v>Jason Calhoun</v>
      </c>
      <c r="C282" t="s">
        <v>342</v>
      </c>
      <c r="D282" t="s">
        <v>19</v>
      </c>
      <c r="E282" t="s">
        <v>20</v>
      </c>
      <c r="F282" t="str">
        <f>CONCATENATE(Table1[[#This Row],[Product_Category]]," - ",Table1[[#This Row],[Product_Name]])</f>
        <v>Jackets - Puffer Coat</v>
      </c>
      <c r="G282" s="2">
        <f>IF(H282="", AVERAGEIF(Table1[Product_Category],D282,$H$2:$H$474),H282)</f>
        <v>1.675</v>
      </c>
      <c r="I282" s="2">
        <f t="shared" si="21"/>
        <v>2952.3559374999995</v>
      </c>
      <c r="K282">
        <f t="shared" si="22"/>
        <v>0</v>
      </c>
      <c r="M282" s="2">
        <f t="shared" si="23"/>
        <v>4945.1961953124992</v>
      </c>
      <c r="N282">
        <v>0</v>
      </c>
      <c r="O282" t="s">
        <v>552</v>
      </c>
      <c r="P282" t="str">
        <f t="shared" si="24"/>
        <v>B2C</v>
      </c>
      <c r="R282">
        <v>1073.44</v>
      </c>
    </row>
    <row r="283" spans="1:18" x14ac:dyDescent="0.3">
      <c r="A283">
        <v>1292</v>
      </c>
      <c r="B283" t="str">
        <f t="shared" si="20"/>
        <v>Amy Howard</v>
      </c>
      <c r="C283" t="s">
        <v>343</v>
      </c>
      <c r="D283" t="s">
        <v>37</v>
      </c>
      <c r="E283" t="s">
        <v>58</v>
      </c>
      <c r="F283" t="str">
        <f>CONCATENATE(Table1[[#This Row],[Product_Category]]," - ",Table1[[#This Row],[Product_Name]])</f>
        <v>Dresses - Maxi Dress</v>
      </c>
      <c r="G283">
        <f>IF(H283="", AVERAGEIF(Table1[Product_Category],D283,$H$2:$H$474),H283)</f>
        <v>3</v>
      </c>
      <c r="H283">
        <v>3</v>
      </c>
      <c r="I283" s="2">
        <f t="shared" si="21"/>
        <v>2878.0747619047615</v>
      </c>
      <c r="K283">
        <f t="shared" si="22"/>
        <v>0.46</v>
      </c>
      <c r="L283">
        <v>0.46</v>
      </c>
      <c r="M283" s="2">
        <f t="shared" si="23"/>
        <v>4662.4811142857143</v>
      </c>
      <c r="N283">
        <v>0</v>
      </c>
      <c r="O283" t="s">
        <v>21</v>
      </c>
      <c r="P283" t="str">
        <f t="shared" si="24"/>
        <v>B2C</v>
      </c>
      <c r="R283">
        <v>1165.8599999999999</v>
      </c>
    </row>
    <row r="284" spans="1:18" x14ac:dyDescent="0.3">
      <c r="A284">
        <v>1293</v>
      </c>
      <c r="B284" t="str">
        <f t="shared" si="20"/>
        <v>Cindy Hall</v>
      </c>
      <c r="C284" t="s">
        <v>344</v>
      </c>
      <c r="D284" t="s">
        <v>19</v>
      </c>
      <c r="E284" t="s">
        <v>87</v>
      </c>
      <c r="F284" t="str">
        <f>CONCATENATE(Table1[[#This Row],[Product_Category]]," - ",Table1[[#This Row],[Product_Name]])</f>
        <v>Jackets - Denim Jacket</v>
      </c>
      <c r="G284" s="2">
        <f>IF(H284="", AVERAGEIF(Table1[Product_Category],D284,$H$2:$H$474),H284)</f>
        <v>1.675</v>
      </c>
      <c r="I284" s="2">
        <f t="shared" si="21"/>
        <v>2952.3559374999995</v>
      </c>
      <c r="K284">
        <f t="shared" si="22"/>
        <v>0</v>
      </c>
      <c r="M284" s="2">
        <f t="shared" si="23"/>
        <v>4945.1961953124992</v>
      </c>
      <c r="N284">
        <v>0</v>
      </c>
      <c r="O284" t="s">
        <v>552</v>
      </c>
      <c r="P284" t="str">
        <f t="shared" si="24"/>
        <v>B2B</v>
      </c>
      <c r="Q284" t="s">
        <v>22</v>
      </c>
      <c r="R284">
        <v>2073.16</v>
      </c>
    </row>
    <row r="285" spans="1:18" x14ac:dyDescent="0.3">
      <c r="A285">
        <v>1294</v>
      </c>
      <c r="B285" t="str">
        <f t="shared" si="20"/>
        <v>Jeff Hernandez</v>
      </c>
      <c r="C285" t="s">
        <v>345</v>
      </c>
      <c r="D285" t="s">
        <v>28</v>
      </c>
      <c r="E285" t="s">
        <v>119</v>
      </c>
      <c r="F285" t="str">
        <f>CONCATENATE(Table1[[#This Row],[Product_Category]]," - ",Table1[[#This Row],[Product_Name]])</f>
        <v>Accessories - Watches</v>
      </c>
      <c r="G285" s="2">
        <f>IF(H285="", AVERAGEIF(Table1[Product_Category],D285,$H$2:$H$474),H285)</f>
        <v>2.5249999999999999</v>
      </c>
      <c r="I285" s="2">
        <f t="shared" si="21"/>
        <v>2755.6936585365856</v>
      </c>
      <c r="K285">
        <f t="shared" si="22"/>
        <v>0.56000000000000005</v>
      </c>
      <c r="L285">
        <v>0.56000000000000005</v>
      </c>
      <c r="M285" s="2">
        <f t="shared" si="23"/>
        <v>3061.5756546341463</v>
      </c>
      <c r="N285">
        <v>0</v>
      </c>
      <c r="O285" t="s">
        <v>14</v>
      </c>
      <c r="P285" t="str">
        <f t="shared" si="24"/>
        <v>B2B</v>
      </c>
      <c r="Q285" t="s">
        <v>22</v>
      </c>
      <c r="R285">
        <v>898.24</v>
      </c>
    </row>
    <row r="286" spans="1:18" x14ac:dyDescent="0.3">
      <c r="A286">
        <v>1295</v>
      </c>
      <c r="B286" t="str">
        <f t="shared" si="20"/>
        <v>Tiffany Maxwell</v>
      </c>
      <c r="C286" t="s">
        <v>346</v>
      </c>
      <c r="D286" t="s">
        <v>19</v>
      </c>
      <c r="E286" t="s">
        <v>121</v>
      </c>
      <c r="F286" t="str">
        <f>CONCATENATE(Table1[[#This Row],[Product_Category]]," - ",Table1[[#This Row],[Product_Name]])</f>
        <v>Jackets - Leather Jacket</v>
      </c>
      <c r="G286">
        <f>IF(H286="", AVERAGEIF(Table1[Product_Category],D286,$H$2:$H$474),H286)</f>
        <v>-1</v>
      </c>
      <c r="H286">
        <v>-1</v>
      </c>
      <c r="I286" s="2">
        <f t="shared" si="21"/>
        <v>2952.3559374999995</v>
      </c>
      <c r="K286">
        <f t="shared" si="22"/>
        <v>0</v>
      </c>
      <c r="M286" s="2">
        <f t="shared" si="23"/>
        <v>-2952.3559374999995</v>
      </c>
      <c r="N286">
        <v>0</v>
      </c>
      <c r="O286" t="s">
        <v>39</v>
      </c>
      <c r="P286" t="str">
        <f t="shared" si="24"/>
        <v>B2C</v>
      </c>
      <c r="Q286" t="s">
        <v>15</v>
      </c>
      <c r="R286">
        <v>2967.72</v>
      </c>
    </row>
    <row r="287" spans="1:18" x14ac:dyDescent="0.3">
      <c r="A287">
        <v>1296</v>
      </c>
      <c r="B287" t="str">
        <f t="shared" si="20"/>
        <v>Lori Orozco</v>
      </c>
      <c r="C287" t="s">
        <v>347</v>
      </c>
      <c r="D287" t="s">
        <v>12</v>
      </c>
      <c r="E287" t="s">
        <v>13</v>
      </c>
      <c r="F287" t="str">
        <f>CONCATENATE(Table1[[#This Row],[Product_Category]]," - ",Table1[[#This Row],[Product_Name]])</f>
        <v>Jeans - Slim Fit Jeans</v>
      </c>
      <c r="G287">
        <f>IF(H287="", AVERAGEIF(Table1[Product_Category],D287,$H$2:$H$474),H287)</f>
        <v>-2</v>
      </c>
      <c r="H287">
        <v>-2</v>
      </c>
      <c r="I287" s="2">
        <f t="shared" si="21"/>
        <v>2795.79</v>
      </c>
      <c r="J287">
        <v>2795.79</v>
      </c>
      <c r="K287">
        <f t="shared" si="22"/>
        <v>0</v>
      </c>
      <c r="M287" s="2">
        <f t="shared" si="23"/>
        <v>-5591.58</v>
      </c>
      <c r="N287">
        <v>0</v>
      </c>
      <c r="O287" t="s">
        <v>39</v>
      </c>
      <c r="P287" t="str">
        <f t="shared" si="24"/>
        <v>B2B</v>
      </c>
      <c r="Q287" t="s">
        <v>22</v>
      </c>
      <c r="R287">
        <v>1438.47</v>
      </c>
    </row>
    <row r="288" spans="1:18" x14ac:dyDescent="0.3">
      <c r="A288">
        <v>1297</v>
      </c>
      <c r="B288" t="str">
        <f t="shared" si="20"/>
        <v>Sharon Combs</v>
      </c>
      <c r="C288" t="s">
        <v>348</v>
      </c>
      <c r="D288" t="s">
        <v>19</v>
      </c>
      <c r="E288" t="s">
        <v>20</v>
      </c>
      <c r="F288" t="str">
        <f>CONCATENATE(Table1[[#This Row],[Product_Category]]," - ",Table1[[#This Row],[Product_Name]])</f>
        <v>Jackets - Puffer Coat</v>
      </c>
      <c r="G288" s="2">
        <f>IF(H288="", AVERAGEIF(Table1[Product_Category],D288,$H$2:$H$474),H288)</f>
        <v>1.675</v>
      </c>
      <c r="I288" s="2">
        <f t="shared" si="21"/>
        <v>4524.2</v>
      </c>
      <c r="J288">
        <v>4524.2</v>
      </c>
      <c r="K288">
        <f t="shared" si="22"/>
        <v>0</v>
      </c>
      <c r="M288" s="2">
        <f t="shared" si="23"/>
        <v>7578.0349999999999</v>
      </c>
      <c r="N288">
        <v>0</v>
      </c>
      <c r="O288" t="s">
        <v>14</v>
      </c>
      <c r="P288" t="str">
        <f t="shared" si="24"/>
        <v>B2C</v>
      </c>
      <c r="Q288" t="s">
        <v>15</v>
      </c>
      <c r="R288">
        <v>1637.33</v>
      </c>
    </row>
    <row r="289" spans="1:18" x14ac:dyDescent="0.3">
      <c r="A289">
        <v>1298</v>
      </c>
      <c r="B289" t="str">
        <f t="shared" si="20"/>
        <v>Dylan Newton</v>
      </c>
      <c r="C289" t="s">
        <v>349</v>
      </c>
      <c r="D289" t="s">
        <v>32</v>
      </c>
      <c r="E289" t="s">
        <v>81</v>
      </c>
      <c r="F289" t="str">
        <f>CONCATENATE(Table1[[#This Row],[Product_Category]]," - ",Table1[[#This Row],[Product_Name]])</f>
        <v>T-Shirts - Graphic Tee</v>
      </c>
      <c r="G289" s="2">
        <f>IF(H289="", AVERAGEIF(Table1[Product_Category],D289,$H$2:$H$474),H289)</f>
        <v>1.5813953488372092</v>
      </c>
      <c r="I289" s="2">
        <f t="shared" si="21"/>
        <v>2715.2732432432431</v>
      </c>
      <c r="K289">
        <f t="shared" si="22"/>
        <v>0</v>
      </c>
      <c r="M289" s="2">
        <f t="shared" si="23"/>
        <v>4293.9204776869892</v>
      </c>
      <c r="N289">
        <v>0</v>
      </c>
      <c r="O289" t="s">
        <v>17</v>
      </c>
      <c r="P289" t="str">
        <f t="shared" si="24"/>
        <v>B2C</v>
      </c>
      <c r="Q289" t="s">
        <v>15</v>
      </c>
      <c r="R289">
        <v>2490.23</v>
      </c>
    </row>
    <row r="290" spans="1:18" x14ac:dyDescent="0.3">
      <c r="A290">
        <v>1299</v>
      </c>
      <c r="B290" t="str">
        <f t="shared" si="20"/>
        <v>John Levine</v>
      </c>
      <c r="C290" t="s">
        <v>350</v>
      </c>
      <c r="D290" t="s">
        <v>19</v>
      </c>
      <c r="E290" t="s">
        <v>87</v>
      </c>
      <c r="F290" t="str">
        <f>CONCATENATE(Table1[[#This Row],[Product_Category]]," - ",Table1[[#This Row],[Product_Name]])</f>
        <v>Jackets - Denim Jacket</v>
      </c>
      <c r="G290">
        <f>IF(H290="", AVERAGEIF(Table1[Product_Category],D290,$H$2:$H$474),H290)</f>
        <v>1</v>
      </c>
      <c r="H290">
        <v>1</v>
      </c>
      <c r="I290" s="2">
        <f t="shared" si="21"/>
        <v>1026.58</v>
      </c>
      <c r="J290">
        <v>1026.58</v>
      </c>
      <c r="K290">
        <f t="shared" si="22"/>
        <v>0</v>
      </c>
      <c r="M290" s="2">
        <f t="shared" si="23"/>
        <v>1026.58</v>
      </c>
      <c r="N290">
        <v>0</v>
      </c>
      <c r="O290" t="s">
        <v>552</v>
      </c>
      <c r="P290" t="str">
        <f t="shared" si="24"/>
        <v>B2C</v>
      </c>
      <c r="Q290" t="s">
        <v>15</v>
      </c>
      <c r="R290">
        <v>1178.3699999999999</v>
      </c>
    </row>
    <row r="291" spans="1:18" x14ac:dyDescent="0.3">
      <c r="A291">
        <v>1300</v>
      </c>
      <c r="B291" t="str">
        <f t="shared" si="20"/>
        <v>Latoya Johnson</v>
      </c>
      <c r="C291" t="s">
        <v>351</v>
      </c>
      <c r="D291" t="s">
        <v>12</v>
      </c>
      <c r="E291" t="s">
        <v>13</v>
      </c>
      <c r="F291" t="str">
        <f>CONCATENATE(Table1[[#This Row],[Product_Category]]," - ",Table1[[#This Row],[Product_Name]])</f>
        <v>Jeans - Slim Fit Jeans</v>
      </c>
      <c r="G291">
        <f>IF(H291="", AVERAGEIF(Table1[Product_Category],D291,$H$2:$H$474),H291)</f>
        <v>2</v>
      </c>
      <c r="I291" s="2">
        <f t="shared" si="21"/>
        <v>4611.8999999999996</v>
      </c>
      <c r="J291">
        <v>4611.8999999999996</v>
      </c>
      <c r="K291">
        <f t="shared" si="22"/>
        <v>0</v>
      </c>
      <c r="M291" s="2">
        <f t="shared" si="23"/>
        <v>9223.7999999999993</v>
      </c>
      <c r="N291">
        <v>0</v>
      </c>
      <c r="O291" t="s">
        <v>14</v>
      </c>
      <c r="P291" t="str">
        <f t="shared" si="24"/>
        <v>B2B</v>
      </c>
      <c r="Q291" t="s">
        <v>22</v>
      </c>
      <c r="R291">
        <v>703.48</v>
      </c>
    </row>
    <row r="292" spans="1:18" x14ac:dyDescent="0.3">
      <c r="A292">
        <v>1302</v>
      </c>
      <c r="B292" t="str">
        <f t="shared" si="20"/>
        <v>Adam Bryan</v>
      </c>
      <c r="C292" t="s">
        <v>353</v>
      </c>
      <c r="D292" t="s">
        <v>12</v>
      </c>
      <c r="E292" t="s">
        <v>101</v>
      </c>
      <c r="F292" t="str">
        <f>CONCATENATE(Table1[[#This Row],[Product_Category]]," - ",Table1[[#This Row],[Product_Name]])</f>
        <v>Jeans - Ripped Denim</v>
      </c>
      <c r="G292">
        <f>IF(H292="", AVERAGEIF(Table1[Product_Category],D292,$H$2:$H$474),H292)</f>
        <v>5</v>
      </c>
      <c r="H292">
        <v>5</v>
      </c>
      <c r="I292" s="2">
        <f t="shared" si="21"/>
        <v>2592.8782222222212</v>
      </c>
      <c r="K292">
        <f t="shared" si="22"/>
        <v>0.09</v>
      </c>
      <c r="L292">
        <v>0.09</v>
      </c>
      <c r="M292" s="2">
        <f t="shared" si="23"/>
        <v>11797.595911111108</v>
      </c>
      <c r="N292">
        <v>0</v>
      </c>
      <c r="O292" t="s">
        <v>17</v>
      </c>
      <c r="P292" t="str">
        <f t="shared" si="24"/>
        <v>B2C</v>
      </c>
      <c r="Q292" t="s">
        <v>15</v>
      </c>
      <c r="R292">
        <v>339.17</v>
      </c>
    </row>
    <row r="293" spans="1:18" x14ac:dyDescent="0.3">
      <c r="A293">
        <v>1303</v>
      </c>
      <c r="B293" t="str">
        <f t="shared" si="20"/>
        <v>Laura Smith</v>
      </c>
      <c r="C293" t="s">
        <v>354</v>
      </c>
      <c r="D293" t="s">
        <v>12</v>
      </c>
      <c r="E293" t="s">
        <v>48</v>
      </c>
      <c r="F293" t="str">
        <f>CONCATENATE(Table1[[#This Row],[Product_Category]]," - ",Table1[[#This Row],[Product_Name]])</f>
        <v>Jeans - Straight Cut</v>
      </c>
      <c r="G293">
        <f>IF(H293="", AVERAGEIF(Table1[Product_Category],D293,$H$2:$H$474),H293)</f>
        <v>3</v>
      </c>
      <c r="H293">
        <v>3</v>
      </c>
      <c r="I293" s="2">
        <f t="shared" si="21"/>
        <v>1192.1600000000001</v>
      </c>
      <c r="J293">
        <v>1192.1600000000001</v>
      </c>
      <c r="K293">
        <f t="shared" si="22"/>
        <v>0</v>
      </c>
      <c r="M293" s="2">
        <f t="shared" si="23"/>
        <v>3576.4800000000005</v>
      </c>
      <c r="N293">
        <v>0</v>
      </c>
      <c r="O293" t="s">
        <v>45</v>
      </c>
      <c r="P293" t="str">
        <f t="shared" si="24"/>
        <v>B2B</v>
      </c>
      <c r="Q293" t="s">
        <v>22</v>
      </c>
      <c r="R293">
        <v>505.33</v>
      </c>
    </row>
    <row r="294" spans="1:18" x14ac:dyDescent="0.3">
      <c r="A294">
        <v>1305</v>
      </c>
      <c r="B294" t="str">
        <f t="shared" si="20"/>
        <v>Kelsey Stein</v>
      </c>
      <c r="C294" t="s">
        <v>356</v>
      </c>
      <c r="D294" t="s">
        <v>19</v>
      </c>
      <c r="E294" t="s">
        <v>79</v>
      </c>
      <c r="F294" t="str">
        <f>CONCATENATE(Table1[[#This Row],[Product_Category]]," - ",Table1[[#This Row],[Product_Name]])</f>
        <v>Jackets - Bomber Jacket</v>
      </c>
      <c r="G294">
        <f>IF(H294="", AVERAGEIF(Table1[Product_Category],D294,$H$2:$H$474),H294)</f>
        <v>3</v>
      </c>
      <c r="H294">
        <v>3</v>
      </c>
      <c r="I294" s="2">
        <f t="shared" si="21"/>
        <v>2952.3559374999995</v>
      </c>
      <c r="K294">
        <f t="shared" si="22"/>
        <v>0</v>
      </c>
      <c r="M294" s="2">
        <f t="shared" si="23"/>
        <v>8857.0678124999977</v>
      </c>
      <c r="N294">
        <v>0</v>
      </c>
      <c r="O294" t="s">
        <v>14</v>
      </c>
      <c r="P294" t="str">
        <f t="shared" si="24"/>
        <v>B2C</v>
      </c>
      <c r="R294">
        <v>2861.3</v>
      </c>
    </row>
    <row r="295" spans="1:18" x14ac:dyDescent="0.3">
      <c r="A295">
        <v>1306</v>
      </c>
      <c r="B295" t="str">
        <f t="shared" si="20"/>
        <v>Aaron Johnson</v>
      </c>
      <c r="C295" t="s">
        <v>357</v>
      </c>
      <c r="D295" t="s">
        <v>28</v>
      </c>
      <c r="E295" t="s">
        <v>29</v>
      </c>
      <c r="F295" t="str">
        <f>CONCATENATE(Table1[[#This Row],[Product_Category]]," - ",Table1[[#This Row],[Product_Name]])</f>
        <v>Accessories - Belts</v>
      </c>
      <c r="G295">
        <f>IF(H295="", AVERAGEIF(Table1[Product_Category],D295,$H$2:$H$474),H295)</f>
        <v>4</v>
      </c>
      <c r="H295">
        <v>4</v>
      </c>
      <c r="I295" s="2">
        <f t="shared" si="21"/>
        <v>2755.6936585365856</v>
      </c>
      <c r="K295">
        <f t="shared" si="22"/>
        <v>0</v>
      </c>
      <c r="M295" s="2">
        <f t="shared" si="23"/>
        <v>11022.774634146343</v>
      </c>
      <c r="N295">
        <v>0</v>
      </c>
      <c r="O295" t="s">
        <v>17</v>
      </c>
      <c r="P295" t="str">
        <f t="shared" si="24"/>
        <v>B2C</v>
      </c>
      <c r="R295">
        <v>99.1</v>
      </c>
    </row>
    <row r="296" spans="1:18" x14ac:dyDescent="0.3">
      <c r="A296">
        <v>1307</v>
      </c>
      <c r="B296" t="str">
        <f t="shared" si="20"/>
        <v>Amber Lee</v>
      </c>
      <c r="C296" t="s">
        <v>358</v>
      </c>
      <c r="D296" t="s">
        <v>37</v>
      </c>
      <c r="E296" t="s">
        <v>58</v>
      </c>
      <c r="F296" t="str">
        <f>CONCATENATE(Table1[[#This Row],[Product_Category]]," - ",Table1[[#This Row],[Product_Name]])</f>
        <v>Dresses - Maxi Dress</v>
      </c>
      <c r="G296">
        <f>IF(H296="", AVERAGEIF(Table1[Product_Category],D296,$H$2:$H$474),H296)</f>
        <v>2</v>
      </c>
      <c r="H296">
        <v>2</v>
      </c>
      <c r="I296" s="2">
        <f t="shared" si="21"/>
        <v>2648.43</v>
      </c>
      <c r="J296">
        <v>2648.43</v>
      </c>
      <c r="K296">
        <f t="shared" si="22"/>
        <v>0</v>
      </c>
      <c r="M296" s="2">
        <f t="shared" si="23"/>
        <v>5296.86</v>
      </c>
      <c r="N296">
        <v>0</v>
      </c>
      <c r="O296" t="s">
        <v>17</v>
      </c>
      <c r="P296" t="str">
        <f t="shared" si="24"/>
        <v>B2B</v>
      </c>
      <c r="Q296" t="s">
        <v>22</v>
      </c>
      <c r="R296">
        <v>642</v>
      </c>
    </row>
    <row r="297" spans="1:18" x14ac:dyDescent="0.3">
      <c r="A297">
        <v>1308</v>
      </c>
      <c r="B297" t="str">
        <f t="shared" si="20"/>
        <v>Michael Joseph</v>
      </c>
      <c r="C297" t="s">
        <v>359</v>
      </c>
      <c r="D297" t="s">
        <v>37</v>
      </c>
      <c r="E297" t="s">
        <v>90</v>
      </c>
      <c r="F297" t="str">
        <f>CONCATENATE(Table1[[#This Row],[Product_Category]]," - ",Table1[[#This Row],[Product_Name]])</f>
        <v>Dresses - Bodycon</v>
      </c>
      <c r="G297">
        <f>IF(H297="", AVERAGEIF(Table1[Product_Category],D297,$H$2:$H$474),H297)</f>
        <v>2</v>
      </c>
      <c r="H297">
        <v>2</v>
      </c>
      <c r="I297" s="2">
        <f t="shared" si="21"/>
        <v>4203.62</v>
      </c>
      <c r="J297">
        <v>4203.62</v>
      </c>
      <c r="K297">
        <f t="shared" si="22"/>
        <v>0</v>
      </c>
      <c r="M297" s="2">
        <f t="shared" si="23"/>
        <v>8407.24</v>
      </c>
      <c r="N297">
        <v>0</v>
      </c>
      <c r="O297" t="s">
        <v>21</v>
      </c>
      <c r="P297" t="str">
        <f t="shared" si="24"/>
        <v>B2B</v>
      </c>
      <c r="Q297" t="s">
        <v>22</v>
      </c>
      <c r="R297">
        <v>464.65</v>
      </c>
    </row>
    <row r="298" spans="1:18" x14ac:dyDescent="0.3">
      <c r="A298">
        <v>1309</v>
      </c>
      <c r="B298" t="str">
        <f t="shared" si="20"/>
        <v>Tina Brown</v>
      </c>
      <c r="C298" t="s">
        <v>360</v>
      </c>
      <c r="D298" t="s">
        <v>28</v>
      </c>
      <c r="E298" t="s">
        <v>140</v>
      </c>
      <c r="F298" t="str">
        <f>CONCATENATE(Table1[[#This Row],[Product_Category]]," - ",Table1[[#This Row],[Product_Name]])</f>
        <v>Accessories - Caps</v>
      </c>
      <c r="G298" s="2">
        <f>IF(H298="", AVERAGEIF(Table1[Product_Category],D298,$H$2:$H$474),H298)</f>
        <v>2.5249999999999999</v>
      </c>
      <c r="I298" s="2">
        <f t="shared" si="21"/>
        <v>2755.6936585365856</v>
      </c>
      <c r="K298">
        <f t="shared" si="22"/>
        <v>0</v>
      </c>
      <c r="M298" s="2">
        <f t="shared" si="23"/>
        <v>6958.1264878048787</v>
      </c>
      <c r="N298">
        <v>0</v>
      </c>
      <c r="O298" t="s">
        <v>45</v>
      </c>
      <c r="P298" t="str">
        <f t="shared" si="24"/>
        <v>B2B</v>
      </c>
      <c r="Q298" t="s">
        <v>22</v>
      </c>
      <c r="R298">
        <v>481.45</v>
      </c>
    </row>
    <row r="299" spans="1:18" x14ac:dyDescent="0.3">
      <c r="A299">
        <v>1310</v>
      </c>
      <c r="B299" t="str">
        <f t="shared" si="20"/>
        <v>Thomas Smith</v>
      </c>
      <c r="C299" t="s">
        <v>361</v>
      </c>
      <c r="D299" t="s">
        <v>37</v>
      </c>
      <c r="E299" t="s">
        <v>58</v>
      </c>
      <c r="F299" t="str">
        <f>CONCATENATE(Table1[[#This Row],[Product_Category]]," - ",Table1[[#This Row],[Product_Name]])</f>
        <v>Dresses - Maxi Dress</v>
      </c>
      <c r="G299" s="2">
        <f>IF(H299="", AVERAGEIF(Table1[Product_Category],D299,$H$2:$H$474),H299)</f>
        <v>2.0217391304347827</v>
      </c>
      <c r="I299" s="2">
        <f t="shared" si="21"/>
        <v>2878.0747619047615</v>
      </c>
      <c r="K299">
        <f t="shared" si="22"/>
        <v>0</v>
      </c>
      <c r="M299" s="2">
        <f t="shared" si="23"/>
        <v>5818.7163664596264</v>
      </c>
      <c r="N299">
        <v>0</v>
      </c>
      <c r="O299" t="s">
        <v>45</v>
      </c>
      <c r="P299" t="str">
        <f t="shared" si="24"/>
        <v>B2B</v>
      </c>
      <c r="Q299" t="s">
        <v>22</v>
      </c>
      <c r="R299">
        <v>1516.35</v>
      </c>
    </row>
    <row r="300" spans="1:18" x14ac:dyDescent="0.3">
      <c r="A300">
        <v>1311</v>
      </c>
      <c r="B300" t="str">
        <f t="shared" si="20"/>
        <v>Jennifer Watson</v>
      </c>
      <c r="C300" t="s">
        <v>362</v>
      </c>
      <c r="D300" t="s">
        <v>19</v>
      </c>
      <c r="E300" t="s">
        <v>79</v>
      </c>
      <c r="F300" t="str">
        <f>CONCATENATE(Table1[[#This Row],[Product_Category]]," - ",Table1[[#This Row],[Product_Name]])</f>
        <v>Jackets - Bomber Jacket</v>
      </c>
      <c r="G300">
        <f>IF(H300="", AVERAGEIF(Table1[Product_Category],D300,$H$2:$H$474),H300)</f>
        <v>3</v>
      </c>
      <c r="H300">
        <v>3</v>
      </c>
      <c r="I300" s="2">
        <f t="shared" si="21"/>
        <v>2952.3559374999995</v>
      </c>
      <c r="K300">
        <f t="shared" si="22"/>
        <v>0.13</v>
      </c>
      <c r="L300">
        <v>0.13</v>
      </c>
      <c r="M300" s="2">
        <f t="shared" si="23"/>
        <v>7705.6489968749984</v>
      </c>
      <c r="N300">
        <v>0</v>
      </c>
      <c r="O300" t="s">
        <v>21</v>
      </c>
      <c r="P300" t="str">
        <f t="shared" si="24"/>
        <v>B2B</v>
      </c>
      <c r="Q300" t="s">
        <v>22</v>
      </c>
      <c r="R300">
        <v>-109.19</v>
      </c>
    </row>
    <row r="301" spans="1:18" x14ac:dyDescent="0.3">
      <c r="A301">
        <v>1312</v>
      </c>
      <c r="B301" t="str">
        <f t="shared" si="20"/>
        <v>Wendy Garcia</v>
      </c>
      <c r="C301" t="s">
        <v>363</v>
      </c>
      <c r="D301" t="s">
        <v>28</v>
      </c>
      <c r="E301" t="s">
        <v>41</v>
      </c>
      <c r="F301" t="str">
        <f>CONCATENATE(Table1[[#This Row],[Product_Category]]," - ",Table1[[#This Row],[Product_Name]])</f>
        <v>Accessories - Sunglasses</v>
      </c>
      <c r="G301" s="2">
        <f>IF(H301="", AVERAGEIF(Table1[Product_Category],D301,$H$2:$H$474),H301)</f>
        <v>2.5249999999999999</v>
      </c>
      <c r="I301" s="2">
        <f t="shared" si="21"/>
        <v>2755.6936585365856</v>
      </c>
      <c r="K301">
        <f t="shared" si="22"/>
        <v>0</v>
      </c>
      <c r="M301" s="2">
        <f t="shared" si="23"/>
        <v>6958.1264878048787</v>
      </c>
      <c r="N301">
        <v>0</v>
      </c>
      <c r="O301" t="s">
        <v>45</v>
      </c>
      <c r="P301" t="str">
        <f t="shared" si="24"/>
        <v>B2B</v>
      </c>
      <c r="Q301" t="s">
        <v>22</v>
      </c>
      <c r="R301">
        <v>-646.16</v>
      </c>
    </row>
    <row r="302" spans="1:18" x14ac:dyDescent="0.3">
      <c r="A302">
        <v>1313</v>
      </c>
      <c r="B302" t="str">
        <f t="shared" si="20"/>
        <v>Sean Pope</v>
      </c>
      <c r="C302" t="s">
        <v>364</v>
      </c>
      <c r="D302" t="s">
        <v>28</v>
      </c>
      <c r="E302" t="s">
        <v>119</v>
      </c>
      <c r="F302" t="str">
        <f>CONCATENATE(Table1[[#This Row],[Product_Category]]," - ",Table1[[#This Row],[Product_Name]])</f>
        <v>Accessories - Watches</v>
      </c>
      <c r="G302" s="2">
        <f>IF(H302="", AVERAGEIF(Table1[Product_Category],D302,$H$2:$H$474),H302)</f>
        <v>2.5249999999999999</v>
      </c>
      <c r="I302" s="2">
        <f t="shared" si="21"/>
        <v>4763.45</v>
      </c>
      <c r="J302">
        <v>4763.45</v>
      </c>
      <c r="K302">
        <f t="shared" si="22"/>
        <v>0.96</v>
      </c>
      <c r="L302">
        <v>0.96</v>
      </c>
      <c r="M302" s="2">
        <f t="shared" si="23"/>
        <v>481.10845000000035</v>
      </c>
      <c r="N302">
        <v>0</v>
      </c>
      <c r="O302" t="s">
        <v>45</v>
      </c>
      <c r="P302" t="str">
        <f t="shared" si="24"/>
        <v>B2C</v>
      </c>
      <c r="Q302" t="s">
        <v>15</v>
      </c>
      <c r="R302">
        <v>-581.35</v>
      </c>
    </row>
    <row r="303" spans="1:18" x14ac:dyDescent="0.3">
      <c r="A303">
        <v>1314</v>
      </c>
      <c r="B303" t="str">
        <f t="shared" si="20"/>
        <v>Brad Mccarty</v>
      </c>
      <c r="C303" t="s">
        <v>365</v>
      </c>
      <c r="D303" t="s">
        <v>24</v>
      </c>
      <c r="E303" t="s">
        <v>65</v>
      </c>
      <c r="F303" t="str">
        <f>CONCATENATE(Table1[[#This Row],[Product_Category]]," - ",Table1[[#This Row],[Product_Name]])</f>
        <v>Shoes - Slip-ons</v>
      </c>
      <c r="G303">
        <f>IF(H303="", AVERAGEIF(Table1[Product_Category],D303,$H$2:$H$474),H303)</f>
        <v>-1</v>
      </c>
      <c r="H303">
        <v>-1</v>
      </c>
      <c r="I303" s="2">
        <f t="shared" si="21"/>
        <v>2676.5783333333325</v>
      </c>
      <c r="K303">
        <f t="shared" si="22"/>
        <v>0</v>
      </c>
      <c r="M303" s="2">
        <f t="shared" si="23"/>
        <v>-2676.5783333333325</v>
      </c>
      <c r="N303">
        <v>0</v>
      </c>
      <c r="O303" t="s">
        <v>552</v>
      </c>
      <c r="P303" t="str">
        <f t="shared" si="24"/>
        <v>B2C</v>
      </c>
      <c r="Q303" t="s">
        <v>15</v>
      </c>
      <c r="R303">
        <v>1148.06</v>
      </c>
    </row>
    <row r="304" spans="1:18" x14ac:dyDescent="0.3">
      <c r="A304">
        <v>1315</v>
      </c>
      <c r="B304" t="str">
        <f t="shared" si="20"/>
        <v>Mark Gonzales</v>
      </c>
      <c r="C304" t="s">
        <v>366</v>
      </c>
      <c r="D304" t="s">
        <v>12</v>
      </c>
      <c r="E304" t="s">
        <v>35</v>
      </c>
      <c r="F304" t="str">
        <f>CONCATENATE(Table1[[#This Row],[Product_Category]]," - ",Table1[[#This Row],[Product_Name]])</f>
        <v>Jeans - Boyfriend Jeans</v>
      </c>
      <c r="G304">
        <f>IF(H304="", AVERAGEIF(Table1[Product_Category],D304,$H$2:$H$474),H304)</f>
        <v>-2</v>
      </c>
      <c r="H304">
        <v>-2</v>
      </c>
      <c r="I304" s="2">
        <f t="shared" si="21"/>
        <v>515.04</v>
      </c>
      <c r="J304">
        <v>515.04</v>
      </c>
      <c r="K304">
        <f t="shared" si="22"/>
        <v>0</v>
      </c>
      <c r="M304" s="2">
        <f t="shared" si="23"/>
        <v>-1030.08</v>
      </c>
      <c r="N304">
        <v>0</v>
      </c>
      <c r="O304" t="s">
        <v>39</v>
      </c>
      <c r="P304" t="str">
        <f t="shared" si="24"/>
        <v>B2C</v>
      </c>
      <c r="R304">
        <v>-279.01</v>
      </c>
    </row>
    <row r="305" spans="1:18" x14ac:dyDescent="0.3">
      <c r="A305">
        <v>1316</v>
      </c>
      <c r="B305" t="str">
        <f t="shared" si="20"/>
        <v>Theresa Wiggins</v>
      </c>
      <c r="C305" t="s">
        <v>367</v>
      </c>
      <c r="D305" t="s">
        <v>32</v>
      </c>
      <c r="E305" t="s">
        <v>33</v>
      </c>
      <c r="F305" t="str">
        <f>CONCATENATE(Table1[[#This Row],[Product_Category]]," - ",Table1[[#This Row],[Product_Name]])</f>
        <v>T-Shirts - Crop Top</v>
      </c>
      <c r="G305" s="2">
        <f>IF(H305="", AVERAGEIF(Table1[Product_Category],D305,$H$2:$H$474),H305)</f>
        <v>1.5813953488372092</v>
      </c>
      <c r="I305" s="2">
        <f t="shared" si="21"/>
        <v>1345.98</v>
      </c>
      <c r="J305">
        <v>1345.98</v>
      </c>
      <c r="K305">
        <f t="shared" si="22"/>
        <v>0</v>
      </c>
      <c r="M305" s="2">
        <f t="shared" si="23"/>
        <v>2128.526511627907</v>
      </c>
      <c r="N305">
        <v>0</v>
      </c>
      <c r="O305" t="s">
        <v>45</v>
      </c>
      <c r="P305" t="str">
        <f t="shared" si="24"/>
        <v>B2C</v>
      </c>
      <c r="R305">
        <v>-177.6</v>
      </c>
    </row>
    <row r="306" spans="1:18" x14ac:dyDescent="0.3">
      <c r="A306">
        <v>1317</v>
      </c>
      <c r="B306" t="str">
        <f t="shared" si="20"/>
        <v>Mitchell Gomez</v>
      </c>
      <c r="C306" t="s">
        <v>368</v>
      </c>
      <c r="D306" t="s">
        <v>28</v>
      </c>
      <c r="E306" t="s">
        <v>119</v>
      </c>
      <c r="F306" t="str">
        <f>CONCATENATE(Table1[[#This Row],[Product_Category]]," - ",Table1[[#This Row],[Product_Name]])</f>
        <v>Accessories - Watches</v>
      </c>
      <c r="G306">
        <f>IF(H306="", AVERAGEIF(Table1[Product_Category],D306,$H$2:$H$474),H306)</f>
        <v>0</v>
      </c>
      <c r="H306">
        <v>0</v>
      </c>
      <c r="I306" s="2">
        <f t="shared" si="21"/>
        <v>2755.6936585365856</v>
      </c>
      <c r="K306">
        <f t="shared" si="22"/>
        <v>0</v>
      </c>
      <c r="M306" s="2">
        <f t="shared" si="23"/>
        <v>0</v>
      </c>
      <c r="N306">
        <v>0</v>
      </c>
      <c r="O306" t="s">
        <v>21</v>
      </c>
      <c r="P306" t="str">
        <f t="shared" si="24"/>
        <v>B2B</v>
      </c>
      <c r="Q306" t="s">
        <v>22</v>
      </c>
      <c r="R306">
        <v>-476.45</v>
      </c>
    </row>
    <row r="307" spans="1:18" x14ac:dyDescent="0.3">
      <c r="A307">
        <v>1318</v>
      </c>
      <c r="B307" t="str">
        <f t="shared" si="20"/>
        <v>Tony Reynolds</v>
      </c>
      <c r="C307" t="s">
        <v>369</v>
      </c>
      <c r="D307" t="s">
        <v>28</v>
      </c>
      <c r="E307" t="s">
        <v>29</v>
      </c>
      <c r="F307" t="str">
        <f>CONCATENATE(Table1[[#This Row],[Product_Category]]," - ",Table1[[#This Row],[Product_Name]])</f>
        <v>Accessories - Belts</v>
      </c>
      <c r="G307">
        <f>IF(H307="", AVERAGEIF(Table1[Product_Category],D307,$H$2:$H$474),H307)</f>
        <v>3</v>
      </c>
      <c r="H307">
        <v>3</v>
      </c>
      <c r="I307" s="2">
        <f t="shared" si="21"/>
        <v>2755.6936585365856</v>
      </c>
      <c r="K307">
        <f t="shared" si="22"/>
        <v>0</v>
      </c>
      <c r="M307" s="2">
        <f t="shared" si="23"/>
        <v>8267.0809756097569</v>
      </c>
      <c r="N307">
        <v>0</v>
      </c>
      <c r="O307" t="s">
        <v>45</v>
      </c>
      <c r="P307" t="str">
        <f t="shared" si="24"/>
        <v>B2C</v>
      </c>
      <c r="Q307" t="s">
        <v>15</v>
      </c>
      <c r="R307">
        <v>1830.14</v>
      </c>
    </row>
    <row r="308" spans="1:18" x14ac:dyDescent="0.3">
      <c r="A308">
        <v>1319</v>
      </c>
      <c r="B308" t="str">
        <f t="shared" si="20"/>
        <v>Kristine Byrd</v>
      </c>
      <c r="C308" t="s">
        <v>370</v>
      </c>
      <c r="D308" t="s">
        <v>37</v>
      </c>
      <c r="E308" t="s">
        <v>90</v>
      </c>
      <c r="F308" t="str">
        <f>CONCATENATE(Table1[[#This Row],[Product_Category]]," - ",Table1[[#This Row],[Product_Name]])</f>
        <v>Dresses - Bodycon</v>
      </c>
      <c r="G308">
        <f>IF(H308="", AVERAGEIF(Table1[Product_Category],D308,$H$2:$H$474),H308)</f>
        <v>0</v>
      </c>
      <c r="H308">
        <v>0</v>
      </c>
      <c r="I308" s="2">
        <f t="shared" si="21"/>
        <v>2878.0747619047615</v>
      </c>
      <c r="K308">
        <f t="shared" si="22"/>
        <v>0</v>
      </c>
      <c r="M308" s="2">
        <f t="shared" si="23"/>
        <v>0</v>
      </c>
      <c r="N308">
        <v>0</v>
      </c>
      <c r="O308" t="s">
        <v>17</v>
      </c>
      <c r="P308" t="str">
        <f t="shared" si="24"/>
        <v>B2C</v>
      </c>
      <c r="R308">
        <v>-66.17</v>
      </c>
    </row>
    <row r="309" spans="1:18" x14ac:dyDescent="0.3">
      <c r="A309">
        <v>1320</v>
      </c>
      <c r="B309" t="str">
        <f t="shared" si="20"/>
        <v>Mark Murray</v>
      </c>
      <c r="C309" t="s">
        <v>371</v>
      </c>
      <c r="D309" t="s">
        <v>28</v>
      </c>
      <c r="E309" t="s">
        <v>29</v>
      </c>
      <c r="F309" t="str">
        <f>CONCATENATE(Table1[[#This Row],[Product_Category]]," - ",Table1[[#This Row],[Product_Name]])</f>
        <v>Accessories - Belts</v>
      </c>
      <c r="G309">
        <f>IF(H309="", AVERAGEIF(Table1[Product_Category],D309,$H$2:$H$474),H309)</f>
        <v>4</v>
      </c>
      <c r="H309">
        <v>4</v>
      </c>
      <c r="I309" s="2">
        <f t="shared" si="21"/>
        <v>2755.6936585365856</v>
      </c>
      <c r="K309">
        <f t="shared" si="22"/>
        <v>0</v>
      </c>
      <c r="M309" s="2">
        <f t="shared" si="23"/>
        <v>11022.774634146343</v>
      </c>
      <c r="N309">
        <v>0</v>
      </c>
      <c r="O309" t="s">
        <v>14</v>
      </c>
      <c r="P309" t="str">
        <f t="shared" si="24"/>
        <v>B2B</v>
      </c>
      <c r="Q309" t="s">
        <v>22</v>
      </c>
      <c r="R309">
        <v>2011.4</v>
      </c>
    </row>
    <row r="310" spans="1:18" x14ac:dyDescent="0.3">
      <c r="A310">
        <v>1321</v>
      </c>
      <c r="B310" t="str">
        <f t="shared" si="20"/>
        <v>Michael Velazquez</v>
      </c>
      <c r="C310" t="s">
        <v>372</v>
      </c>
      <c r="D310" t="s">
        <v>19</v>
      </c>
      <c r="E310" t="s">
        <v>121</v>
      </c>
      <c r="F310" t="str">
        <f>CONCATENATE(Table1[[#This Row],[Product_Category]]," - ",Table1[[#This Row],[Product_Name]])</f>
        <v>Jackets - Leather Jacket</v>
      </c>
      <c r="G310">
        <f>IF(H310="", AVERAGEIF(Table1[Product_Category],D310,$H$2:$H$474),H310)</f>
        <v>3</v>
      </c>
      <c r="H310">
        <v>3</v>
      </c>
      <c r="I310" s="2">
        <f t="shared" si="21"/>
        <v>2952.3559374999995</v>
      </c>
      <c r="K310">
        <f t="shared" si="22"/>
        <v>1.02</v>
      </c>
      <c r="L310">
        <v>1.02</v>
      </c>
      <c r="M310" s="2">
        <f t="shared" si="23"/>
        <v>-177.14135625000011</v>
      </c>
      <c r="N310">
        <v>0</v>
      </c>
      <c r="O310" t="s">
        <v>14</v>
      </c>
      <c r="P310" t="str">
        <f t="shared" si="24"/>
        <v>B2C</v>
      </c>
      <c r="R310">
        <v>632.23</v>
      </c>
    </row>
    <row r="311" spans="1:18" x14ac:dyDescent="0.3">
      <c r="A311">
        <v>1322</v>
      </c>
      <c r="B311" t="str">
        <f t="shared" si="20"/>
        <v>Lori Benson</v>
      </c>
      <c r="C311" t="s">
        <v>373</v>
      </c>
      <c r="D311" t="s">
        <v>32</v>
      </c>
      <c r="E311" t="s">
        <v>71</v>
      </c>
      <c r="F311" t="str">
        <f>CONCATENATE(Table1[[#This Row],[Product_Category]]," - ",Table1[[#This Row],[Product_Name]])</f>
        <v>T-Shirts - Classic Tee</v>
      </c>
      <c r="G311" s="2">
        <f>IF(H311="", AVERAGEIF(Table1[Product_Category],D311,$H$2:$H$474),H311)</f>
        <v>1.5813953488372092</v>
      </c>
      <c r="I311" s="2">
        <f t="shared" si="21"/>
        <v>2387.61</v>
      </c>
      <c r="J311">
        <v>2387.61</v>
      </c>
      <c r="K311">
        <f t="shared" si="22"/>
        <v>0</v>
      </c>
      <c r="M311" s="2">
        <f t="shared" si="23"/>
        <v>3775.7553488372091</v>
      </c>
      <c r="N311">
        <v>0</v>
      </c>
      <c r="O311" t="s">
        <v>14</v>
      </c>
      <c r="P311" t="str">
        <f t="shared" si="24"/>
        <v>B2C</v>
      </c>
      <c r="Q311" t="s">
        <v>15</v>
      </c>
      <c r="R311">
        <v>822.46</v>
      </c>
    </row>
    <row r="312" spans="1:18" x14ac:dyDescent="0.3">
      <c r="A312">
        <v>1323</v>
      </c>
      <c r="B312" t="str">
        <f t="shared" si="20"/>
        <v>Kimberly Flores</v>
      </c>
      <c r="C312" t="s">
        <v>374</v>
      </c>
      <c r="D312" t="s">
        <v>19</v>
      </c>
      <c r="E312" t="s">
        <v>20</v>
      </c>
      <c r="F312" t="str">
        <f>CONCATENATE(Table1[[#This Row],[Product_Category]]," - ",Table1[[#This Row],[Product_Name]])</f>
        <v>Jackets - Puffer Coat</v>
      </c>
      <c r="G312" s="2">
        <f>IF(H312="", AVERAGEIF(Table1[Product_Category],D312,$H$2:$H$474),H312)</f>
        <v>1.675</v>
      </c>
      <c r="I312" s="2">
        <f t="shared" si="21"/>
        <v>2952.3559374999995</v>
      </c>
      <c r="K312">
        <f t="shared" si="22"/>
        <v>1.1200000000000001</v>
      </c>
      <c r="L312">
        <v>1.1200000000000001</v>
      </c>
      <c r="M312" s="2">
        <f t="shared" si="23"/>
        <v>-593.42354343750048</v>
      </c>
      <c r="N312">
        <v>0</v>
      </c>
      <c r="O312" t="s">
        <v>45</v>
      </c>
      <c r="P312" t="str">
        <f t="shared" si="24"/>
        <v>B2C</v>
      </c>
      <c r="R312">
        <v>-96.6</v>
      </c>
    </row>
    <row r="313" spans="1:18" x14ac:dyDescent="0.3">
      <c r="A313">
        <v>1324</v>
      </c>
      <c r="B313" t="str">
        <f t="shared" si="20"/>
        <v>Mike Rhodes</v>
      </c>
      <c r="C313" t="s">
        <v>375</v>
      </c>
      <c r="D313" t="s">
        <v>19</v>
      </c>
      <c r="E313" t="s">
        <v>79</v>
      </c>
      <c r="F313" t="str">
        <f>CONCATENATE(Table1[[#This Row],[Product_Category]]," - ",Table1[[#This Row],[Product_Name]])</f>
        <v>Jackets - Bomber Jacket</v>
      </c>
      <c r="G313" s="2">
        <f>IF(H313="", AVERAGEIF(Table1[Product_Category],D313,$H$2:$H$474),H313)</f>
        <v>1.675</v>
      </c>
      <c r="I313" s="2">
        <f t="shared" si="21"/>
        <v>2952.3559374999995</v>
      </c>
      <c r="K313">
        <f t="shared" si="22"/>
        <v>0</v>
      </c>
      <c r="M313" s="2">
        <f t="shared" si="23"/>
        <v>4945.1961953124992</v>
      </c>
      <c r="N313">
        <v>0</v>
      </c>
      <c r="O313" t="s">
        <v>21</v>
      </c>
      <c r="P313" t="str">
        <f t="shared" si="24"/>
        <v>B2C</v>
      </c>
      <c r="Q313" t="s">
        <v>15</v>
      </c>
      <c r="R313">
        <v>-610.52</v>
      </c>
    </row>
    <row r="314" spans="1:18" x14ac:dyDescent="0.3">
      <c r="A314">
        <v>1325</v>
      </c>
      <c r="B314" t="str">
        <f t="shared" si="20"/>
        <v>Teresa Gilbert</v>
      </c>
      <c r="C314" t="s">
        <v>376</v>
      </c>
      <c r="D314" t="s">
        <v>12</v>
      </c>
      <c r="E314" t="s">
        <v>101</v>
      </c>
      <c r="F314" t="str">
        <f>CONCATENATE(Table1[[#This Row],[Product_Category]]," - ",Table1[[#This Row],[Product_Name]])</f>
        <v>Jeans - Ripped Denim</v>
      </c>
      <c r="G314">
        <f>IF(H314="", AVERAGEIF(Table1[Product_Category],D314,$H$2:$H$474),H314)</f>
        <v>2</v>
      </c>
      <c r="I314" s="2">
        <f t="shared" si="21"/>
        <v>1315.93</v>
      </c>
      <c r="J314">
        <v>1315.93</v>
      </c>
      <c r="K314">
        <f t="shared" si="22"/>
        <v>0</v>
      </c>
      <c r="M314" s="2">
        <f t="shared" si="23"/>
        <v>2631.86</v>
      </c>
      <c r="N314">
        <v>0</v>
      </c>
      <c r="O314" t="s">
        <v>39</v>
      </c>
      <c r="P314" t="str">
        <f t="shared" si="24"/>
        <v>B2C</v>
      </c>
      <c r="R314">
        <v>1435.03</v>
      </c>
    </row>
    <row r="315" spans="1:18" x14ac:dyDescent="0.3">
      <c r="A315">
        <v>1326</v>
      </c>
      <c r="B315" t="str">
        <f t="shared" si="20"/>
        <v>Theodore Sanchez</v>
      </c>
      <c r="C315" t="s">
        <v>377</v>
      </c>
      <c r="D315" t="s">
        <v>37</v>
      </c>
      <c r="E315" t="s">
        <v>38</v>
      </c>
      <c r="F315" t="str">
        <f>CONCATENATE(Table1[[#This Row],[Product_Category]]," - ",Table1[[#This Row],[Product_Name]])</f>
        <v>Dresses - Casual Midi</v>
      </c>
      <c r="G315" s="2">
        <f>IF(H315="", AVERAGEIF(Table1[Product_Category],D315,$H$2:$H$474),H315)</f>
        <v>2.0217391304347827</v>
      </c>
      <c r="I315" s="2">
        <f t="shared" si="21"/>
        <v>4104.3599999999997</v>
      </c>
      <c r="J315">
        <v>4104.3599999999997</v>
      </c>
      <c r="K315">
        <f t="shared" si="22"/>
        <v>1.1100000000000001</v>
      </c>
      <c r="L315">
        <v>1.1100000000000001</v>
      </c>
      <c r="M315" s="2">
        <f t="shared" si="23"/>
        <v>-912.77397391304419</v>
      </c>
      <c r="N315">
        <v>0</v>
      </c>
      <c r="O315" t="s">
        <v>21</v>
      </c>
      <c r="P315" t="str">
        <f t="shared" si="24"/>
        <v>B2C</v>
      </c>
      <c r="R315">
        <v>1404.45</v>
      </c>
    </row>
    <row r="316" spans="1:18" x14ac:dyDescent="0.3">
      <c r="A316">
        <v>1327</v>
      </c>
      <c r="B316" t="str">
        <f t="shared" si="20"/>
        <v>Sarah Sosa</v>
      </c>
      <c r="C316" t="s">
        <v>378</v>
      </c>
      <c r="D316" t="s">
        <v>24</v>
      </c>
      <c r="E316" t="s">
        <v>65</v>
      </c>
      <c r="F316" t="str">
        <f>CONCATENATE(Table1[[#This Row],[Product_Category]]," - ",Table1[[#This Row],[Product_Name]])</f>
        <v>Shoes - Slip-ons</v>
      </c>
      <c r="G316" s="2">
        <f>IF(H316="", AVERAGEIF(Table1[Product_Category],D316,$H$2:$H$474),H316)</f>
        <v>1.5517241379310345</v>
      </c>
      <c r="I316" s="2">
        <f t="shared" si="21"/>
        <v>2964.44</v>
      </c>
      <c r="J316">
        <v>2964.44</v>
      </c>
      <c r="K316">
        <f t="shared" si="22"/>
        <v>0</v>
      </c>
      <c r="M316" s="2">
        <f t="shared" si="23"/>
        <v>4599.9931034482761</v>
      </c>
      <c r="N316">
        <v>0</v>
      </c>
      <c r="O316" t="s">
        <v>21</v>
      </c>
      <c r="P316" t="str">
        <f t="shared" si="24"/>
        <v>B2C</v>
      </c>
      <c r="R316">
        <v>2021.54</v>
      </c>
    </row>
    <row r="317" spans="1:18" x14ac:dyDescent="0.3">
      <c r="A317">
        <v>1328</v>
      </c>
      <c r="B317" t="str">
        <f t="shared" si="20"/>
        <v>Christine Drake</v>
      </c>
      <c r="C317" t="s">
        <v>379</v>
      </c>
      <c r="D317" t="s">
        <v>24</v>
      </c>
      <c r="E317" t="s">
        <v>85</v>
      </c>
      <c r="F317" t="str">
        <f>CONCATENATE(Table1[[#This Row],[Product_Category]]," - ",Table1[[#This Row],[Product_Name]])</f>
        <v>Shoes - Boots</v>
      </c>
      <c r="G317">
        <f>IF(H317="", AVERAGEIF(Table1[Product_Category],D317,$H$2:$H$474),H317)</f>
        <v>4</v>
      </c>
      <c r="H317">
        <v>4</v>
      </c>
      <c r="I317" s="2">
        <f t="shared" si="21"/>
        <v>3250.24</v>
      </c>
      <c r="J317">
        <v>3250.24</v>
      </c>
      <c r="K317">
        <f t="shared" si="22"/>
        <v>0.56000000000000005</v>
      </c>
      <c r="L317">
        <v>0.56000000000000005</v>
      </c>
      <c r="M317" s="2">
        <f t="shared" si="23"/>
        <v>5720.4223999999986</v>
      </c>
      <c r="N317">
        <v>5720.42</v>
      </c>
      <c r="O317" t="s">
        <v>45</v>
      </c>
      <c r="P317" t="str">
        <f t="shared" si="24"/>
        <v>B2B</v>
      </c>
      <c r="Q317" t="s">
        <v>22</v>
      </c>
      <c r="R317">
        <v>2269.54</v>
      </c>
    </row>
    <row r="318" spans="1:18" x14ac:dyDescent="0.3">
      <c r="A318">
        <v>1329</v>
      </c>
      <c r="B318" t="str">
        <f t="shared" si="20"/>
        <v>Eric Medina</v>
      </c>
      <c r="C318" t="s">
        <v>380</v>
      </c>
      <c r="D318" t="s">
        <v>32</v>
      </c>
      <c r="E318" t="s">
        <v>81</v>
      </c>
      <c r="F318" t="str">
        <f>CONCATENATE(Table1[[#This Row],[Product_Category]]," - ",Table1[[#This Row],[Product_Name]])</f>
        <v>T-Shirts - Graphic Tee</v>
      </c>
      <c r="G318">
        <f>IF(H318="", AVERAGEIF(Table1[Product_Category],D318,$H$2:$H$474),H318)</f>
        <v>1</v>
      </c>
      <c r="H318">
        <v>1</v>
      </c>
      <c r="I318" s="2">
        <f t="shared" si="21"/>
        <v>2587.7800000000002</v>
      </c>
      <c r="J318">
        <v>2587.7800000000002</v>
      </c>
      <c r="K318">
        <f t="shared" si="22"/>
        <v>0</v>
      </c>
      <c r="M318" s="2">
        <f t="shared" si="23"/>
        <v>2587.7800000000002</v>
      </c>
      <c r="N318">
        <v>0</v>
      </c>
      <c r="O318" t="s">
        <v>552</v>
      </c>
      <c r="P318" t="str">
        <f t="shared" si="24"/>
        <v>B2C</v>
      </c>
      <c r="Q318" t="s">
        <v>15</v>
      </c>
      <c r="R318">
        <v>1667.02</v>
      </c>
    </row>
    <row r="319" spans="1:18" x14ac:dyDescent="0.3">
      <c r="A319">
        <v>1330</v>
      </c>
      <c r="B319" t="str">
        <f t="shared" si="20"/>
        <v>Joseph Sims</v>
      </c>
      <c r="C319" t="s">
        <v>381</v>
      </c>
      <c r="D319" t="s">
        <v>37</v>
      </c>
      <c r="E319" t="s">
        <v>58</v>
      </c>
      <c r="F319" t="str">
        <f>CONCATENATE(Table1[[#This Row],[Product_Category]]," - ",Table1[[#This Row],[Product_Name]])</f>
        <v>Dresses - Maxi Dress</v>
      </c>
      <c r="G319">
        <f>IF(H319="", AVERAGEIF(Table1[Product_Category],D319,$H$2:$H$474),H319)</f>
        <v>-2</v>
      </c>
      <c r="H319">
        <v>-2</v>
      </c>
      <c r="I319" s="2">
        <f t="shared" si="21"/>
        <v>2878.0747619047615</v>
      </c>
      <c r="K319">
        <f t="shared" si="22"/>
        <v>0</v>
      </c>
      <c r="M319" s="2">
        <f t="shared" si="23"/>
        <v>-5756.1495238095231</v>
      </c>
      <c r="N319">
        <v>0</v>
      </c>
      <c r="O319" t="s">
        <v>17</v>
      </c>
      <c r="P319" t="str">
        <f t="shared" si="24"/>
        <v>B2C</v>
      </c>
      <c r="Q319" t="s">
        <v>15</v>
      </c>
      <c r="R319">
        <v>-587.38</v>
      </c>
    </row>
    <row r="320" spans="1:18" x14ac:dyDescent="0.3">
      <c r="A320">
        <v>1331</v>
      </c>
      <c r="B320" t="str">
        <f t="shared" si="20"/>
        <v>Gwendolyn Guerrero</v>
      </c>
      <c r="C320" t="s">
        <v>382</v>
      </c>
      <c r="D320" t="s">
        <v>28</v>
      </c>
      <c r="E320" t="s">
        <v>29</v>
      </c>
      <c r="F320" t="str">
        <f>CONCATENATE(Table1[[#This Row],[Product_Category]]," - ",Table1[[#This Row],[Product_Name]])</f>
        <v>Accessories - Belts</v>
      </c>
      <c r="G320">
        <f>IF(H320="", AVERAGEIF(Table1[Product_Category],D320,$H$2:$H$474),H320)</f>
        <v>6</v>
      </c>
      <c r="H320">
        <v>6</v>
      </c>
      <c r="I320" s="2">
        <f t="shared" si="21"/>
        <v>2755.6936585365856</v>
      </c>
      <c r="K320">
        <f t="shared" si="22"/>
        <v>0</v>
      </c>
      <c r="M320" s="2">
        <f t="shared" si="23"/>
        <v>16534.161951219514</v>
      </c>
      <c r="N320">
        <v>0</v>
      </c>
      <c r="O320" t="s">
        <v>39</v>
      </c>
      <c r="P320" t="str">
        <f t="shared" si="24"/>
        <v>B2C</v>
      </c>
      <c r="R320">
        <v>1301.18</v>
      </c>
    </row>
    <row r="321" spans="1:18" x14ac:dyDescent="0.3">
      <c r="A321">
        <v>1332</v>
      </c>
      <c r="B321" t="str">
        <f t="shared" si="20"/>
        <v>Chelsea Brown</v>
      </c>
      <c r="C321" t="s">
        <v>383</v>
      </c>
      <c r="D321" t="s">
        <v>32</v>
      </c>
      <c r="E321" t="s">
        <v>81</v>
      </c>
      <c r="F321" t="str">
        <f>CONCATENATE(Table1[[#This Row],[Product_Category]]," - ",Table1[[#This Row],[Product_Name]])</f>
        <v>T-Shirts - Graphic Tee</v>
      </c>
      <c r="G321" s="2">
        <f>IF(H321="", AVERAGEIF(Table1[Product_Category],D321,$H$2:$H$474),H321)</f>
        <v>1.5813953488372092</v>
      </c>
      <c r="I321" s="2">
        <f t="shared" si="21"/>
        <v>2715.2732432432431</v>
      </c>
      <c r="K321">
        <f t="shared" si="22"/>
        <v>0</v>
      </c>
      <c r="L321">
        <v>0</v>
      </c>
      <c r="M321" s="2">
        <f t="shared" si="23"/>
        <v>4293.9204776869892</v>
      </c>
      <c r="N321">
        <v>0</v>
      </c>
      <c r="O321" t="s">
        <v>21</v>
      </c>
      <c r="P321" t="str">
        <f t="shared" si="24"/>
        <v>B2C</v>
      </c>
      <c r="Q321" t="s">
        <v>15</v>
      </c>
      <c r="R321">
        <v>2301.09</v>
      </c>
    </row>
    <row r="322" spans="1:18" x14ac:dyDescent="0.3">
      <c r="A322">
        <v>1334</v>
      </c>
      <c r="B322" t="str">
        <f t="shared" ref="B322:B385" si="25">TRIM(SUBSTITUTE(SUBSTITUTE(SUBSTITUTE(SUBSTITUTE(C322,"Dr. ",""),"Mrs. ",""),"Mr. ",""),"Ms. ",""))</f>
        <v>Russell Douglas</v>
      </c>
      <c r="C322" t="s">
        <v>385</v>
      </c>
      <c r="D322" t="s">
        <v>37</v>
      </c>
      <c r="E322" t="s">
        <v>58</v>
      </c>
      <c r="F322" t="str">
        <f>CONCATENATE(Table1[[#This Row],[Product_Category]]," - ",Table1[[#This Row],[Product_Name]])</f>
        <v>Dresses - Maxi Dress</v>
      </c>
      <c r="G322">
        <f>IF(H322="", AVERAGEIF(Table1[Product_Category],D322,$H$2:$H$474),H322)</f>
        <v>6</v>
      </c>
      <c r="H322">
        <v>6</v>
      </c>
      <c r="I322" s="2">
        <f t="shared" ref="I322:I385" si="26">IF(J322="",AVERAGEIF($D$2:$D$474,D322,$J$2:$J$474),J322)</f>
        <v>1454.69</v>
      </c>
      <c r="J322">
        <v>1454.69</v>
      </c>
      <c r="K322">
        <f t="shared" ref="K322:K385" si="27">IF(AND(ISBLANK(L322),I322&gt;0,G322&gt;0,N322&gt;0), 1-(N322/(G322*I322)), L322)</f>
        <v>0</v>
      </c>
      <c r="M322" s="2">
        <f t="shared" ref="M322:M385" si="28">G322*I322*(1-K322)</f>
        <v>8728.14</v>
      </c>
      <c r="N322">
        <v>0</v>
      </c>
      <c r="O322" t="s">
        <v>14</v>
      </c>
      <c r="P322" t="str">
        <f t="shared" ref="P322:P385" si="29">IF(Q322="",IF(O322="Ahmedabad","B2C",IF(O322="Bangalore","B2C",IF(O322="Hyderabad","B2B",IF(O322="Mumbai","B2C","B2C")))),Q322)</f>
        <v>B2C</v>
      </c>
      <c r="R322">
        <v>652.87</v>
      </c>
    </row>
    <row r="323" spans="1:18" x14ac:dyDescent="0.3">
      <c r="A323">
        <v>1335</v>
      </c>
      <c r="B323" t="str">
        <f t="shared" si="25"/>
        <v>Kristen Drake</v>
      </c>
      <c r="C323" t="s">
        <v>386</v>
      </c>
      <c r="D323" t="s">
        <v>24</v>
      </c>
      <c r="E323" t="s">
        <v>65</v>
      </c>
      <c r="F323" t="str">
        <f>CONCATENATE(Table1[[#This Row],[Product_Category]]," - ",Table1[[#This Row],[Product_Name]])</f>
        <v>Shoes - Slip-ons</v>
      </c>
      <c r="G323">
        <f>IF(H323="", AVERAGEIF(Table1[Product_Category],D323,$H$2:$H$474),H323)</f>
        <v>5</v>
      </c>
      <c r="H323">
        <v>5</v>
      </c>
      <c r="I323" s="2">
        <f t="shared" si="26"/>
        <v>2676.5783333333325</v>
      </c>
      <c r="K323">
        <f t="shared" si="27"/>
        <v>0</v>
      </c>
      <c r="M323" s="2">
        <f t="shared" si="28"/>
        <v>13382.891666666663</v>
      </c>
      <c r="N323">
        <v>0</v>
      </c>
      <c r="O323" t="s">
        <v>552</v>
      </c>
      <c r="P323" t="str">
        <f t="shared" si="29"/>
        <v>B2C</v>
      </c>
      <c r="Q323" t="s">
        <v>15</v>
      </c>
      <c r="R323">
        <v>-815.88</v>
      </c>
    </row>
    <row r="324" spans="1:18" x14ac:dyDescent="0.3">
      <c r="A324">
        <v>1336</v>
      </c>
      <c r="B324" t="str">
        <f t="shared" si="25"/>
        <v>Katie Brown</v>
      </c>
      <c r="C324" t="s">
        <v>387</v>
      </c>
      <c r="D324" t="s">
        <v>19</v>
      </c>
      <c r="E324" t="s">
        <v>87</v>
      </c>
      <c r="F324" t="str">
        <f>CONCATENATE(Table1[[#This Row],[Product_Category]]," - ",Table1[[#This Row],[Product_Name]])</f>
        <v>Jackets - Denim Jacket</v>
      </c>
      <c r="G324" s="2">
        <f>IF(H324="", AVERAGEIF(Table1[Product_Category],D324,$H$2:$H$474),H324)</f>
        <v>1.675</v>
      </c>
      <c r="I324" s="2">
        <f t="shared" si="26"/>
        <v>2952.3559374999995</v>
      </c>
      <c r="K324">
        <f t="shared" si="27"/>
        <v>0</v>
      </c>
      <c r="M324" s="2">
        <f t="shared" si="28"/>
        <v>4945.1961953124992</v>
      </c>
      <c r="N324">
        <v>0</v>
      </c>
      <c r="O324" t="s">
        <v>14</v>
      </c>
      <c r="P324" t="str">
        <f t="shared" si="29"/>
        <v>B2B</v>
      </c>
      <c r="Q324" t="s">
        <v>22</v>
      </c>
      <c r="R324">
        <v>2000.91</v>
      </c>
    </row>
    <row r="325" spans="1:18" x14ac:dyDescent="0.3">
      <c r="A325">
        <v>1337</v>
      </c>
      <c r="B325" t="str">
        <f t="shared" si="25"/>
        <v>Michelle Russell</v>
      </c>
      <c r="C325" t="s">
        <v>388</v>
      </c>
      <c r="D325" t="s">
        <v>19</v>
      </c>
      <c r="E325" t="s">
        <v>87</v>
      </c>
      <c r="F325" t="str">
        <f>CONCATENATE(Table1[[#This Row],[Product_Category]]," - ",Table1[[#This Row],[Product_Name]])</f>
        <v>Jackets - Denim Jacket</v>
      </c>
      <c r="G325">
        <f>IF(H325="", AVERAGEIF(Table1[Product_Category],D325,$H$2:$H$474),H325)</f>
        <v>6</v>
      </c>
      <c r="H325">
        <v>6</v>
      </c>
      <c r="I325" s="2">
        <f t="shared" si="26"/>
        <v>2286.6799999999998</v>
      </c>
      <c r="J325">
        <v>2286.6799999999998</v>
      </c>
      <c r="K325">
        <f t="shared" si="27"/>
        <v>1.27</v>
      </c>
      <c r="L325">
        <v>1.27</v>
      </c>
      <c r="M325" s="2">
        <f t="shared" si="28"/>
        <v>-3704.4215999999997</v>
      </c>
      <c r="N325">
        <v>-3704.42</v>
      </c>
      <c r="O325" t="s">
        <v>552</v>
      </c>
      <c r="P325" t="str">
        <f t="shared" si="29"/>
        <v>B2C</v>
      </c>
      <c r="Q325" t="s">
        <v>15</v>
      </c>
      <c r="R325">
        <v>716.16</v>
      </c>
    </row>
    <row r="326" spans="1:18" x14ac:dyDescent="0.3">
      <c r="A326">
        <v>1338</v>
      </c>
      <c r="B326" t="str">
        <f t="shared" si="25"/>
        <v>Charles Aguilar</v>
      </c>
      <c r="C326" t="s">
        <v>389</v>
      </c>
      <c r="D326" t="s">
        <v>32</v>
      </c>
      <c r="E326" t="s">
        <v>81</v>
      </c>
      <c r="F326" t="str">
        <f>CONCATENATE(Table1[[#This Row],[Product_Category]]," - ",Table1[[#This Row],[Product_Name]])</f>
        <v>T-Shirts - Graphic Tee</v>
      </c>
      <c r="G326">
        <f>IF(H326="", AVERAGEIF(Table1[Product_Category],D326,$H$2:$H$474),H326)</f>
        <v>0</v>
      </c>
      <c r="H326">
        <v>0</v>
      </c>
      <c r="I326" s="2">
        <f t="shared" si="26"/>
        <v>2715.2732432432431</v>
      </c>
      <c r="K326">
        <f t="shared" si="27"/>
        <v>0</v>
      </c>
      <c r="M326" s="2">
        <f t="shared" si="28"/>
        <v>0</v>
      </c>
      <c r="N326">
        <v>0</v>
      </c>
      <c r="O326" t="s">
        <v>17</v>
      </c>
      <c r="P326" t="str">
        <f t="shared" si="29"/>
        <v>B2B</v>
      </c>
      <c r="Q326" t="s">
        <v>22</v>
      </c>
      <c r="R326">
        <v>415.06</v>
      </c>
    </row>
    <row r="327" spans="1:18" x14ac:dyDescent="0.3">
      <c r="A327">
        <v>1339</v>
      </c>
      <c r="B327" t="str">
        <f t="shared" si="25"/>
        <v>Emily Christensen</v>
      </c>
      <c r="C327" t="s">
        <v>390</v>
      </c>
      <c r="D327" t="s">
        <v>37</v>
      </c>
      <c r="E327" t="s">
        <v>58</v>
      </c>
      <c r="F327" t="str">
        <f>CONCATENATE(Table1[[#This Row],[Product_Category]]," - ",Table1[[#This Row],[Product_Name]])</f>
        <v>Dresses - Maxi Dress</v>
      </c>
      <c r="G327" s="2">
        <f>IF(H327="", AVERAGEIF(Table1[Product_Category],D327,$H$2:$H$474),H327)</f>
        <v>2.0217391304347827</v>
      </c>
      <c r="I327" s="2">
        <f t="shared" si="26"/>
        <v>4507.5</v>
      </c>
      <c r="J327">
        <v>4507.5</v>
      </c>
      <c r="K327">
        <f t="shared" si="27"/>
        <v>0</v>
      </c>
      <c r="M327" s="2">
        <f t="shared" si="28"/>
        <v>9112.9891304347839</v>
      </c>
      <c r="N327">
        <v>0</v>
      </c>
      <c r="O327" t="s">
        <v>39</v>
      </c>
      <c r="P327" t="str">
        <f t="shared" si="29"/>
        <v>B2C</v>
      </c>
      <c r="R327">
        <v>2552.65</v>
      </c>
    </row>
    <row r="328" spans="1:18" x14ac:dyDescent="0.3">
      <c r="A328">
        <v>1340</v>
      </c>
      <c r="B328" t="str">
        <f t="shared" si="25"/>
        <v>Annette Robinson</v>
      </c>
      <c r="C328" t="s">
        <v>391</v>
      </c>
      <c r="D328" t="s">
        <v>12</v>
      </c>
      <c r="E328" t="s">
        <v>48</v>
      </c>
      <c r="F328" t="str">
        <f>CONCATENATE(Table1[[#This Row],[Product_Category]]," - ",Table1[[#This Row],[Product_Name]])</f>
        <v>Jeans - Straight Cut</v>
      </c>
      <c r="G328">
        <f>IF(H328="", AVERAGEIF(Table1[Product_Category],D328,$H$2:$H$474),H328)</f>
        <v>2</v>
      </c>
      <c r="I328" s="2">
        <f t="shared" si="26"/>
        <v>2592.8782222222212</v>
      </c>
      <c r="K328">
        <f t="shared" si="27"/>
        <v>0.06</v>
      </c>
      <c r="L328">
        <v>0.06</v>
      </c>
      <c r="M328" s="2">
        <f t="shared" si="28"/>
        <v>4874.6110577777754</v>
      </c>
      <c r="N328">
        <v>0</v>
      </c>
      <c r="O328" t="s">
        <v>21</v>
      </c>
      <c r="P328" t="str">
        <f t="shared" si="29"/>
        <v>B2C</v>
      </c>
      <c r="R328">
        <v>1282.27</v>
      </c>
    </row>
    <row r="329" spans="1:18" x14ac:dyDescent="0.3">
      <c r="A329">
        <v>1341</v>
      </c>
      <c r="B329" t="str">
        <f t="shared" si="25"/>
        <v>William White</v>
      </c>
      <c r="C329" t="s">
        <v>392</v>
      </c>
      <c r="D329" t="s">
        <v>24</v>
      </c>
      <c r="E329" t="s">
        <v>65</v>
      </c>
      <c r="F329" t="str">
        <f>CONCATENATE(Table1[[#This Row],[Product_Category]]," - ",Table1[[#This Row],[Product_Name]])</f>
        <v>Shoes - Slip-ons</v>
      </c>
      <c r="G329">
        <f>IF(H329="", AVERAGEIF(Table1[Product_Category],D329,$H$2:$H$474),H329)</f>
        <v>-1</v>
      </c>
      <c r="H329">
        <v>-1</v>
      </c>
      <c r="I329" s="2">
        <f t="shared" si="26"/>
        <v>3074.06</v>
      </c>
      <c r="J329">
        <v>3074.06</v>
      </c>
      <c r="K329">
        <f t="shared" si="27"/>
        <v>1.24</v>
      </c>
      <c r="L329">
        <v>1.24</v>
      </c>
      <c r="M329" s="2">
        <f t="shared" si="28"/>
        <v>737.77440000000001</v>
      </c>
      <c r="N329">
        <v>737.77</v>
      </c>
      <c r="O329" t="s">
        <v>17</v>
      </c>
      <c r="P329" t="str">
        <f t="shared" si="29"/>
        <v>B2C</v>
      </c>
      <c r="R329">
        <v>2634.42</v>
      </c>
    </row>
    <row r="330" spans="1:18" x14ac:dyDescent="0.3">
      <c r="A330">
        <v>1342</v>
      </c>
      <c r="B330" t="str">
        <f t="shared" si="25"/>
        <v>Chloe Martinez</v>
      </c>
      <c r="C330" t="s">
        <v>393</v>
      </c>
      <c r="D330" t="s">
        <v>37</v>
      </c>
      <c r="E330" t="s">
        <v>62</v>
      </c>
      <c r="F330" t="str">
        <f>CONCATENATE(Table1[[#This Row],[Product_Category]]," - ",Table1[[#This Row],[Product_Name]])</f>
        <v>Dresses - Wrap Dress</v>
      </c>
      <c r="G330">
        <f>IF(H330="", AVERAGEIF(Table1[Product_Category],D330,$H$2:$H$474),H330)</f>
        <v>-1</v>
      </c>
      <c r="H330">
        <v>-1</v>
      </c>
      <c r="I330" s="2">
        <f t="shared" si="26"/>
        <v>4707.2</v>
      </c>
      <c r="J330">
        <v>4707.2</v>
      </c>
      <c r="K330">
        <f t="shared" si="27"/>
        <v>0</v>
      </c>
      <c r="M330" s="2">
        <f t="shared" si="28"/>
        <v>-4707.2</v>
      </c>
      <c r="N330">
        <v>0</v>
      </c>
      <c r="O330" t="s">
        <v>45</v>
      </c>
      <c r="P330" t="str">
        <f t="shared" si="29"/>
        <v>B2B</v>
      </c>
      <c r="Q330" t="s">
        <v>22</v>
      </c>
      <c r="R330">
        <v>1395.82</v>
      </c>
    </row>
    <row r="331" spans="1:18" x14ac:dyDescent="0.3">
      <c r="A331">
        <v>1343</v>
      </c>
      <c r="B331" t="str">
        <f t="shared" si="25"/>
        <v>Catherine Barnett</v>
      </c>
      <c r="C331" t="s">
        <v>394</v>
      </c>
      <c r="D331" t="s">
        <v>12</v>
      </c>
      <c r="E331" t="s">
        <v>101</v>
      </c>
      <c r="F331" t="str">
        <f>CONCATENATE(Table1[[#This Row],[Product_Category]]," - ",Table1[[#This Row],[Product_Name]])</f>
        <v>Jeans - Ripped Denim</v>
      </c>
      <c r="G331">
        <f>IF(H331="", AVERAGEIF(Table1[Product_Category],D331,$H$2:$H$474),H331)</f>
        <v>2</v>
      </c>
      <c r="I331" s="2">
        <f t="shared" si="26"/>
        <v>4012.48</v>
      </c>
      <c r="J331">
        <v>4012.48</v>
      </c>
      <c r="K331">
        <f t="shared" si="27"/>
        <v>0</v>
      </c>
      <c r="M331" s="2">
        <f t="shared" si="28"/>
        <v>8024.96</v>
      </c>
      <c r="N331">
        <v>0</v>
      </c>
      <c r="O331" t="s">
        <v>21</v>
      </c>
      <c r="P331" t="str">
        <f t="shared" si="29"/>
        <v>B2C</v>
      </c>
      <c r="Q331" t="s">
        <v>15</v>
      </c>
      <c r="R331">
        <v>730.98</v>
      </c>
    </row>
    <row r="332" spans="1:18" x14ac:dyDescent="0.3">
      <c r="A332">
        <v>1344</v>
      </c>
      <c r="B332" t="str">
        <f t="shared" si="25"/>
        <v>Jason Dixon</v>
      </c>
      <c r="C332" t="s">
        <v>395</v>
      </c>
      <c r="D332" t="s">
        <v>12</v>
      </c>
      <c r="E332" t="s">
        <v>48</v>
      </c>
      <c r="F332" t="str">
        <f>CONCATENATE(Table1[[#This Row],[Product_Category]]," - ",Table1[[#This Row],[Product_Name]])</f>
        <v>Jeans - Straight Cut</v>
      </c>
      <c r="G332">
        <f>IF(H332="", AVERAGEIF(Table1[Product_Category],D332,$H$2:$H$474),H332)</f>
        <v>4</v>
      </c>
      <c r="H332">
        <v>4</v>
      </c>
      <c r="I332" s="2">
        <f t="shared" si="26"/>
        <v>3386.91</v>
      </c>
      <c r="J332">
        <v>3386.91</v>
      </c>
      <c r="K332">
        <f t="shared" si="27"/>
        <v>0</v>
      </c>
      <c r="M332" s="2">
        <f t="shared" si="28"/>
        <v>13547.64</v>
      </c>
      <c r="N332">
        <v>0</v>
      </c>
      <c r="O332" t="s">
        <v>21</v>
      </c>
      <c r="P332" t="str">
        <f t="shared" si="29"/>
        <v>B2C</v>
      </c>
      <c r="Q332" t="s">
        <v>15</v>
      </c>
      <c r="R332">
        <v>2006.17</v>
      </c>
    </row>
    <row r="333" spans="1:18" x14ac:dyDescent="0.3">
      <c r="A333">
        <v>1346</v>
      </c>
      <c r="B333" t="str">
        <f t="shared" si="25"/>
        <v>Leah Gonzalez</v>
      </c>
      <c r="C333" t="s">
        <v>397</v>
      </c>
      <c r="D333" t="s">
        <v>24</v>
      </c>
      <c r="E333" t="s">
        <v>65</v>
      </c>
      <c r="F333" t="str">
        <f>CONCATENATE(Table1[[#This Row],[Product_Category]]," - ",Table1[[#This Row],[Product_Name]])</f>
        <v>Shoes - Slip-ons</v>
      </c>
      <c r="G333">
        <f>IF(H333="", AVERAGEIF(Table1[Product_Category],D333,$H$2:$H$474),H333)</f>
        <v>-2</v>
      </c>
      <c r="H333">
        <v>-2</v>
      </c>
      <c r="I333" s="2">
        <f t="shared" si="26"/>
        <v>1622.65</v>
      </c>
      <c r="J333">
        <v>1622.65</v>
      </c>
      <c r="K333">
        <f t="shared" si="27"/>
        <v>0</v>
      </c>
      <c r="M333" s="2">
        <f t="shared" si="28"/>
        <v>-3245.3</v>
      </c>
      <c r="N333">
        <v>0</v>
      </c>
      <c r="O333" t="s">
        <v>21</v>
      </c>
      <c r="P333" t="str">
        <f t="shared" si="29"/>
        <v>B2C</v>
      </c>
      <c r="Q333" t="s">
        <v>15</v>
      </c>
      <c r="R333">
        <v>-891.76</v>
      </c>
    </row>
    <row r="334" spans="1:18" x14ac:dyDescent="0.3">
      <c r="A334">
        <v>1348</v>
      </c>
      <c r="B334" t="str">
        <f t="shared" si="25"/>
        <v>Justin Bowen</v>
      </c>
      <c r="C334" t="s">
        <v>399</v>
      </c>
      <c r="D334" t="s">
        <v>32</v>
      </c>
      <c r="E334" t="s">
        <v>71</v>
      </c>
      <c r="F334" t="str">
        <f>CONCATENATE(Table1[[#This Row],[Product_Category]]," - ",Table1[[#This Row],[Product_Name]])</f>
        <v>T-Shirts - Classic Tee</v>
      </c>
      <c r="G334">
        <f>IF(H334="", AVERAGEIF(Table1[Product_Category],D334,$H$2:$H$474),H334)</f>
        <v>2</v>
      </c>
      <c r="H334">
        <v>2</v>
      </c>
      <c r="I334" s="2">
        <f t="shared" si="26"/>
        <v>1219.2</v>
      </c>
      <c r="J334">
        <v>1219.2</v>
      </c>
      <c r="K334">
        <f t="shared" si="27"/>
        <v>1.17</v>
      </c>
      <c r="L334">
        <v>1.17</v>
      </c>
      <c r="M334" s="2">
        <f t="shared" si="28"/>
        <v>-414.52799999999985</v>
      </c>
      <c r="N334">
        <v>-414.53</v>
      </c>
      <c r="O334" t="s">
        <v>552</v>
      </c>
      <c r="P334" t="str">
        <f t="shared" si="29"/>
        <v>B2B</v>
      </c>
      <c r="Q334" t="s">
        <v>22</v>
      </c>
      <c r="R334">
        <v>2694.39</v>
      </c>
    </row>
    <row r="335" spans="1:18" x14ac:dyDescent="0.3">
      <c r="A335">
        <v>1349</v>
      </c>
      <c r="B335" t="str">
        <f t="shared" si="25"/>
        <v>Lisa Henry</v>
      </c>
      <c r="C335" t="s">
        <v>400</v>
      </c>
      <c r="D335" t="s">
        <v>19</v>
      </c>
      <c r="E335" t="s">
        <v>121</v>
      </c>
      <c r="F335" t="str">
        <f>CONCATENATE(Table1[[#This Row],[Product_Category]]," - ",Table1[[#This Row],[Product_Name]])</f>
        <v>Jackets - Leather Jacket</v>
      </c>
      <c r="G335">
        <f>IF(H335="", AVERAGEIF(Table1[Product_Category],D335,$H$2:$H$474),H335)</f>
        <v>-2</v>
      </c>
      <c r="H335">
        <v>-2</v>
      </c>
      <c r="I335" s="2">
        <f t="shared" si="26"/>
        <v>2952.3559374999995</v>
      </c>
      <c r="K335">
        <f t="shared" si="27"/>
        <v>0.82</v>
      </c>
      <c r="L335">
        <v>0.82</v>
      </c>
      <c r="M335" s="2">
        <f t="shared" si="28"/>
        <v>-1062.8481375000001</v>
      </c>
      <c r="N335">
        <v>0</v>
      </c>
      <c r="O335" t="s">
        <v>45</v>
      </c>
      <c r="P335" t="str">
        <f t="shared" si="29"/>
        <v>B2B</v>
      </c>
      <c r="Q335" t="s">
        <v>22</v>
      </c>
      <c r="R335">
        <v>2085.75</v>
      </c>
    </row>
    <row r="336" spans="1:18" x14ac:dyDescent="0.3">
      <c r="A336">
        <v>1351</v>
      </c>
      <c r="B336" t="str">
        <f t="shared" si="25"/>
        <v>Brian Edwards</v>
      </c>
      <c r="C336" t="s">
        <v>402</v>
      </c>
      <c r="D336" t="s">
        <v>24</v>
      </c>
      <c r="E336" t="s">
        <v>65</v>
      </c>
      <c r="F336" t="str">
        <f>CONCATENATE(Table1[[#This Row],[Product_Category]]," - ",Table1[[#This Row],[Product_Name]])</f>
        <v>Shoes - Slip-ons</v>
      </c>
      <c r="G336" s="2">
        <f>IF(H336="", AVERAGEIF(Table1[Product_Category],D336,$H$2:$H$474),H336)</f>
        <v>1.5517241379310345</v>
      </c>
      <c r="I336" s="2">
        <f t="shared" si="26"/>
        <v>2676.5783333333325</v>
      </c>
      <c r="K336">
        <f t="shared" si="27"/>
        <v>0</v>
      </c>
      <c r="M336" s="2">
        <f t="shared" si="28"/>
        <v>4153.3112068965502</v>
      </c>
      <c r="N336">
        <v>0</v>
      </c>
      <c r="O336" t="s">
        <v>552</v>
      </c>
      <c r="P336" t="str">
        <f t="shared" si="29"/>
        <v>B2C</v>
      </c>
      <c r="Q336" t="s">
        <v>15</v>
      </c>
      <c r="R336">
        <v>2621.66</v>
      </c>
    </row>
    <row r="337" spans="1:18" x14ac:dyDescent="0.3">
      <c r="A337">
        <v>1354</v>
      </c>
      <c r="B337" t="str">
        <f t="shared" si="25"/>
        <v>George Cooper</v>
      </c>
      <c r="C337" t="s">
        <v>405</v>
      </c>
      <c r="D337" t="s">
        <v>12</v>
      </c>
      <c r="E337" t="s">
        <v>48</v>
      </c>
      <c r="F337" t="str">
        <f>CONCATENATE(Table1[[#This Row],[Product_Category]]," - ",Table1[[#This Row],[Product_Name]])</f>
        <v>Jeans - Straight Cut</v>
      </c>
      <c r="G337">
        <f>IF(H337="", AVERAGEIF(Table1[Product_Category],D337,$H$2:$H$474),H337)</f>
        <v>1</v>
      </c>
      <c r="H337">
        <v>1</v>
      </c>
      <c r="I337" s="2">
        <f t="shared" si="26"/>
        <v>2592.8782222222212</v>
      </c>
      <c r="K337">
        <f t="shared" si="27"/>
        <v>0</v>
      </c>
      <c r="M337" s="2">
        <f t="shared" si="28"/>
        <v>2592.8782222222212</v>
      </c>
      <c r="N337">
        <v>0</v>
      </c>
      <c r="O337" t="s">
        <v>17</v>
      </c>
      <c r="P337" t="str">
        <f t="shared" si="29"/>
        <v>B2C</v>
      </c>
      <c r="R337">
        <v>-678.38</v>
      </c>
    </row>
    <row r="338" spans="1:18" x14ac:dyDescent="0.3">
      <c r="A338">
        <v>1355</v>
      </c>
      <c r="B338" t="str">
        <f t="shared" si="25"/>
        <v>Ryan James</v>
      </c>
      <c r="C338" t="s">
        <v>406</v>
      </c>
      <c r="D338" t="s">
        <v>37</v>
      </c>
      <c r="E338" t="s">
        <v>90</v>
      </c>
      <c r="F338" t="str">
        <f>CONCATENATE(Table1[[#This Row],[Product_Category]]," - ",Table1[[#This Row],[Product_Name]])</f>
        <v>Dresses - Bodycon</v>
      </c>
      <c r="G338">
        <f>IF(H338="", AVERAGEIF(Table1[Product_Category],D338,$H$2:$H$474),H338)</f>
        <v>1</v>
      </c>
      <c r="H338">
        <v>1</v>
      </c>
      <c r="I338" s="2">
        <f t="shared" si="26"/>
        <v>1054.69</v>
      </c>
      <c r="J338">
        <v>1054.69</v>
      </c>
      <c r="K338">
        <f t="shared" si="27"/>
        <v>0.18</v>
      </c>
      <c r="L338">
        <v>0.18</v>
      </c>
      <c r="M338" s="2">
        <f t="shared" si="28"/>
        <v>864.84580000000005</v>
      </c>
      <c r="N338">
        <v>864.85</v>
      </c>
      <c r="O338" t="s">
        <v>21</v>
      </c>
      <c r="P338" t="str">
        <f t="shared" si="29"/>
        <v>B2B</v>
      </c>
      <c r="Q338" t="s">
        <v>22</v>
      </c>
      <c r="R338">
        <v>698.05</v>
      </c>
    </row>
    <row r="339" spans="1:18" x14ac:dyDescent="0.3">
      <c r="A339">
        <v>1356</v>
      </c>
      <c r="B339" t="str">
        <f t="shared" si="25"/>
        <v>Veronica Cordova</v>
      </c>
      <c r="C339" t="s">
        <v>407</v>
      </c>
      <c r="D339" t="s">
        <v>19</v>
      </c>
      <c r="E339" t="s">
        <v>87</v>
      </c>
      <c r="F339" t="str">
        <f>CONCATENATE(Table1[[#This Row],[Product_Category]]," - ",Table1[[#This Row],[Product_Name]])</f>
        <v>Jackets - Denim Jacket</v>
      </c>
      <c r="G339" s="2">
        <f>IF(H339="", AVERAGEIF(Table1[Product_Category],D339,$H$2:$H$474),H339)</f>
        <v>1.675</v>
      </c>
      <c r="I339" s="2">
        <f t="shared" si="26"/>
        <v>2418.5500000000002</v>
      </c>
      <c r="J339">
        <v>2418.5500000000002</v>
      </c>
      <c r="K339">
        <f t="shared" si="27"/>
        <v>0.88</v>
      </c>
      <c r="L339">
        <v>0.88</v>
      </c>
      <c r="M339" s="2">
        <f t="shared" si="28"/>
        <v>486.12855000000002</v>
      </c>
      <c r="N339">
        <v>0</v>
      </c>
      <c r="O339" t="s">
        <v>17</v>
      </c>
      <c r="P339" t="str">
        <f t="shared" si="29"/>
        <v>B2C</v>
      </c>
      <c r="Q339" t="s">
        <v>15</v>
      </c>
      <c r="R339">
        <v>428.96</v>
      </c>
    </row>
    <row r="340" spans="1:18" x14ac:dyDescent="0.3">
      <c r="A340">
        <v>1357</v>
      </c>
      <c r="B340" t="str">
        <f t="shared" si="25"/>
        <v>Jacob Brooks</v>
      </c>
      <c r="C340" t="s">
        <v>408</v>
      </c>
      <c r="D340" t="s">
        <v>19</v>
      </c>
      <c r="E340" t="s">
        <v>20</v>
      </c>
      <c r="F340" t="str">
        <f>CONCATENATE(Table1[[#This Row],[Product_Category]]," - ",Table1[[#This Row],[Product_Name]])</f>
        <v>Jackets - Puffer Coat</v>
      </c>
      <c r="G340" s="2">
        <f>IF(H340="", AVERAGEIF(Table1[Product_Category],D340,$H$2:$H$474),H340)</f>
        <v>1.675</v>
      </c>
      <c r="I340" s="2">
        <f t="shared" si="26"/>
        <v>1128.57</v>
      </c>
      <c r="J340">
        <v>1128.57</v>
      </c>
      <c r="K340">
        <f t="shared" si="27"/>
        <v>0.39</v>
      </c>
      <c r="L340">
        <v>0.39</v>
      </c>
      <c r="M340" s="2">
        <f t="shared" si="28"/>
        <v>1153.1163974999999</v>
      </c>
      <c r="N340">
        <v>0</v>
      </c>
      <c r="O340" t="s">
        <v>552</v>
      </c>
      <c r="P340" t="str">
        <f t="shared" si="29"/>
        <v>B2C</v>
      </c>
      <c r="R340">
        <v>684.88</v>
      </c>
    </row>
    <row r="341" spans="1:18" x14ac:dyDescent="0.3">
      <c r="A341">
        <v>1358</v>
      </c>
      <c r="B341" t="str">
        <f t="shared" si="25"/>
        <v>Matthew Brown</v>
      </c>
      <c r="C341" t="s">
        <v>409</v>
      </c>
      <c r="D341" t="s">
        <v>28</v>
      </c>
      <c r="E341" t="s">
        <v>41</v>
      </c>
      <c r="F341" t="str">
        <f>CONCATENATE(Table1[[#This Row],[Product_Category]]," - ",Table1[[#This Row],[Product_Name]])</f>
        <v>Accessories - Sunglasses</v>
      </c>
      <c r="G341" s="2">
        <f>IF(H341="", AVERAGEIF(Table1[Product_Category],D341,$H$2:$H$474),H341)</f>
        <v>2.5249999999999999</v>
      </c>
      <c r="I341" s="2">
        <f t="shared" si="26"/>
        <v>2755.6936585365856</v>
      </c>
      <c r="K341">
        <f t="shared" si="27"/>
        <v>1.23</v>
      </c>
      <c r="L341">
        <v>1.23</v>
      </c>
      <c r="M341" s="2">
        <f t="shared" si="28"/>
        <v>-1600.369092195122</v>
      </c>
      <c r="N341">
        <v>0</v>
      </c>
      <c r="O341" t="s">
        <v>39</v>
      </c>
      <c r="P341" t="str">
        <f t="shared" si="29"/>
        <v>B2C</v>
      </c>
      <c r="Q341" t="s">
        <v>15</v>
      </c>
      <c r="R341">
        <v>1347.26</v>
      </c>
    </row>
    <row r="342" spans="1:18" x14ac:dyDescent="0.3">
      <c r="A342">
        <v>1359</v>
      </c>
      <c r="B342" t="str">
        <f t="shared" si="25"/>
        <v>Robert Harmon</v>
      </c>
      <c r="C342" t="s">
        <v>410</v>
      </c>
      <c r="D342" t="s">
        <v>32</v>
      </c>
      <c r="E342" t="s">
        <v>33</v>
      </c>
      <c r="F342" t="str">
        <f>CONCATENATE(Table1[[#This Row],[Product_Category]]," - ",Table1[[#This Row],[Product_Name]])</f>
        <v>T-Shirts - Crop Top</v>
      </c>
      <c r="G342" s="2">
        <f>IF(H342="", AVERAGEIF(Table1[Product_Category],D342,$H$2:$H$474),H342)</f>
        <v>1.5813953488372092</v>
      </c>
      <c r="I342" s="2">
        <f t="shared" si="26"/>
        <v>4625.84</v>
      </c>
      <c r="J342">
        <v>4625.84</v>
      </c>
      <c r="K342">
        <f t="shared" si="27"/>
        <v>0</v>
      </c>
      <c r="M342" s="2">
        <f t="shared" si="28"/>
        <v>7315.2818604651166</v>
      </c>
      <c r="N342">
        <v>0</v>
      </c>
      <c r="O342" t="s">
        <v>21</v>
      </c>
      <c r="P342" t="str">
        <f t="shared" si="29"/>
        <v>B2C</v>
      </c>
      <c r="R342">
        <v>1663.88</v>
      </c>
    </row>
    <row r="343" spans="1:18" x14ac:dyDescent="0.3">
      <c r="A343">
        <v>1360</v>
      </c>
      <c r="B343" t="str">
        <f t="shared" si="25"/>
        <v>Rebecca Gonzalez</v>
      </c>
      <c r="C343" t="s">
        <v>411</v>
      </c>
      <c r="D343" t="s">
        <v>12</v>
      </c>
      <c r="E343" t="s">
        <v>35</v>
      </c>
      <c r="F343" t="str">
        <f>CONCATENATE(Table1[[#This Row],[Product_Category]]," - ",Table1[[#This Row],[Product_Name]])</f>
        <v>Jeans - Boyfriend Jeans</v>
      </c>
      <c r="G343">
        <f>IF(H343="", AVERAGEIF(Table1[Product_Category],D343,$H$2:$H$474),H343)</f>
        <v>2</v>
      </c>
      <c r="I343" s="2">
        <f t="shared" si="26"/>
        <v>2592.8782222222212</v>
      </c>
      <c r="K343">
        <f t="shared" si="27"/>
        <v>1.1299999999999999</v>
      </c>
      <c r="L343">
        <v>1.1299999999999999</v>
      </c>
      <c r="M343" s="2">
        <f t="shared" si="28"/>
        <v>-674.14833777777699</v>
      </c>
      <c r="N343">
        <v>0</v>
      </c>
      <c r="O343" t="s">
        <v>14</v>
      </c>
      <c r="P343" t="str">
        <f t="shared" si="29"/>
        <v>B2C</v>
      </c>
      <c r="R343">
        <v>1316.73</v>
      </c>
    </row>
    <row r="344" spans="1:18" x14ac:dyDescent="0.3">
      <c r="A344">
        <v>1361</v>
      </c>
      <c r="B344" t="str">
        <f t="shared" si="25"/>
        <v>Hannah Ball</v>
      </c>
      <c r="C344" t="s">
        <v>412</v>
      </c>
      <c r="D344" t="s">
        <v>32</v>
      </c>
      <c r="E344" t="s">
        <v>71</v>
      </c>
      <c r="F344" t="str">
        <f>CONCATENATE(Table1[[#This Row],[Product_Category]]," - ",Table1[[#This Row],[Product_Name]])</f>
        <v>T-Shirts - Classic Tee</v>
      </c>
      <c r="G344" s="2">
        <f>IF(H344="", AVERAGEIF(Table1[Product_Category],D344,$H$2:$H$474),H344)</f>
        <v>1.5813953488372092</v>
      </c>
      <c r="I344" s="2">
        <f t="shared" si="26"/>
        <v>2715.2732432432431</v>
      </c>
      <c r="K344">
        <f t="shared" si="27"/>
        <v>0</v>
      </c>
      <c r="M344" s="2">
        <f t="shared" si="28"/>
        <v>4293.9204776869892</v>
      </c>
      <c r="N344">
        <v>0</v>
      </c>
      <c r="O344" t="s">
        <v>21</v>
      </c>
      <c r="P344" t="str">
        <f t="shared" si="29"/>
        <v>B2C</v>
      </c>
      <c r="Q344" t="s">
        <v>15</v>
      </c>
      <c r="R344">
        <v>528.79999999999995</v>
      </c>
    </row>
    <row r="345" spans="1:18" x14ac:dyDescent="0.3">
      <c r="A345">
        <v>1362</v>
      </c>
      <c r="B345" t="str">
        <f t="shared" si="25"/>
        <v>Krista Wright</v>
      </c>
      <c r="C345" t="s">
        <v>413</v>
      </c>
      <c r="D345" t="s">
        <v>32</v>
      </c>
      <c r="E345" t="s">
        <v>71</v>
      </c>
      <c r="F345" t="str">
        <f>CONCATENATE(Table1[[#This Row],[Product_Category]]," - ",Table1[[#This Row],[Product_Name]])</f>
        <v>T-Shirts - Classic Tee</v>
      </c>
      <c r="G345">
        <f>IF(H345="", AVERAGEIF(Table1[Product_Category],D345,$H$2:$H$474),H345)</f>
        <v>-1</v>
      </c>
      <c r="H345">
        <v>-1</v>
      </c>
      <c r="I345" s="2">
        <f t="shared" si="26"/>
        <v>4953.0200000000004</v>
      </c>
      <c r="J345">
        <v>4953.0200000000004</v>
      </c>
      <c r="K345">
        <f t="shared" si="27"/>
        <v>0</v>
      </c>
      <c r="M345" s="2">
        <f t="shared" si="28"/>
        <v>-4953.0200000000004</v>
      </c>
      <c r="N345">
        <v>0</v>
      </c>
      <c r="O345" t="s">
        <v>17</v>
      </c>
      <c r="P345" t="str">
        <f t="shared" si="29"/>
        <v>B2C</v>
      </c>
      <c r="Q345" t="s">
        <v>15</v>
      </c>
      <c r="R345">
        <v>-499.33</v>
      </c>
    </row>
    <row r="346" spans="1:18" x14ac:dyDescent="0.3">
      <c r="A346">
        <v>1363</v>
      </c>
      <c r="B346" t="str">
        <f t="shared" si="25"/>
        <v>Marcus Powell</v>
      </c>
      <c r="C346" t="s">
        <v>414</v>
      </c>
      <c r="D346" t="s">
        <v>37</v>
      </c>
      <c r="E346" t="s">
        <v>90</v>
      </c>
      <c r="F346" t="str">
        <f>CONCATENATE(Table1[[#This Row],[Product_Category]]," - ",Table1[[#This Row],[Product_Name]])</f>
        <v>Dresses - Bodycon</v>
      </c>
      <c r="G346">
        <f>IF(H346="", AVERAGEIF(Table1[Product_Category],D346,$H$2:$H$474),H346)</f>
        <v>6</v>
      </c>
      <c r="H346">
        <v>6</v>
      </c>
      <c r="I346" s="2">
        <f t="shared" si="26"/>
        <v>2878.0747619047615</v>
      </c>
      <c r="K346">
        <f t="shared" si="27"/>
        <v>0</v>
      </c>
      <c r="M346" s="2">
        <f t="shared" si="28"/>
        <v>17268.448571428569</v>
      </c>
      <c r="N346">
        <v>0</v>
      </c>
      <c r="O346" t="s">
        <v>21</v>
      </c>
      <c r="P346" t="str">
        <f t="shared" si="29"/>
        <v>B2B</v>
      </c>
      <c r="Q346" t="s">
        <v>22</v>
      </c>
      <c r="R346">
        <v>2143.4</v>
      </c>
    </row>
    <row r="347" spans="1:18" x14ac:dyDescent="0.3">
      <c r="A347">
        <v>1364</v>
      </c>
      <c r="B347" t="str">
        <f t="shared" si="25"/>
        <v>Leah Madden</v>
      </c>
      <c r="C347" t="s">
        <v>415</v>
      </c>
      <c r="D347" t="s">
        <v>32</v>
      </c>
      <c r="E347" t="s">
        <v>71</v>
      </c>
      <c r="F347" t="str">
        <f>CONCATENATE(Table1[[#This Row],[Product_Category]]," - ",Table1[[#This Row],[Product_Name]])</f>
        <v>T-Shirts - Classic Tee</v>
      </c>
      <c r="G347" s="2">
        <f>IF(H347="", AVERAGEIF(Table1[Product_Category],D347,$H$2:$H$474),H347)</f>
        <v>1.5813953488372092</v>
      </c>
      <c r="I347" s="2">
        <f t="shared" si="26"/>
        <v>2715.2732432432431</v>
      </c>
      <c r="K347">
        <f t="shared" si="27"/>
        <v>0.01</v>
      </c>
      <c r="L347">
        <v>0.01</v>
      </c>
      <c r="M347" s="2">
        <f t="shared" si="28"/>
        <v>4250.9812729101195</v>
      </c>
      <c r="N347">
        <v>0</v>
      </c>
      <c r="O347" t="s">
        <v>17</v>
      </c>
      <c r="P347" t="str">
        <f t="shared" si="29"/>
        <v>B2C</v>
      </c>
      <c r="Q347" t="s">
        <v>15</v>
      </c>
      <c r="R347">
        <v>1839.35</v>
      </c>
    </row>
    <row r="348" spans="1:18" x14ac:dyDescent="0.3">
      <c r="A348">
        <v>1365</v>
      </c>
      <c r="B348" t="str">
        <f t="shared" si="25"/>
        <v>Shawn Gardner</v>
      </c>
      <c r="C348" t="s">
        <v>416</v>
      </c>
      <c r="D348" t="s">
        <v>37</v>
      </c>
      <c r="E348" t="s">
        <v>58</v>
      </c>
      <c r="F348" t="str">
        <f>CONCATENATE(Table1[[#This Row],[Product_Category]]," - ",Table1[[#This Row],[Product_Name]])</f>
        <v>Dresses - Maxi Dress</v>
      </c>
      <c r="G348">
        <f>IF(H348="", AVERAGEIF(Table1[Product_Category],D348,$H$2:$H$474),H348)</f>
        <v>1</v>
      </c>
      <c r="H348">
        <v>1</v>
      </c>
      <c r="I348" s="2">
        <f t="shared" si="26"/>
        <v>776.52</v>
      </c>
      <c r="J348">
        <v>776.52</v>
      </c>
      <c r="K348">
        <f t="shared" si="27"/>
        <v>0</v>
      </c>
      <c r="M348" s="2">
        <f t="shared" si="28"/>
        <v>776.52</v>
      </c>
      <c r="N348">
        <v>0</v>
      </c>
      <c r="O348" t="s">
        <v>14</v>
      </c>
      <c r="P348" t="str">
        <f t="shared" si="29"/>
        <v>B2C</v>
      </c>
      <c r="Q348" t="s">
        <v>15</v>
      </c>
      <c r="R348">
        <v>2757.77</v>
      </c>
    </row>
    <row r="349" spans="1:18" x14ac:dyDescent="0.3">
      <c r="A349">
        <v>1366</v>
      </c>
      <c r="B349" t="str">
        <f t="shared" si="25"/>
        <v>Karen Nunez</v>
      </c>
      <c r="C349" t="s">
        <v>417</v>
      </c>
      <c r="D349" t="s">
        <v>37</v>
      </c>
      <c r="E349" t="s">
        <v>90</v>
      </c>
      <c r="F349" t="str">
        <f>CONCATENATE(Table1[[#This Row],[Product_Category]]," - ",Table1[[#This Row],[Product_Name]])</f>
        <v>Dresses - Bodycon</v>
      </c>
      <c r="G349" s="2">
        <f>IF(H349="", AVERAGEIF(Table1[Product_Category],D349,$H$2:$H$474),H349)</f>
        <v>2.0217391304347827</v>
      </c>
      <c r="I349" s="2">
        <f t="shared" si="26"/>
        <v>1927.12</v>
      </c>
      <c r="J349">
        <v>1927.12</v>
      </c>
      <c r="K349">
        <f t="shared" si="27"/>
        <v>0.44</v>
      </c>
      <c r="L349">
        <v>0.44</v>
      </c>
      <c r="M349" s="2">
        <f t="shared" si="28"/>
        <v>2181.834991304348</v>
      </c>
      <c r="N349">
        <v>0</v>
      </c>
      <c r="O349" t="s">
        <v>39</v>
      </c>
      <c r="P349" t="str">
        <f t="shared" si="29"/>
        <v>B2C</v>
      </c>
      <c r="Q349" t="s">
        <v>15</v>
      </c>
      <c r="R349">
        <v>928.57</v>
      </c>
    </row>
    <row r="350" spans="1:18" x14ac:dyDescent="0.3">
      <c r="A350">
        <v>1367</v>
      </c>
      <c r="B350" t="str">
        <f t="shared" si="25"/>
        <v>Laura Johnson</v>
      </c>
      <c r="C350" t="s">
        <v>418</v>
      </c>
      <c r="D350" t="s">
        <v>28</v>
      </c>
      <c r="E350" t="s">
        <v>140</v>
      </c>
      <c r="F350" t="str">
        <f>CONCATENATE(Table1[[#This Row],[Product_Category]]," - ",Table1[[#This Row],[Product_Name]])</f>
        <v>Accessories - Caps</v>
      </c>
      <c r="G350" s="2">
        <f>IF(H350="", AVERAGEIF(Table1[Product_Category],D350,$H$2:$H$474),H350)</f>
        <v>2.5249999999999999</v>
      </c>
      <c r="I350" s="2">
        <f t="shared" si="26"/>
        <v>573.79999999999995</v>
      </c>
      <c r="J350">
        <v>573.79999999999995</v>
      </c>
      <c r="K350">
        <f t="shared" si="27"/>
        <v>0</v>
      </c>
      <c r="M350" s="2">
        <f t="shared" si="28"/>
        <v>1448.8449999999998</v>
      </c>
      <c r="N350">
        <v>0</v>
      </c>
      <c r="O350" t="s">
        <v>17</v>
      </c>
      <c r="P350" t="str">
        <f t="shared" si="29"/>
        <v>B2B</v>
      </c>
      <c r="Q350" t="s">
        <v>22</v>
      </c>
      <c r="R350">
        <v>2546.35</v>
      </c>
    </row>
    <row r="351" spans="1:18" x14ac:dyDescent="0.3">
      <c r="A351">
        <v>1368</v>
      </c>
      <c r="B351" t="str">
        <f t="shared" si="25"/>
        <v>Lauren Kaufman</v>
      </c>
      <c r="C351" t="s">
        <v>419</v>
      </c>
      <c r="D351" t="s">
        <v>32</v>
      </c>
      <c r="E351" t="s">
        <v>71</v>
      </c>
      <c r="F351" t="str">
        <f>CONCATENATE(Table1[[#This Row],[Product_Category]]," - ",Table1[[#This Row],[Product_Name]])</f>
        <v>T-Shirts - Classic Tee</v>
      </c>
      <c r="G351">
        <f>IF(H351="", AVERAGEIF(Table1[Product_Category],D351,$H$2:$H$474),H351)</f>
        <v>4</v>
      </c>
      <c r="H351">
        <v>4</v>
      </c>
      <c r="I351" s="2">
        <f t="shared" si="26"/>
        <v>4032.95</v>
      </c>
      <c r="J351">
        <v>4032.95</v>
      </c>
      <c r="K351">
        <f t="shared" si="27"/>
        <v>0</v>
      </c>
      <c r="M351" s="2">
        <f t="shared" si="28"/>
        <v>16131.8</v>
      </c>
      <c r="N351">
        <v>0</v>
      </c>
      <c r="O351" t="s">
        <v>17</v>
      </c>
      <c r="P351" t="str">
        <f t="shared" si="29"/>
        <v>B2C</v>
      </c>
      <c r="Q351" t="s">
        <v>15</v>
      </c>
      <c r="R351">
        <v>-20.09</v>
      </c>
    </row>
    <row r="352" spans="1:18" x14ac:dyDescent="0.3">
      <c r="A352">
        <v>1369</v>
      </c>
      <c r="B352" t="str">
        <f t="shared" si="25"/>
        <v>Patricia Pratt</v>
      </c>
      <c r="C352" t="s">
        <v>420</v>
      </c>
      <c r="D352" t="s">
        <v>28</v>
      </c>
      <c r="E352" t="s">
        <v>140</v>
      </c>
      <c r="F352" t="str">
        <f>CONCATENATE(Table1[[#This Row],[Product_Category]]," - ",Table1[[#This Row],[Product_Name]])</f>
        <v>Accessories - Caps</v>
      </c>
      <c r="G352" s="2">
        <f>IF(H352="", AVERAGEIF(Table1[Product_Category],D352,$H$2:$H$474),H352)</f>
        <v>2.5249999999999999</v>
      </c>
      <c r="I352" s="2">
        <f t="shared" si="26"/>
        <v>2755.6936585365856</v>
      </c>
      <c r="K352">
        <f t="shared" si="27"/>
        <v>1.1000000000000001</v>
      </c>
      <c r="L352">
        <v>1.1000000000000001</v>
      </c>
      <c r="M352" s="2">
        <f t="shared" si="28"/>
        <v>-695.81264878048853</v>
      </c>
      <c r="N352">
        <v>0</v>
      </c>
      <c r="O352" t="s">
        <v>552</v>
      </c>
      <c r="P352" t="str">
        <f t="shared" si="29"/>
        <v>B2C</v>
      </c>
      <c r="R352">
        <v>-844.78</v>
      </c>
    </row>
    <row r="353" spans="1:18" x14ac:dyDescent="0.3">
      <c r="A353">
        <v>1370</v>
      </c>
      <c r="B353" t="str">
        <f t="shared" si="25"/>
        <v>Brandon Williams</v>
      </c>
      <c r="C353" t="s">
        <v>421</v>
      </c>
      <c r="D353" t="s">
        <v>37</v>
      </c>
      <c r="E353" t="s">
        <v>90</v>
      </c>
      <c r="F353" t="str">
        <f>CONCATENATE(Table1[[#This Row],[Product_Category]]," - ",Table1[[#This Row],[Product_Name]])</f>
        <v>Dresses - Bodycon</v>
      </c>
      <c r="G353">
        <f>IF(H353="", AVERAGEIF(Table1[Product_Category],D353,$H$2:$H$474),H353)</f>
        <v>-2</v>
      </c>
      <c r="H353">
        <v>-2</v>
      </c>
      <c r="I353" s="2">
        <f t="shared" si="26"/>
        <v>2345.4899999999998</v>
      </c>
      <c r="J353">
        <v>2345.4899999999998</v>
      </c>
      <c r="K353">
        <f t="shared" si="27"/>
        <v>1.18</v>
      </c>
      <c r="L353">
        <v>1.18</v>
      </c>
      <c r="M353" s="2">
        <f t="shared" si="28"/>
        <v>844.37639999999965</v>
      </c>
      <c r="N353">
        <v>844.38</v>
      </c>
      <c r="O353" t="s">
        <v>552</v>
      </c>
      <c r="P353" t="str">
        <f t="shared" si="29"/>
        <v>B2B</v>
      </c>
      <c r="Q353" t="s">
        <v>22</v>
      </c>
      <c r="R353">
        <v>212.66</v>
      </c>
    </row>
    <row r="354" spans="1:18" x14ac:dyDescent="0.3">
      <c r="A354">
        <v>1371</v>
      </c>
      <c r="B354" t="str">
        <f t="shared" si="25"/>
        <v>Christopher Wilson</v>
      </c>
      <c r="C354" t="s">
        <v>422</v>
      </c>
      <c r="D354" t="s">
        <v>12</v>
      </c>
      <c r="E354" t="s">
        <v>101</v>
      </c>
      <c r="F354" t="str">
        <f>CONCATENATE(Table1[[#This Row],[Product_Category]]," - ",Table1[[#This Row],[Product_Name]])</f>
        <v>Jeans - Ripped Denim</v>
      </c>
      <c r="G354">
        <f>IF(H354="", AVERAGEIF(Table1[Product_Category],D354,$H$2:$H$474),H354)</f>
        <v>2</v>
      </c>
      <c r="I354" s="2">
        <f t="shared" si="26"/>
        <v>2592.8782222222212</v>
      </c>
      <c r="K354">
        <f t="shared" si="27"/>
        <v>0</v>
      </c>
      <c r="M354" s="2">
        <f t="shared" si="28"/>
        <v>5185.7564444444424</v>
      </c>
      <c r="N354">
        <v>0</v>
      </c>
      <c r="O354" t="s">
        <v>21</v>
      </c>
      <c r="P354" t="str">
        <f t="shared" si="29"/>
        <v>B2B</v>
      </c>
      <c r="Q354" t="s">
        <v>22</v>
      </c>
      <c r="R354">
        <v>72.959999999999994</v>
      </c>
    </row>
    <row r="355" spans="1:18" x14ac:dyDescent="0.3">
      <c r="A355">
        <v>1372</v>
      </c>
      <c r="B355" t="str">
        <f t="shared" si="25"/>
        <v>Ryan Gonzalez</v>
      </c>
      <c r="C355" t="s">
        <v>423</v>
      </c>
      <c r="D355" t="s">
        <v>28</v>
      </c>
      <c r="E355" t="s">
        <v>41</v>
      </c>
      <c r="F355" t="str">
        <f>CONCATENATE(Table1[[#This Row],[Product_Category]]," - ",Table1[[#This Row],[Product_Name]])</f>
        <v>Accessories - Sunglasses</v>
      </c>
      <c r="G355">
        <f>IF(H355="", AVERAGEIF(Table1[Product_Category],D355,$H$2:$H$474),H355)</f>
        <v>1</v>
      </c>
      <c r="H355">
        <v>1</v>
      </c>
      <c r="I355" s="2">
        <f t="shared" si="26"/>
        <v>2755.6936585365856</v>
      </c>
      <c r="K355">
        <f t="shared" si="27"/>
        <v>0.19</v>
      </c>
      <c r="L355">
        <v>0.19</v>
      </c>
      <c r="M355" s="2">
        <f t="shared" si="28"/>
        <v>2232.1118634146346</v>
      </c>
      <c r="N355">
        <v>0</v>
      </c>
      <c r="O355" t="s">
        <v>14</v>
      </c>
      <c r="P355" t="str">
        <f t="shared" si="29"/>
        <v>B2C</v>
      </c>
      <c r="R355">
        <v>418.89</v>
      </c>
    </row>
    <row r="356" spans="1:18" x14ac:dyDescent="0.3">
      <c r="A356">
        <v>1373</v>
      </c>
      <c r="B356" t="str">
        <f t="shared" si="25"/>
        <v>Lisa Morton</v>
      </c>
      <c r="C356" t="s">
        <v>424</v>
      </c>
      <c r="D356" t="s">
        <v>19</v>
      </c>
      <c r="E356" t="s">
        <v>121</v>
      </c>
      <c r="F356" t="str">
        <f>CONCATENATE(Table1[[#This Row],[Product_Category]]," - ",Table1[[#This Row],[Product_Name]])</f>
        <v>Jackets - Leather Jacket</v>
      </c>
      <c r="G356">
        <f>IF(H356="", AVERAGEIF(Table1[Product_Category],D356,$H$2:$H$474),H356)</f>
        <v>-2</v>
      </c>
      <c r="H356">
        <v>-2</v>
      </c>
      <c r="I356" s="2">
        <f t="shared" si="26"/>
        <v>3523.43</v>
      </c>
      <c r="J356">
        <v>3523.43</v>
      </c>
      <c r="K356">
        <f t="shared" si="27"/>
        <v>0.19</v>
      </c>
      <c r="L356">
        <v>0.19</v>
      </c>
      <c r="M356" s="2">
        <f t="shared" si="28"/>
        <v>-5707.9566000000004</v>
      </c>
      <c r="N356">
        <v>-5707.96</v>
      </c>
      <c r="O356" t="s">
        <v>14</v>
      </c>
      <c r="P356" t="str">
        <f t="shared" si="29"/>
        <v>B2C</v>
      </c>
      <c r="R356">
        <v>-892.76</v>
      </c>
    </row>
    <row r="357" spans="1:18" x14ac:dyDescent="0.3">
      <c r="A357">
        <v>1374</v>
      </c>
      <c r="B357" t="str">
        <f t="shared" si="25"/>
        <v>Nicholas Lee</v>
      </c>
      <c r="C357" t="s">
        <v>425</v>
      </c>
      <c r="D357" t="s">
        <v>32</v>
      </c>
      <c r="E357" t="s">
        <v>71</v>
      </c>
      <c r="F357" t="str">
        <f>CONCATENATE(Table1[[#This Row],[Product_Category]]," - ",Table1[[#This Row],[Product_Name]])</f>
        <v>T-Shirts - Classic Tee</v>
      </c>
      <c r="G357">
        <f>IF(H357="", AVERAGEIF(Table1[Product_Category],D357,$H$2:$H$474),H357)</f>
        <v>1</v>
      </c>
      <c r="H357">
        <v>1</v>
      </c>
      <c r="I357" s="2">
        <f t="shared" si="26"/>
        <v>2715.2732432432431</v>
      </c>
      <c r="K357">
        <f t="shared" si="27"/>
        <v>0</v>
      </c>
      <c r="M357" s="2">
        <f t="shared" si="28"/>
        <v>2715.2732432432431</v>
      </c>
      <c r="N357">
        <v>0</v>
      </c>
      <c r="O357" t="s">
        <v>39</v>
      </c>
      <c r="P357" t="str">
        <f t="shared" si="29"/>
        <v>B2C</v>
      </c>
      <c r="R357">
        <v>2519.16</v>
      </c>
    </row>
    <row r="358" spans="1:18" x14ac:dyDescent="0.3">
      <c r="A358">
        <v>1375</v>
      </c>
      <c r="B358" t="str">
        <f t="shared" si="25"/>
        <v>Kelly Vang</v>
      </c>
      <c r="C358" t="s">
        <v>426</v>
      </c>
      <c r="D358" t="s">
        <v>12</v>
      </c>
      <c r="E358" t="s">
        <v>48</v>
      </c>
      <c r="F358" t="str">
        <f>CONCATENATE(Table1[[#This Row],[Product_Category]]," - ",Table1[[#This Row],[Product_Name]])</f>
        <v>Jeans - Straight Cut</v>
      </c>
      <c r="G358">
        <f>IF(H358="", AVERAGEIF(Table1[Product_Category],D358,$H$2:$H$474),H358)</f>
        <v>3</v>
      </c>
      <c r="H358">
        <v>3</v>
      </c>
      <c r="I358" s="2">
        <f t="shared" si="26"/>
        <v>420.42</v>
      </c>
      <c r="J358">
        <v>420.42</v>
      </c>
      <c r="K358">
        <f t="shared" si="27"/>
        <v>0</v>
      </c>
      <c r="M358" s="2">
        <f t="shared" si="28"/>
        <v>1261.26</v>
      </c>
      <c r="N358">
        <v>0</v>
      </c>
      <c r="O358" t="s">
        <v>552</v>
      </c>
      <c r="P358" t="str">
        <f t="shared" si="29"/>
        <v>B2C</v>
      </c>
      <c r="R358">
        <v>1318.19</v>
      </c>
    </row>
    <row r="359" spans="1:18" x14ac:dyDescent="0.3">
      <c r="A359">
        <v>1376</v>
      </c>
      <c r="B359" t="str">
        <f t="shared" si="25"/>
        <v>Megan Smith</v>
      </c>
      <c r="C359" t="s">
        <v>427</v>
      </c>
      <c r="D359" t="s">
        <v>28</v>
      </c>
      <c r="E359" t="s">
        <v>140</v>
      </c>
      <c r="F359" t="str">
        <f>CONCATENATE(Table1[[#This Row],[Product_Category]]," - ",Table1[[#This Row],[Product_Name]])</f>
        <v>Accessories - Caps</v>
      </c>
      <c r="G359">
        <f>IF(H359="", AVERAGEIF(Table1[Product_Category],D359,$H$2:$H$474),H359)</f>
        <v>4</v>
      </c>
      <c r="H359">
        <v>4</v>
      </c>
      <c r="I359" s="2">
        <f t="shared" si="26"/>
        <v>1447.28</v>
      </c>
      <c r="J359">
        <v>1447.28</v>
      </c>
      <c r="K359">
        <f t="shared" si="27"/>
        <v>0</v>
      </c>
      <c r="M359" s="2">
        <f t="shared" si="28"/>
        <v>5789.12</v>
      </c>
      <c r="N359">
        <v>0</v>
      </c>
      <c r="O359" t="s">
        <v>552</v>
      </c>
      <c r="P359" t="str">
        <f t="shared" si="29"/>
        <v>B2B</v>
      </c>
      <c r="Q359" t="s">
        <v>22</v>
      </c>
      <c r="R359">
        <v>175.33</v>
      </c>
    </row>
    <row r="360" spans="1:18" x14ac:dyDescent="0.3">
      <c r="A360">
        <v>1377</v>
      </c>
      <c r="B360" t="str">
        <f t="shared" si="25"/>
        <v>Mark Matthews</v>
      </c>
      <c r="C360" t="s">
        <v>428</v>
      </c>
      <c r="D360" t="s">
        <v>19</v>
      </c>
      <c r="E360" t="s">
        <v>87</v>
      </c>
      <c r="F360" t="str">
        <f>CONCATENATE(Table1[[#This Row],[Product_Category]]," - ",Table1[[#This Row],[Product_Name]])</f>
        <v>Jackets - Denim Jacket</v>
      </c>
      <c r="G360">
        <f>IF(H360="", AVERAGEIF(Table1[Product_Category],D360,$H$2:$H$474),H360)</f>
        <v>0</v>
      </c>
      <c r="H360">
        <v>0</v>
      </c>
      <c r="I360" s="2">
        <f t="shared" si="26"/>
        <v>2952.3559374999995</v>
      </c>
      <c r="K360">
        <f t="shared" si="27"/>
        <v>0.65</v>
      </c>
      <c r="L360">
        <v>0.65</v>
      </c>
      <c r="M360" s="2">
        <f t="shared" si="28"/>
        <v>0</v>
      </c>
      <c r="N360">
        <v>0</v>
      </c>
      <c r="O360" t="s">
        <v>39</v>
      </c>
      <c r="P360" t="str">
        <f t="shared" si="29"/>
        <v>B2B</v>
      </c>
      <c r="Q360" t="s">
        <v>22</v>
      </c>
      <c r="R360">
        <v>2229.9499999999998</v>
      </c>
    </row>
    <row r="361" spans="1:18" x14ac:dyDescent="0.3">
      <c r="A361">
        <v>1378</v>
      </c>
      <c r="B361" t="str">
        <f t="shared" si="25"/>
        <v>Melissa Hale</v>
      </c>
      <c r="C361" t="s">
        <v>429</v>
      </c>
      <c r="D361" t="s">
        <v>19</v>
      </c>
      <c r="E361" t="s">
        <v>20</v>
      </c>
      <c r="F361" t="str">
        <f>CONCATENATE(Table1[[#This Row],[Product_Category]]," - ",Table1[[#This Row],[Product_Name]])</f>
        <v>Jackets - Puffer Coat</v>
      </c>
      <c r="G361">
        <f>IF(H361="", AVERAGEIF(Table1[Product_Category],D361,$H$2:$H$474),H361)</f>
        <v>5</v>
      </c>
      <c r="H361">
        <v>5</v>
      </c>
      <c r="I361" s="2">
        <f t="shared" si="26"/>
        <v>4581.26</v>
      </c>
      <c r="J361">
        <v>4581.26</v>
      </c>
      <c r="K361">
        <f t="shared" si="27"/>
        <v>1.18</v>
      </c>
      <c r="L361">
        <v>1.18</v>
      </c>
      <c r="M361" s="2">
        <f t="shared" si="28"/>
        <v>-4123.1339999999991</v>
      </c>
      <c r="N361">
        <v>-4123.13</v>
      </c>
      <c r="O361" t="s">
        <v>39</v>
      </c>
      <c r="P361" t="str">
        <f t="shared" si="29"/>
        <v>B2C</v>
      </c>
      <c r="R361">
        <v>-345.1</v>
      </c>
    </row>
    <row r="362" spans="1:18" x14ac:dyDescent="0.3">
      <c r="A362">
        <v>1380</v>
      </c>
      <c r="B362" t="str">
        <f t="shared" si="25"/>
        <v>Brittney Branch</v>
      </c>
      <c r="C362" t="s">
        <v>431</v>
      </c>
      <c r="D362" t="s">
        <v>37</v>
      </c>
      <c r="E362" t="s">
        <v>90</v>
      </c>
      <c r="F362" t="str">
        <f>CONCATENATE(Table1[[#This Row],[Product_Category]]," - ",Table1[[#This Row],[Product_Name]])</f>
        <v>Dresses - Bodycon</v>
      </c>
      <c r="G362">
        <f>IF(H362="", AVERAGEIF(Table1[Product_Category],D362,$H$2:$H$474),H362)</f>
        <v>2</v>
      </c>
      <c r="H362">
        <v>2</v>
      </c>
      <c r="I362" s="2">
        <f t="shared" si="26"/>
        <v>2878.0747619047615</v>
      </c>
      <c r="K362">
        <f t="shared" si="27"/>
        <v>0</v>
      </c>
      <c r="M362" s="2">
        <f t="shared" si="28"/>
        <v>5756.1495238095231</v>
      </c>
      <c r="N362">
        <v>0</v>
      </c>
      <c r="O362" t="s">
        <v>14</v>
      </c>
      <c r="P362" t="str">
        <f t="shared" si="29"/>
        <v>B2B</v>
      </c>
      <c r="Q362" t="s">
        <v>22</v>
      </c>
      <c r="R362">
        <v>-475.94</v>
      </c>
    </row>
    <row r="363" spans="1:18" x14ac:dyDescent="0.3">
      <c r="A363">
        <v>1381</v>
      </c>
      <c r="B363" t="str">
        <f t="shared" si="25"/>
        <v>Brian Bridges</v>
      </c>
      <c r="C363" t="s">
        <v>432</v>
      </c>
      <c r="D363" t="s">
        <v>12</v>
      </c>
      <c r="E363" t="s">
        <v>101</v>
      </c>
      <c r="F363" t="str">
        <f>CONCATENATE(Table1[[#This Row],[Product_Category]]," - ",Table1[[#This Row],[Product_Name]])</f>
        <v>Jeans - Ripped Denim</v>
      </c>
      <c r="G363">
        <f>IF(H363="", AVERAGEIF(Table1[Product_Category],D363,$H$2:$H$474),H363)</f>
        <v>1</v>
      </c>
      <c r="H363">
        <v>1</v>
      </c>
      <c r="I363" s="2">
        <f t="shared" si="26"/>
        <v>2592.8782222222212</v>
      </c>
      <c r="K363">
        <f t="shared" si="27"/>
        <v>1.07</v>
      </c>
      <c r="L363">
        <v>1.07</v>
      </c>
      <c r="M363" s="2">
        <f t="shared" si="28"/>
        <v>-181.50147555555566</v>
      </c>
      <c r="N363">
        <v>0</v>
      </c>
      <c r="O363" t="s">
        <v>39</v>
      </c>
      <c r="P363" t="str">
        <f t="shared" si="29"/>
        <v>B2C</v>
      </c>
      <c r="Q363" t="s">
        <v>15</v>
      </c>
      <c r="R363">
        <v>-136.30000000000001</v>
      </c>
    </row>
    <row r="364" spans="1:18" x14ac:dyDescent="0.3">
      <c r="A364">
        <v>1382</v>
      </c>
      <c r="B364" t="str">
        <f t="shared" si="25"/>
        <v>Jeffery Green</v>
      </c>
      <c r="C364" t="s">
        <v>433</v>
      </c>
      <c r="D364" t="s">
        <v>12</v>
      </c>
      <c r="E364" t="s">
        <v>35</v>
      </c>
      <c r="F364" t="str">
        <f>CONCATENATE(Table1[[#This Row],[Product_Category]]," - ",Table1[[#This Row],[Product_Name]])</f>
        <v>Jeans - Boyfriend Jeans</v>
      </c>
      <c r="G364">
        <f>IF(H364="", AVERAGEIF(Table1[Product_Category],D364,$H$2:$H$474),H364)</f>
        <v>-2</v>
      </c>
      <c r="H364">
        <v>-2</v>
      </c>
      <c r="I364" s="2">
        <f t="shared" si="26"/>
        <v>2592.8782222222212</v>
      </c>
      <c r="K364">
        <f t="shared" si="27"/>
        <v>0</v>
      </c>
      <c r="M364" s="2">
        <f t="shared" si="28"/>
        <v>-5185.7564444444424</v>
      </c>
      <c r="N364">
        <v>0</v>
      </c>
      <c r="O364" t="s">
        <v>39</v>
      </c>
      <c r="P364" t="str">
        <f t="shared" si="29"/>
        <v>B2B</v>
      </c>
      <c r="Q364" t="s">
        <v>22</v>
      </c>
      <c r="R364">
        <v>-165.59</v>
      </c>
    </row>
    <row r="365" spans="1:18" x14ac:dyDescent="0.3">
      <c r="A365">
        <v>1383</v>
      </c>
      <c r="B365" t="str">
        <f t="shared" si="25"/>
        <v>Rachel Bradford</v>
      </c>
      <c r="C365" t="s">
        <v>434</v>
      </c>
      <c r="D365" t="s">
        <v>37</v>
      </c>
      <c r="E365" t="s">
        <v>58</v>
      </c>
      <c r="F365" t="str">
        <f>CONCATENATE(Table1[[#This Row],[Product_Category]]," - ",Table1[[#This Row],[Product_Name]])</f>
        <v>Dresses - Maxi Dress</v>
      </c>
      <c r="G365">
        <f>IF(H365="", AVERAGEIF(Table1[Product_Category],D365,$H$2:$H$474),H365)</f>
        <v>5</v>
      </c>
      <c r="H365">
        <v>5</v>
      </c>
      <c r="I365" s="2">
        <f t="shared" si="26"/>
        <v>2409.13</v>
      </c>
      <c r="J365">
        <v>2409.13</v>
      </c>
      <c r="K365">
        <f t="shared" si="27"/>
        <v>0</v>
      </c>
      <c r="M365" s="2">
        <f t="shared" si="28"/>
        <v>12045.650000000001</v>
      </c>
      <c r="N365">
        <v>0</v>
      </c>
      <c r="O365" t="s">
        <v>45</v>
      </c>
      <c r="P365" t="str">
        <f t="shared" si="29"/>
        <v>B2C</v>
      </c>
      <c r="Q365" t="s">
        <v>15</v>
      </c>
      <c r="R365">
        <v>127.63</v>
      </c>
    </row>
    <row r="366" spans="1:18" x14ac:dyDescent="0.3">
      <c r="A366">
        <v>1385</v>
      </c>
      <c r="B366" t="str">
        <f t="shared" si="25"/>
        <v>Veronica Taylor</v>
      </c>
      <c r="C366" t="s">
        <v>436</v>
      </c>
      <c r="D366" t="s">
        <v>37</v>
      </c>
      <c r="E366" t="s">
        <v>62</v>
      </c>
      <c r="F366" t="str">
        <f>CONCATENATE(Table1[[#This Row],[Product_Category]]," - ",Table1[[#This Row],[Product_Name]])</f>
        <v>Dresses - Wrap Dress</v>
      </c>
      <c r="G366">
        <f>IF(H366="", AVERAGEIF(Table1[Product_Category],D366,$H$2:$H$474),H366)</f>
        <v>1</v>
      </c>
      <c r="H366">
        <v>1</v>
      </c>
      <c r="I366" s="2">
        <f t="shared" si="26"/>
        <v>2878.0747619047615</v>
      </c>
      <c r="K366">
        <f t="shared" si="27"/>
        <v>0</v>
      </c>
      <c r="M366" s="2">
        <f t="shared" si="28"/>
        <v>2878.0747619047615</v>
      </c>
      <c r="N366">
        <v>0</v>
      </c>
      <c r="O366" t="s">
        <v>39</v>
      </c>
      <c r="P366" t="str">
        <f t="shared" si="29"/>
        <v>B2C</v>
      </c>
      <c r="Q366" t="s">
        <v>15</v>
      </c>
      <c r="R366">
        <v>2744.77</v>
      </c>
    </row>
    <row r="367" spans="1:18" x14ac:dyDescent="0.3">
      <c r="A367">
        <v>1386</v>
      </c>
      <c r="B367" t="str">
        <f t="shared" si="25"/>
        <v>Crystal Molina</v>
      </c>
      <c r="C367" t="s">
        <v>437</v>
      </c>
      <c r="D367" t="s">
        <v>24</v>
      </c>
      <c r="E367" t="s">
        <v>85</v>
      </c>
      <c r="F367" t="str">
        <f>CONCATENATE(Table1[[#This Row],[Product_Category]]," - ",Table1[[#This Row],[Product_Name]])</f>
        <v>Shoes - Boots</v>
      </c>
      <c r="G367">
        <f>IF(H367="", AVERAGEIF(Table1[Product_Category],D367,$H$2:$H$474),H367)</f>
        <v>5</v>
      </c>
      <c r="H367">
        <v>5</v>
      </c>
      <c r="I367" s="2">
        <f t="shared" si="26"/>
        <v>4439.8100000000004</v>
      </c>
      <c r="J367">
        <v>4439.8100000000004</v>
      </c>
      <c r="K367">
        <f t="shared" si="27"/>
        <v>1.1000000000000001</v>
      </c>
      <c r="L367">
        <v>1.1000000000000001</v>
      </c>
      <c r="M367" s="2">
        <f t="shared" si="28"/>
        <v>-2219.9050000000025</v>
      </c>
      <c r="N367">
        <v>-2219.91</v>
      </c>
      <c r="O367" t="s">
        <v>14</v>
      </c>
      <c r="P367" t="str">
        <f t="shared" si="29"/>
        <v>B2B</v>
      </c>
      <c r="Q367" t="s">
        <v>22</v>
      </c>
      <c r="R367">
        <v>1669.09</v>
      </c>
    </row>
    <row r="368" spans="1:18" x14ac:dyDescent="0.3">
      <c r="A368">
        <v>1387</v>
      </c>
      <c r="B368" t="str">
        <f t="shared" si="25"/>
        <v>Michael White</v>
      </c>
      <c r="C368" t="s">
        <v>438</v>
      </c>
      <c r="D368" t="s">
        <v>19</v>
      </c>
      <c r="E368" t="s">
        <v>20</v>
      </c>
      <c r="F368" t="str">
        <f>CONCATENATE(Table1[[#This Row],[Product_Category]]," - ",Table1[[#This Row],[Product_Name]])</f>
        <v>Jackets - Puffer Coat</v>
      </c>
      <c r="G368">
        <f>IF(H368="", AVERAGEIF(Table1[Product_Category],D368,$H$2:$H$474),H368)</f>
        <v>3</v>
      </c>
      <c r="H368">
        <v>3</v>
      </c>
      <c r="I368" s="2">
        <f t="shared" si="26"/>
        <v>2952.3559374999995</v>
      </c>
      <c r="K368">
        <f t="shared" si="27"/>
        <v>0</v>
      </c>
      <c r="M368" s="2">
        <f t="shared" si="28"/>
        <v>8857.0678124999977</v>
      </c>
      <c r="N368">
        <v>0</v>
      </c>
      <c r="O368" t="s">
        <v>45</v>
      </c>
      <c r="P368" t="str">
        <f t="shared" si="29"/>
        <v>B2C</v>
      </c>
      <c r="R368">
        <v>-505.47</v>
      </c>
    </row>
    <row r="369" spans="1:18" x14ac:dyDescent="0.3">
      <c r="A369">
        <v>1388</v>
      </c>
      <c r="B369" t="str">
        <f t="shared" si="25"/>
        <v>Michael Beltran</v>
      </c>
      <c r="C369" t="s">
        <v>439</v>
      </c>
      <c r="D369" t="s">
        <v>37</v>
      </c>
      <c r="E369" t="s">
        <v>38</v>
      </c>
      <c r="F369" t="str">
        <f>CONCATENATE(Table1[[#This Row],[Product_Category]]," - ",Table1[[#This Row],[Product_Name]])</f>
        <v>Dresses - Casual Midi</v>
      </c>
      <c r="G369">
        <f>IF(H369="", AVERAGEIF(Table1[Product_Category],D369,$H$2:$H$474),H369)</f>
        <v>4</v>
      </c>
      <c r="H369">
        <v>4</v>
      </c>
      <c r="I369" s="2">
        <f t="shared" si="26"/>
        <v>2878.0747619047615</v>
      </c>
      <c r="K369">
        <f t="shared" si="27"/>
        <v>0</v>
      </c>
      <c r="M369" s="2">
        <f t="shared" si="28"/>
        <v>11512.299047619046</v>
      </c>
      <c r="N369">
        <v>0</v>
      </c>
      <c r="O369" t="s">
        <v>14</v>
      </c>
      <c r="P369" t="str">
        <f t="shared" si="29"/>
        <v>B2C</v>
      </c>
      <c r="Q369" t="s">
        <v>15</v>
      </c>
      <c r="R369">
        <v>475.79</v>
      </c>
    </row>
    <row r="370" spans="1:18" x14ac:dyDescent="0.3">
      <c r="A370">
        <v>1389</v>
      </c>
      <c r="B370" t="str">
        <f t="shared" si="25"/>
        <v>Barbara Jones</v>
      </c>
      <c r="C370" t="s">
        <v>440</v>
      </c>
      <c r="D370" t="s">
        <v>37</v>
      </c>
      <c r="E370" t="s">
        <v>62</v>
      </c>
      <c r="F370" t="str">
        <f>CONCATENATE(Table1[[#This Row],[Product_Category]]," - ",Table1[[#This Row],[Product_Name]])</f>
        <v>Dresses - Wrap Dress</v>
      </c>
      <c r="G370">
        <f>IF(H370="", AVERAGEIF(Table1[Product_Category],D370,$H$2:$H$474),H370)</f>
        <v>2</v>
      </c>
      <c r="H370">
        <v>2</v>
      </c>
      <c r="I370" s="2">
        <f t="shared" si="26"/>
        <v>2742.38</v>
      </c>
      <c r="J370">
        <v>2742.38</v>
      </c>
      <c r="K370">
        <f t="shared" si="27"/>
        <v>0</v>
      </c>
      <c r="M370" s="2">
        <f t="shared" si="28"/>
        <v>5484.76</v>
      </c>
      <c r="N370">
        <v>0</v>
      </c>
      <c r="O370" t="s">
        <v>17</v>
      </c>
      <c r="P370" t="str">
        <f t="shared" si="29"/>
        <v>B2C</v>
      </c>
      <c r="R370">
        <v>1987.46</v>
      </c>
    </row>
    <row r="371" spans="1:18" x14ac:dyDescent="0.3">
      <c r="A371">
        <v>1390</v>
      </c>
      <c r="B371" t="str">
        <f t="shared" si="25"/>
        <v>Randy Baker</v>
      </c>
      <c r="C371" t="s">
        <v>441</v>
      </c>
      <c r="D371" t="s">
        <v>12</v>
      </c>
      <c r="E371" t="s">
        <v>13</v>
      </c>
      <c r="F371" t="str">
        <f>CONCATENATE(Table1[[#This Row],[Product_Category]]," - ",Table1[[#This Row],[Product_Name]])</f>
        <v>Jeans - Slim Fit Jeans</v>
      </c>
      <c r="G371">
        <f>IF(H371="", AVERAGEIF(Table1[Product_Category],D371,$H$2:$H$474),H371)</f>
        <v>4</v>
      </c>
      <c r="H371">
        <v>4</v>
      </c>
      <c r="I371" s="2">
        <f t="shared" si="26"/>
        <v>2592.8782222222212</v>
      </c>
      <c r="K371">
        <f t="shared" si="27"/>
        <v>0</v>
      </c>
      <c r="M371" s="2">
        <f t="shared" si="28"/>
        <v>10371.512888888885</v>
      </c>
      <c r="N371">
        <v>0</v>
      </c>
      <c r="O371" t="s">
        <v>45</v>
      </c>
      <c r="P371" t="str">
        <f t="shared" si="29"/>
        <v>B2C</v>
      </c>
      <c r="R371">
        <v>1789.75</v>
      </c>
    </row>
    <row r="372" spans="1:18" x14ac:dyDescent="0.3">
      <c r="A372">
        <v>1391</v>
      </c>
      <c r="B372" t="str">
        <f t="shared" si="25"/>
        <v>James Collins</v>
      </c>
      <c r="C372" t="s">
        <v>442</v>
      </c>
      <c r="D372" t="s">
        <v>24</v>
      </c>
      <c r="E372" t="s">
        <v>65</v>
      </c>
      <c r="F372" t="str">
        <f>CONCATENATE(Table1[[#This Row],[Product_Category]]," - ",Table1[[#This Row],[Product_Name]])</f>
        <v>Shoes - Slip-ons</v>
      </c>
      <c r="G372">
        <f>IF(H372="", AVERAGEIF(Table1[Product_Category],D372,$H$2:$H$474),H372)</f>
        <v>0</v>
      </c>
      <c r="H372">
        <v>0</v>
      </c>
      <c r="I372" s="2">
        <f t="shared" si="26"/>
        <v>2213.79</v>
      </c>
      <c r="J372">
        <v>2213.79</v>
      </c>
      <c r="K372">
        <f t="shared" si="27"/>
        <v>0.01</v>
      </c>
      <c r="L372">
        <v>0.01</v>
      </c>
      <c r="M372" s="2">
        <f t="shared" si="28"/>
        <v>0</v>
      </c>
      <c r="N372">
        <v>0</v>
      </c>
      <c r="O372" t="s">
        <v>552</v>
      </c>
      <c r="P372" t="str">
        <f t="shared" si="29"/>
        <v>B2C</v>
      </c>
      <c r="R372">
        <v>418.24</v>
      </c>
    </row>
    <row r="373" spans="1:18" x14ac:dyDescent="0.3">
      <c r="A373">
        <v>1393</v>
      </c>
      <c r="B373" t="str">
        <f t="shared" si="25"/>
        <v>Christina Hernandez</v>
      </c>
      <c r="C373" t="s">
        <v>444</v>
      </c>
      <c r="D373" t="s">
        <v>19</v>
      </c>
      <c r="E373" t="s">
        <v>79</v>
      </c>
      <c r="F373" t="str">
        <f>CONCATENATE(Table1[[#This Row],[Product_Category]]," - ",Table1[[#This Row],[Product_Name]])</f>
        <v>Jackets - Bomber Jacket</v>
      </c>
      <c r="G373">
        <f>IF(H373="", AVERAGEIF(Table1[Product_Category],D373,$H$2:$H$474),H373)</f>
        <v>6</v>
      </c>
      <c r="H373">
        <v>6</v>
      </c>
      <c r="I373" s="2">
        <f t="shared" si="26"/>
        <v>2952.3559374999995</v>
      </c>
      <c r="K373">
        <f t="shared" si="27"/>
        <v>0</v>
      </c>
      <c r="M373" s="2">
        <f t="shared" si="28"/>
        <v>17714.135624999995</v>
      </c>
      <c r="N373">
        <v>0</v>
      </c>
      <c r="O373" t="s">
        <v>552</v>
      </c>
      <c r="P373" t="str">
        <f t="shared" si="29"/>
        <v>B2C</v>
      </c>
      <c r="Q373" t="s">
        <v>15</v>
      </c>
      <c r="R373">
        <v>2001.24</v>
      </c>
    </row>
    <row r="374" spans="1:18" x14ac:dyDescent="0.3">
      <c r="A374">
        <v>1394</v>
      </c>
      <c r="B374" t="str">
        <f t="shared" si="25"/>
        <v>Jody Larsen</v>
      </c>
      <c r="C374" t="s">
        <v>445</v>
      </c>
      <c r="D374" t="s">
        <v>19</v>
      </c>
      <c r="E374" t="s">
        <v>79</v>
      </c>
      <c r="F374" t="str">
        <f>CONCATENATE(Table1[[#This Row],[Product_Category]]," - ",Table1[[#This Row],[Product_Name]])</f>
        <v>Jackets - Bomber Jacket</v>
      </c>
      <c r="G374" s="2">
        <f>IF(H374="", AVERAGEIF(Table1[Product_Category],D374,$H$2:$H$474),H374)</f>
        <v>1.675</v>
      </c>
      <c r="I374" s="2">
        <f t="shared" si="26"/>
        <v>1218.6500000000001</v>
      </c>
      <c r="J374">
        <v>1218.6500000000001</v>
      </c>
      <c r="K374">
        <f t="shared" si="27"/>
        <v>0</v>
      </c>
      <c r="M374" s="2">
        <f t="shared" si="28"/>
        <v>2041.2387500000002</v>
      </c>
      <c r="N374">
        <v>0</v>
      </c>
      <c r="O374" t="s">
        <v>552</v>
      </c>
      <c r="P374" t="str">
        <f t="shared" si="29"/>
        <v>B2C</v>
      </c>
      <c r="Q374" t="s">
        <v>15</v>
      </c>
      <c r="R374">
        <v>2538.59</v>
      </c>
    </row>
    <row r="375" spans="1:18" x14ac:dyDescent="0.3">
      <c r="A375">
        <v>1395</v>
      </c>
      <c r="B375" t="str">
        <f t="shared" si="25"/>
        <v>Andrew Wood</v>
      </c>
      <c r="C375" t="s">
        <v>446</v>
      </c>
      <c r="D375" t="s">
        <v>37</v>
      </c>
      <c r="E375" t="s">
        <v>62</v>
      </c>
      <c r="F375" t="str">
        <f>CONCATENATE(Table1[[#This Row],[Product_Category]]," - ",Table1[[#This Row],[Product_Name]])</f>
        <v>Dresses - Wrap Dress</v>
      </c>
      <c r="G375" s="2">
        <f>IF(H375="", AVERAGEIF(Table1[Product_Category],D375,$H$2:$H$474),H375)</f>
        <v>2.0217391304347827</v>
      </c>
      <c r="I375" s="2">
        <f t="shared" si="26"/>
        <v>2878.0747619047615</v>
      </c>
      <c r="K375">
        <f t="shared" si="27"/>
        <v>0</v>
      </c>
      <c r="M375" s="2">
        <f t="shared" si="28"/>
        <v>5818.7163664596264</v>
      </c>
      <c r="N375">
        <v>0</v>
      </c>
      <c r="O375" t="s">
        <v>21</v>
      </c>
      <c r="P375" t="str">
        <f t="shared" si="29"/>
        <v>B2B</v>
      </c>
      <c r="Q375" t="s">
        <v>22</v>
      </c>
      <c r="R375">
        <v>-357.08</v>
      </c>
    </row>
    <row r="376" spans="1:18" x14ac:dyDescent="0.3">
      <c r="A376">
        <v>1396</v>
      </c>
      <c r="B376" t="str">
        <f t="shared" si="25"/>
        <v>James Rocha</v>
      </c>
      <c r="C376" t="s">
        <v>447</v>
      </c>
      <c r="D376" t="s">
        <v>12</v>
      </c>
      <c r="E376" t="s">
        <v>48</v>
      </c>
      <c r="F376" t="str">
        <f>CONCATENATE(Table1[[#This Row],[Product_Category]]," - ",Table1[[#This Row],[Product_Name]])</f>
        <v>Jeans - Straight Cut</v>
      </c>
      <c r="G376">
        <f>IF(H376="", AVERAGEIF(Table1[Product_Category],D376,$H$2:$H$474),H376)</f>
        <v>2</v>
      </c>
      <c r="H376">
        <v>2</v>
      </c>
      <c r="I376" s="2">
        <f t="shared" si="26"/>
        <v>3663.65</v>
      </c>
      <c r="J376">
        <v>3663.65</v>
      </c>
      <c r="K376">
        <f t="shared" si="27"/>
        <v>0.26</v>
      </c>
      <c r="L376">
        <v>0.26</v>
      </c>
      <c r="M376" s="2">
        <f t="shared" si="28"/>
        <v>5422.2020000000002</v>
      </c>
      <c r="N376">
        <v>5422.2</v>
      </c>
      <c r="O376" t="s">
        <v>17</v>
      </c>
      <c r="P376" t="str">
        <f t="shared" si="29"/>
        <v>B2B</v>
      </c>
      <c r="Q376" t="s">
        <v>22</v>
      </c>
      <c r="R376">
        <v>1553.44</v>
      </c>
    </row>
    <row r="377" spans="1:18" x14ac:dyDescent="0.3">
      <c r="A377">
        <v>1397</v>
      </c>
      <c r="B377" t="str">
        <f t="shared" si="25"/>
        <v>Rebekah Gonzalez</v>
      </c>
      <c r="C377" t="s">
        <v>448</v>
      </c>
      <c r="D377" t="s">
        <v>19</v>
      </c>
      <c r="E377" t="s">
        <v>121</v>
      </c>
      <c r="F377" t="str">
        <f>CONCATENATE(Table1[[#This Row],[Product_Category]]," - ",Table1[[#This Row],[Product_Name]])</f>
        <v>Jackets - Leather Jacket</v>
      </c>
      <c r="G377" s="2">
        <f>IF(H377="", AVERAGEIF(Table1[Product_Category],D377,$H$2:$H$474),H377)</f>
        <v>1.675</v>
      </c>
      <c r="I377" s="2">
        <f t="shared" si="26"/>
        <v>2952.3559374999995</v>
      </c>
      <c r="K377">
        <f t="shared" si="27"/>
        <v>0</v>
      </c>
      <c r="M377" s="2">
        <f t="shared" si="28"/>
        <v>4945.1961953124992</v>
      </c>
      <c r="N377">
        <v>0</v>
      </c>
      <c r="O377" t="s">
        <v>39</v>
      </c>
      <c r="P377" t="str">
        <f t="shared" si="29"/>
        <v>B2C</v>
      </c>
      <c r="Q377" t="s">
        <v>15</v>
      </c>
      <c r="R377">
        <v>1239.6199999999999</v>
      </c>
    </row>
    <row r="378" spans="1:18" x14ac:dyDescent="0.3">
      <c r="A378">
        <v>1398</v>
      </c>
      <c r="B378" t="str">
        <f t="shared" si="25"/>
        <v>Aaron Ruiz</v>
      </c>
      <c r="C378" t="s">
        <v>449</v>
      </c>
      <c r="D378" t="s">
        <v>37</v>
      </c>
      <c r="E378" t="s">
        <v>38</v>
      </c>
      <c r="F378" t="str">
        <f>CONCATENATE(Table1[[#This Row],[Product_Category]]," - ",Table1[[#This Row],[Product_Name]])</f>
        <v>Dresses - Casual Midi</v>
      </c>
      <c r="G378" s="2">
        <f>IF(H378="", AVERAGEIF(Table1[Product_Category],D378,$H$2:$H$474),H378)</f>
        <v>2.0217391304347827</v>
      </c>
      <c r="I378" s="2">
        <f t="shared" si="26"/>
        <v>2878.0747619047615</v>
      </c>
      <c r="K378">
        <f t="shared" si="27"/>
        <v>0</v>
      </c>
      <c r="M378" s="2">
        <f t="shared" si="28"/>
        <v>5818.7163664596264</v>
      </c>
      <c r="N378">
        <v>0</v>
      </c>
      <c r="O378" t="s">
        <v>552</v>
      </c>
      <c r="P378" t="str">
        <f t="shared" si="29"/>
        <v>B2C</v>
      </c>
      <c r="R378">
        <v>-43.7</v>
      </c>
    </row>
    <row r="379" spans="1:18" x14ac:dyDescent="0.3">
      <c r="A379">
        <v>1399</v>
      </c>
      <c r="B379" t="str">
        <f t="shared" si="25"/>
        <v>Olivia Lee</v>
      </c>
      <c r="C379" t="s">
        <v>450</v>
      </c>
      <c r="D379" t="s">
        <v>19</v>
      </c>
      <c r="E379" t="s">
        <v>87</v>
      </c>
      <c r="F379" t="str">
        <f>CONCATENATE(Table1[[#This Row],[Product_Category]]," - ",Table1[[#This Row],[Product_Name]])</f>
        <v>Jackets - Denim Jacket</v>
      </c>
      <c r="G379">
        <f>IF(H379="", AVERAGEIF(Table1[Product_Category],D379,$H$2:$H$474),H379)</f>
        <v>4</v>
      </c>
      <c r="H379">
        <v>4</v>
      </c>
      <c r="I379" s="2">
        <f t="shared" si="26"/>
        <v>2952.3559374999995</v>
      </c>
      <c r="K379">
        <f t="shared" si="27"/>
        <v>0.35</v>
      </c>
      <c r="L379">
        <v>0.35</v>
      </c>
      <c r="M379" s="2">
        <f t="shared" si="28"/>
        <v>7676.125437499999</v>
      </c>
      <c r="N379">
        <v>0</v>
      </c>
      <c r="O379" t="s">
        <v>14</v>
      </c>
      <c r="P379" t="str">
        <f t="shared" si="29"/>
        <v>B2C</v>
      </c>
      <c r="Q379" t="s">
        <v>15</v>
      </c>
      <c r="R379">
        <v>-444.08</v>
      </c>
    </row>
    <row r="380" spans="1:18" x14ac:dyDescent="0.3">
      <c r="A380">
        <v>1400</v>
      </c>
      <c r="B380" t="str">
        <f t="shared" si="25"/>
        <v>John Carr</v>
      </c>
      <c r="C380" t="s">
        <v>451</v>
      </c>
      <c r="D380" t="s">
        <v>32</v>
      </c>
      <c r="E380" t="s">
        <v>71</v>
      </c>
      <c r="F380" t="str">
        <f>CONCATENATE(Table1[[#This Row],[Product_Category]]," - ",Table1[[#This Row],[Product_Name]])</f>
        <v>T-Shirts - Classic Tee</v>
      </c>
      <c r="G380" s="2">
        <f>IF(H380="", AVERAGEIF(Table1[Product_Category],D380,$H$2:$H$474),H380)</f>
        <v>1.5813953488372092</v>
      </c>
      <c r="I380" s="2">
        <f t="shared" si="26"/>
        <v>2715.2732432432431</v>
      </c>
      <c r="K380">
        <f t="shared" si="27"/>
        <v>0</v>
      </c>
      <c r="M380" s="2">
        <f t="shared" si="28"/>
        <v>4293.9204776869892</v>
      </c>
      <c r="N380">
        <v>0</v>
      </c>
      <c r="O380" t="s">
        <v>14</v>
      </c>
      <c r="P380" t="str">
        <f t="shared" si="29"/>
        <v>B2C</v>
      </c>
      <c r="R380">
        <v>1385.55</v>
      </c>
    </row>
    <row r="381" spans="1:18" x14ac:dyDescent="0.3">
      <c r="A381">
        <v>1401</v>
      </c>
      <c r="B381" t="str">
        <f t="shared" si="25"/>
        <v>Daniel Wilson</v>
      </c>
      <c r="C381" t="s">
        <v>452</v>
      </c>
      <c r="D381" t="s">
        <v>32</v>
      </c>
      <c r="E381" t="s">
        <v>71</v>
      </c>
      <c r="F381" t="str">
        <f>CONCATENATE(Table1[[#This Row],[Product_Category]]," - ",Table1[[#This Row],[Product_Name]])</f>
        <v>T-Shirts - Classic Tee</v>
      </c>
      <c r="G381">
        <f>IF(H381="", AVERAGEIF(Table1[Product_Category],D381,$H$2:$H$474),H381)</f>
        <v>-2</v>
      </c>
      <c r="H381">
        <v>-2</v>
      </c>
      <c r="I381" s="2">
        <f t="shared" si="26"/>
        <v>2715.2732432432431</v>
      </c>
      <c r="K381">
        <f t="shared" si="27"/>
        <v>0</v>
      </c>
      <c r="M381" s="2">
        <f t="shared" si="28"/>
        <v>-5430.5464864864862</v>
      </c>
      <c r="N381">
        <v>0</v>
      </c>
      <c r="O381" t="s">
        <v>552</v>
      </c>
      <c r="P381" t="str">
        <f t="shared" si="29"/>
        <v>B2C</v>
      </c>
      <c r="R381">
        <v>-751.05</v>
      </c>
    </row>
    <row r="382" spans="1:18" x14ac:dyDescent="0.3">
      <c r="A382">
        <v>1402</v>
      </c>
      <c r="B382" t="str">
        <f t="shared" si="25"/>
        <v>Daniel Hernandez Jr.</v>
      </c>
      <c r="C382" t="s">
        <v>453</v>
      </c>
      <c r="D382" t="s">
        <v>28</v>
      </c>
      <c r="E382" t="s">
        <v>119</v>
      </c>
      <c r="F382" t="str">
        <f>CONCATENATE(Table1[[#This Row],[Product_Category]]," - ",Table1[[#This Row],[Product_Name]])</f>
        <v>Accessories - Watches</v>
      </c>
      <c r="G382" s="2">
        <f>IF(H382="", AVERAGEIF(Table1[Product_Category],D382,$H$2:$H$474),H382)</f>
        <v>2.5249999999999999</v>
      </c>
      <c r="I382" s="2">
        <f t="shared" si="26"/>
        <v>603.51</v>
      </c>
      <c r="J382">
        <v>603.51</v>
      </c>
      <c r="K382">
        <f t="shared" si="27"/>
        <v>1.23</v>
      </c>
      <c r="L382">
        <v>1.23</v>
      </c>
      <c r="M382" s="2">
        <f t="shared" si="28"/>
        <v>-350.48843249999999</v>
      </c>
      <c r="N382">
        <v>0</v>
      </c>
      <c r="O382" t="s">
        <v>552</v>
      </c>
      <c r="P382" t="str">
        <f t="shared" si="29"/>
        <v>B2C</v>
      </c>
      <c r="Q382" t="s">
        <v>15</v>
      </c>
      <c r="R382">
        <v>982.01</v>
      </c>
    </row>
    <row r="383" spans="1:18" x14ac:dyDescent="0.3">
      <c r="A383">
        <v>1403</v>
      </c>
      <c r="B383" t="str">
        <f t="shared" si="25"/>
        <v>John Clark</v>
      </c>
      <c r="C383" t="s">
        <v>454</v>
      </c>
      <c r="D383" t="s">
        <v>32</v>
      </c>
      <c r="E383" t="s">
        <v>33</v>
      </c>
      <c r="F383" t="str">
        <f>CONCATENATE(Table1[[#This Row],[Product_Category]]," - ",Table1[[#This Row],[Product_Name]])</f>
        <v>T-Shirts - Crop Top</v>
      </c>
      <c r="G383" s="2">
        <f>IF(H383="", AVERAGEIF(Table1[Product_Category],D383,$H$2:$H$474),H383)</f>
        <v>1.5813953488372092</v>
      </c>
      <c r="I383" s="2">
        <f t="shared" si="26"/>
        <v>2715.2732432432431</v>
      </c>
      <c r="K383">
        <f t="shared" si="27"/>
        <v>0</v>
      </c>
      <c r="M383" s="2">
        <f t="shared" si="28"/>
        <v>4293.9204776869892</v>
      </c>
      <c r="N383">
        <v>0</v>
      </c>
      <c r="O383" t="s">
        <v>552</v>
      </c>
      <c r="P383" t="str">
        <f t="shared" si="29"/>
        <v>B2C</v>
      </c>
      <c r="R383">
        <v>2210.0700000000002</v>
      </c>
    </row>
    <row r="384" spans="1:18" x14ac:dyDescent="0.3">
      <c r="A384">
        <v>1404</v>
      </c>
      <c r="B384" t="str">
        <f t="shared" si="25"/>
        <v>Hannah Martin</v>
      </c>
      <c r="C384" t="s">
        <v>455</v>
      </c>
      <c r="D384" t="s">
        <v>28</v>
      </c>
      <c r="E384" t="s">
        <v>119</v>
      </c>
      <c r="F384" t="str">
        <f>CONCATENATE(Table1[[#This Row],[Product_Category]]," - ",Table1[[#This Row],[Product_Name]])</f>
        <v>Accessories - Watches</v>
      </c>
      <c r="G384" s="2">
        <f>IF(H384="", AVERAGEIF(Table1[Product_Category],D384,$H$2:$H$474),H384)</f>
        <v>2.5249999999999999</v>
      </c>
      <c r="I384" s="2">
        <f t="shared" si="26"/>
        <v>3074.59</v>
      </c>
      <c r="J384">
        <v>3074.59</v>
      </c>
      <c r="K384">
        <f t="shared" si="27"/>
        <v>0</v>
      </c>
      <c r="M384" s="2">
        <f t="shared" si="28"/>
        <v>7763.3397500000001</v>
      </c>
      <c r="N384">
        <v>0</v>
      </c>
      <c r="O384" t="s">
        <v>39</v>
      </c>
      <c r="P384" t="str">
        <f t="shared" si="29"/>
        <v>B2C</v>
      </c>
      <c r="Q384" t="s">
        <v>15</v>
      </c>
      <c r="R384">
        <v>1979.07</v>
      </c>
    </row>
    <row r="385" spans="1:18" x14ac:dyDescent="0.3">
      <c r="A385">
        <v>1405</v>
      </c>
      <c r="B385" t="str">
        <f t="shared" si="25"/>
        <v>Alyssa Ramirez</v>
      </c>
      <c r="C385" t="s">
        <v>456</v>
      </c>
      <c r="D385" t="s">
        <v>37</v>
      </c>
      <c r="E385" t="s">
        <v>58</v>
      </c>
      <c r="F385" t="str">
        <f>CONCATENATE(Table1[[#This Row],[Product_Category]]," - ",Table1[[#This Row],[Product_Name]])</f>
        <v>Dresses - Maxi Dress</v>
      </c>
      <c r="G385" s="2">
        <f>IF(H385="", AVERAGEIF(Table1[Product_Category],D385,$H$2:$H$474),H385)</f>
        <v>2.0217391304347827</v>
      </c>
      <c r="I385" s="2">
        <f t="shared" si="26"/>
        <v>2878.0747619047615</v>
      </c>
      <c r="K385">
        <f t="shared" si="27"/>
        <v>0.56000000000000005</v>
      </c>
      <c r="L385">
        <v>0.56000000000000005</v>
      </c>
      <c r="M385" s="2">
        <f t="shared" si="28"/>
        <v>2560.2352012422352</v>
      </c>
      <c r="N385">
        <v>0</v>
      </c>
      <c r="O385" t="s">
        <v>21</v>
      </c>
      <c r="P385" t="str">
        <f t="shared" si="29"/>
        <v>B2C</v>
      </c>
      <c r="Q385" t="s">
        <v>15</v>
      </c>
      <c r="R385">
        <v>2345.6799999999998</v>
      </c>
    </row>
    <row r="386" spans="1:18" x14ac:dyDescent="0.3">
      <c r="A386">
        <v>1406</v>
      </c>
      <c r="B386" t="str">
        <f t="shared" ref="B386:B449" si="30">TRIM(SUBSTITUTE(SUBSTITUTE(SUBSTITUTE(SUBSTITUTE(C386,"Dr. ",""),"Mrs. ",""),"Mr. ",""),"Ms. ",""))</f>
        <v>Alan Johnson</v>
      </c>
      <c r="C386" t="s">
        <v>457</v>
      </c>
      <c r="D386" t="s">
        <v>37</v>
      </c>
      <c r="E386" t="s">
        <v>58</v>
      </c>
      <c r="F386" t="str">
        <f>CONCATENATE(Table1[[#This Row],[Product_Category]]," - ",Table1[[#This Row],[Product_Name]])</f>
        <v>Dresses - Maxi Dress</v>
      </c>
      <c r="G386" s="2">
        <f>IF(H386="", AVERAGEIF(Table1[Product_Category],D386,$H$2:$H$474),H386)</f>
        <v>2.0217391304347827</v>
      </c>
      <c r="I386" s="2">
        <f t="shared" ref="I386:I449" si="31">IF(J386="",AVERAGEIF($D$2:$D$474,D386,$J$2:$J$474),J386)</f>
        <v>2878.0747619047615</v>
      </c>
      <c r="K386">
        <f t="shared" ref="K386:K449" si="32">IF(AND(ISBLANK(L386),I386&gt;0,G386&gt;0,N386&gt;0), 1-(N386/(G386*I386)), L386)</f>
        <v>0</v>
      </c>
      <c r="M386" s="2">
        <f t="shared" ref="M386:M449" si="33">G386*I386*(1-K386)</f>
        <v>5818.7163664596264</v>
      </c>
      <c r="N386">
        <v>0</v>
      </c>
      <c r="O386" t="s">
        <v>39</v>
      </c>
      <c r="P386" t="str">
        <f t="shared" ref="P386:P449" si="34">IF(Q386="",IF(O386="Ahmedabad","B2C",IF(O386="Bangalore","B2C",IF(O386="Hyderabad","B2B",IF(O386="Mumbai","B2C","B2C")))),Q386)</f>
        <v>B2C</v>
      </c>
      <c r="R386">
        <v>-863.17</v>
      </c>
    </row>
    <row r="387" spans="1:18" x14ac:dyDescent="0.3">
      <c r="A387">
        <v>1407</v>
      </c>
      <c r="B387" t="str">
        <f t="shared" si="30"/>
        <v>Joseph Freeman</v>
      </c>
      <c r="C387" t="s">
        <v>458</v>
      </c>
      <c r="D387" t="s">
        <v>32</v>
      </c>
      <c r="E387" t="s">
        <v>81</v>
      </c>
      <c r="F387" t="str">
        <f>CONCATENATE(Table1[[#This Row],[Product_Category]]," - ",Table1[[#This Row],[Product_Name]])</f>
        <v>T-Shirts - Graphic Tee</v>
      </c>
      <c r="G387" s="2">
        <f>IF(H387="", AVERAGEIF(Table1[Product_Category],D387,$H$2:$H$474),H387)</f>
        <v>1.5813953488372092</v>
      </c>
      <c r="I387" s="2">
        <f t="shared" si="31"/>
        <v>4977.8100000000004</v>
      </c>
      <c r="J387">
        <v>4977.8100000000004</v>
      </c>
      <c r="K387">
        <f t="shared" si="32"/>
        <v>0</v>
      </c>
      <c r="M387" s="2">
        <f t="shared" si="33"/>
        <v>7871.8855813953487</v>
      </c>
      <c r="N387">
        <v>0</v>
      </c>
      <c r="O387" t="s">
        <v>17</v>
      </c>
      <c r="P387" t="str">
        <f t="shared" si="34"/>
        <v>B2B</v>
      </c>
      <c r="Q387" t="s">
        <v>22</v>
      </c>
      <c r="R387">
        <v>2041.12</v>
      </c>
    </row>
    <row r="388" spans="1:18" x14ac:dyDescent="0.3">
      <c r="A388">
        <v>1408</v>
      </c>
      <c r="B388" t="str">
        <f t="shared" si="30"/>
        <v>William Golden</v>
      </c>
      <c r="C388" t="s">
        <v>459</v>
      </c>
      <c r="D388" t="s">
        <v>24</v>
      </c>
      <c r="E388" t="s">
        <v>85</v>
      </c>
      <c r="F388" t="str">
        <f>CONCATENATE(Table1[[#This Row],[Product_Category]]," - ",Table1[[#This Row],[Product_Name]])</f>
        <v>Shoes - Boots</v>
      </c>
      <c r="G388" s="2">
        <f>IF(H388="", AVERAGEIF(Table1[Product_Category],D388,$H$2:$H$474),H388)</f>
        <v>1.5517241379310345</v>
      </c>
      <c r="I388" s="2">
        <f t="shared" si="31"/>
        <v>2676.5783333333325</v>
      </c>
      <c r="K388">
        <f t="shared" si="32"/>
        <v>0</v>
      </c>
      <c r="M388" s="2">
        <f t="shared" si="33"/>
        <v>4153.3112068965502</v>
      </c>
      <c r="N388">
        <v>0</v>
      </c>
      <c r="O388" t="s">
        <v>21</v>
      </c>
      <c r="P388" t="str">
        <f t="shared" si="34"/>
        <v>B2B</v>
      </c>
      <c r="Q388" t="s">
        <v>22</v>
      </c>
      <c r="R388">
        <v>2305.3200000000002</v>
      </c>
    </row>
    <row r="389" spans="1:18" x14ac:dyDescent="0.3">
      <c r="A389">
        <v>1409</v>
      </c>
      <c r="B389" t="str">
        <f t="shared" si="30"/>
        <v>Heather Cross</v>
      </c>
      <c r="C389" t="s">
        <v>460</v>
      </c>
      <c r="D389" t="s">
        <v>28</v>
      </c>
      <c r="E389" t="s">
        <v>140</v>
      </c>
      <c r="F389" t="str">
        <f>CONCATENATE(Table1[[#This Row],[Product_Category]]," - ",Table1[[#This Row],[Product_Name]])</f>
        <v>Accessories - Caps</v>
      </c>
      <c r="G389">
        <f>IF(H389="", AVERAGEIF(Table1[Product_Category],D389,$H$2:$H$474),H389)</f>
        <v>6</v>
      </c>
      <c r="H389">
        <v>6</v>
      </c>
      <c r="I389" s="2">
        <f t="shared" si="31"/>
        <v>2755.6936585365856</v>
      </c>
      <c r="K389">
        <f t="shared" si="32"/>
        <v>0</v>
      </c>
      <c r="M389" s="2">
        <f t="shared" si="33"/>
        <v>16534.161951219514</v>
      </c>
      <c r="N389">
        <v>0</v>
      </c>
      <c r="O389" t="s">
        <v>45</v>
      </c>
      <c r="P389" t="str">
        <f t="shared" si="34"/>
        <v>B2C</v>
      </c>
      <c r="Q389" t="s">
        <v>15</v>
      </c>
      <c r="R389">
        <v>-941.44</v>
      </c>
    </row>
    <row r="390" spans="1:18" x14ac:dyDescent="0.3">
      <c r="A390">
        <v>1410</v>
      </c>
      <c r="B390" t="str">
        <f t="shared" si="30"/>
        <v>Dawn Caldwell</v>
      </c>
      <c r="C390" t="s">
        <v>461</v>
      </c>
      <c r="D390" t="s">
        <v>12</v>
      </c>
      <c r="E390" t="s">
        <v>101</v>
      </c>
      <c r="F390" t="str">
        <f>CONCATENATE(Table1[[#This Row],[Product_Category]]," - ",Table1[[#This Row],[Product_Name]])</f>
        <v>Jeans - Ripped Denim</v>
      </c>
      <c r="G390">
        <f>IF(H390="", AVERAGEIF(Table1[Product_Category],D390,$H$2:$H$474),H390)</f>
        <v>6</v>
      </c>
      <c r="H390">
        <v>6</v>
      </c>
      <c r="I390" s="2">
        <f t="shared" si="31"/>
        <v>4445.8100000000004</v>
      </c>
      <c r="J390">
        <v>4445.8100000000004</v>
      </c>
      <c r="K390">
        <f t="shared" si="32"/>
        <v>0</v>
      </c>
      <c r="M390" s="2">
        <f t="shared" si="33"/>
        <v>26674.86</v>
      </c>
      <c r="N390">
        <v>0</v>
      </c>
      <c r="O390" t="s">
        <v>14</v>
      </c>
      <c r="P390" t="str">
        <f t="shared" si="34"/>
        <v>B2C</v>
      </c>
      <c r="R390">
        <v>-654.59</v>
      </c>
    </row>
    <row r="391" spans="1:18" x14ac:dyDescent="0.3">
      <c r="A391">
        <v>1411</v>
      </c>
      <c r="B391" t="str">
        <f t="shared" si="30"/>
        <v>Michael Bond</v>
      </c>
      <c r="C391" t="s">
        <v>462</v>
      </c>
      <c r="D391" t="s">
        <v>37</v>
      </c>
      <c r="E391" t="s">
        <v>62</v>
      </c>
      <c r="F391" t="str">
        <f>CONCATENATE(Table1[[#This Row],[Product_Category]]," - ",Table1[[#This Row],[Product_Name]])</f>
        <v>Dresses - Wrap Dress</v>
      </c>
      <c r="G391" s="2">
        <f>IF(H391="", AVERAGEIF(Table1[Product_Category],D391,$H$2:$H$474),H391)</f>
        <v>2.0217391304347827</v>
      </c>
      <c r="I391" s="2">
        <f t="shared" si="31"/>
        <v>4946.7700000000004</v>
      </c>
      <c r="J391">
        <v>4946.7700000000004</v>
      </c>
      <c r="K391">
        <f t="shared" si="32"/>
        <v>0</v>
      </c>
      <c r="M391" s="2">
        <f t="shared" si="33"/>
        <v>10001.078478260872</v>
      </c>
      <c r="N391">
        <v>0</v>
      </c>
      <c r="O391" t="s">
        <v>21</v>
      </c>
      <c r="P391" t="str">
        <f t="shared" si="34"/>
        <v>B2C</v>
      </c>
      <c r="R391">
        <v>1520.19</v>
      </c>
    </row>
    <row r="392" spans="1:18" x14ac:dyDescent="0.3">
      <c r="A392">
        <v>1412</v>
      </c>
      <c r="B392" t="str">
        <f t="shared" si="30"/>
        <v>Luis Mcdaniel</v>
      </c>
      <c r="C392" t="s">
        <v>463</v>
      </c>
      <c r="D392" t="s">
        <v>24</v>
      </c>
      <c r="E392" t="s">
        <v>65</v>
      </c>
      <c r="F392" t="str">
        <f>CONCATENATE(Table1[[#This Row],[Product_Category]]," - ",Table1[[#This Row],[Product_Name]])</f>
        <v>Shoes - Slip-ons</v>
      </c>
      <c r="G392" s="2">
        <f>IF(H392="", AVERAGEIF(Table1[Product_Category],D392,$H$2:$H$474),H392)</f>
        <v>1.5517241379310345</v>
      </c>
      <c r="I392" s="2">
        <f t="shared" si="31"/>
        <v>2676.5783333333325</v>
      </c>
      <c r="K392">
        <f t="shared" si="32"/>
        <v>0</v>
      </c>
      <c r="M392" s="2">
        <f t="shared" si="33"/>
        <v>4153.3112068965502</v>
      </c>
      <c r="N392">
        <v>0</v>
      </c>
      <c r="O392" t="s">
        <v>552</v>
      </c>
      <c r="P392" t="str">
        <f t="shared" si="34"/>
        <v>B2C</v>
      </c>
      <c r="Q392" t="s">
        <v>15</v>
      </c>
      <c r="R392">
        <v>2314.9299999999998</v>
      </c>
    </row>
    <row r="393" spans="1:18" x14ac:dyDescent="0.3">
      <c r="A393">
        <v>1413</v>
      </c>
      <c r="B393" t="str">
        <f t="shared" si="30"/>
        <v>Michael Harris</v>
      </c>
      <c r="C393" t="s">
        <v>464</v>
      </c>
      <c r="D393" t="s">
        <v>37</v>
      </c>
      <c r="E393" t="s">
        <v>58</v>
      </c>
      <c r="F393" t="str">
        <f>CONCATENATE(Table1[[#This Row],[Product_Category]]," - ",Table1[[#This Row],[Product_Name]])</f>
        <v>Dresses - Maxi Dress</v>
      </c>
      <c r="G393">
        <f>IF(H393="", AVERAGEIF(Table1[Product_Category],D393,$H$2:$H$474),H393)</f>
        <v>1</v>
      </c>
      <c r="H393">
        <v>1</v>
      </c>
      <c r="I393" s="2">
        <f t="shared" si="31"/>
        <v>2878.0747619047615</v>
      </c>
      <c r="K393">
        <f t="shared" si="32"/>
        <v>0.17</v>
      </c>
      <c r="L393">
        <v>0.17</v>
      </c>
      <c r="M393" s="2">
        <f t="shared" si="33"/>
        <v>2388.8020523809519</v>
      </c>
      <c r="N393">
        <v>0</v>
      </c>
      <c r="O393" t="s">
        <v>17</v>
      </c>
      <c r="P393" t="str">
        <f t="shared" si="34"/>
        <v>B2C</v>
      </c>
      <c r="Q393" t="s">
        <v>15</v>
      </c>
      <c r="R393">
        <v>1539.28</v>
      </c>
    </row>
    <row r="394" spans="1:18" x14ac:dyDescent="0.3">
      <c r="A394">
        <v>1414</v>
      </c>
      <c r="B394" t="str">
        <f t="shared" si="30"/>
        <v>Elizabeth Buchanan</v>
      </c>
      <c r="C394" t="s">
        <v>465</v>
      </c>
      <c r="D394" t="s">
        <v>32</v>
      </c>
      <c r="E394" t="s">
        <v>43</v>
      </c>
      <c r="F394" t="str">
        <f>CONCATENATE(Table1[[#This Row],[Product_Category]]," - ",Table1[[#This Row],[Product_Name]])</f>
        <v>T-Shirts - Oversized T-shirt</v>
      </c>
      <c r="G394" s="2">
        <f>IF(H394="", AVERAGEIF(Table1[Product_Category],D394,$H$2:$H$474),H394)</f>
        <v>1.5813953488372092</v>
      </c>
      <c r="I394" s="2">
        <f t="shared" si="31"/>
        <v>2715.2732432432431</v>
      </c>
      <c r="K394">
        <f t="shared" si="32"/>
        <v>0</v>
      </c>
      <c r="M394" s="2">
        <f t="shared" si="33"/>
        <v>4293.9204776869892</v>
      </c>
      <c r="N394">
        <v>0</v>
      </c>
      <c r="O394" t="s">
        <v>17</v>
      </c>
      <c r="P394" t="str">
        <f t="shared" si="34"/>
        <v>B2C</v>
      </c>
      <c r="R394">
        <v>2843.55</v>
      </c>
    </row>
    <row r="395" spans="1:18" x14ac:dyDescent="0.3">
      <c r="A395">
        <v>1415</v>
      </c>
      <c r="B395" t="str">
        <f t="shared" si="30"/>
        <v>Sydney Travis</v>
      </c>
      <c r="C395" t="s">
        <v>466</v>
      </c>
      <c r="D395" t="s">
        <v>19</v>
      </c>
      <c r="E395" t="s">
        <v>20</v>
      </c>
      <c r="F395" t="str">
        <f>CONCATENATE(Table1[[#This Row],[Product_Category]]," - ",Table1[[#This Row],[Product_Name]])</f>
        <v>Jackets - Puffer Coat</v>
      </c>
      <c r="G395" s="2">
        <f>IF(H395="", AVERAGEIF(Table1[Product_Category],D395,$H$2:$H$474),H395)</f>
        <v>1.675</v>
      </c>
      <c r="I395" s="2">
        <f t="shared" si="31"/>
        <v>3149</v>
      </c>
      <c r="J395">
        <v>3149</v>
      </c>
      <c r="K395">
        <f t="shared" si="32"/>
        <v>0</v>
      </c>
      <c r="M395" s="2">
        <f t="shared" si="33"/>
        <v>5274.5749999999998</v>
      </c>
      <c r="N395">
        <v>0</v>
      </c>
      <c r="O395" t="s">
        <v>39</v>
      </c>
      <c r="P395" t="str">
        <f t="shared" si="34"/>
        <v>B2C</v>
      </c>
      <c r="R395">
        <v>2661.23</v>
      </c>
    </row>
    <row r="396" spans="1:18" x14ac:dyDescent="0.3">
      <c r="A396">
        <v>1416</v>
      </c>
      <c r="B396" t="str">
        <f t="shared" si="30"/>
        <v>Joshua Johnson</v>
      </c>
      <c r="C396" t="s">
        <v>467</v>
      </c>
      <c r="D396" t="s">
        <v>28</v>
      </c>
      <c r="E396" t="s">
        <v>119</v>
      </c>
      <c r="F396" t="str">
        <f>CONCATENATE(Table1[[#This Row],[Product_Category]]," - ",Table1[[#This Row],[Product_Name]])</f>
        <v>Accessories - Watches</v>
      </c>
      <c r="G396" s="2">
        <f>IF(H396="", AVERAGEIF(Table1[Product_Category],D396,$H$2:$H$474),H396)</f>
        <v>2.5249999999999999</v>
      </c>
      <c r="I396" s="2">
        <f t="shared" si="31"/>
        <v>3527.15</v>
      </c>
      <c r="J396">
        <v>3527.15</v>
      </c>
      <c r="K396">
        <f t="shared" si="32"/>
        <v>0</v>
      </c>
      <c r="M396" s="2">
        <f t="shared" si="33"/>
        <v>8906.0537499999991</v>
      </c>
      <c r="N396">
        <v>0</v>
      </c>
      <c r="O396" t="s">
        <v>552</v>
      </c>
      <c r="P396" t="str">
        <f t="shared" si="34"/>
        <v>B2C</v>
      </c>
      <c r="R396">
        <v>2286.48</v>
      </c>
    </row>
    <row r="397" spans="1:18" x14ac:dyDescent="0.3">
      <c r="A397">
        <v>1417</v>
      </c>
      <c r="B397" t="str">
        <f t="shared" si="30"/>
        <v>Nicholas Harrell</v>
      </c>
      <c r="C397" t="s">
        <v>468</v>
      </c>
      <c r="D397" t="s">
        <v>37</v>
      </c>
      <c r="E397" t="s">
        <v>62</v>
      </c>
      <c r="F397" t="str">
        <f>CONCATENATE(Table1[[#This Row],[Product_Category]]," - ",Table1[[#This Row],[Product_Name]])</f>
        <v>Dresses - Wrap Dress</v>
      </c>
      <c r="G397" s="2">
        <f>IF(H397="", AVERAGEIF(Table1[Product_Category],D397,$H$2:$H$474),H397)</f>
        <v>2.0217391304347827</v>
      </c>
      <c r="I397" s="2">
        <f t="shared" si="31"/>
        <v>2878.0747619047615</v>
      </c>
      <c r="K397">
        <f t="shared" si="32"/>
        <v>0</v>
      </c>
      <c r="M397" s="2">
        <f t="shared" si="33"/>
        <v>5818.7163664596264</v>
      </c>
      <c r="N397">
        <v>0</v>
      </c>
      <c r="O397" t="s">
        <v>39</v>
      </c>
      <c r="P397" t="str">
        <f t="shared" si="34"/>
        <v>B2B</v>
      </c>
      <c r="Q397" t="s">
        <v>22</v>
      </c>
      <c r="R397">
        <v>888.59</v>
      </c>
    </row>
    <row r="398" spans="1:18" x14ac:dyDescent="0.3">
      <c r="A398">
        <v>1418</v>
      </c>
      <c r="B398" t="str">
        <f t="shared" si="30"/>
        <v>Christopher Anderson</v>
      </c>
      <c r="C398" t="s">
        <v>469</v>
      </c>
      <c r="D398" t="s">
        <v>37</v>
      </c>
      <c r="E398" t="s">
        <v>90</v>
      </c>
      <c r="F398" t="str">
        <f>CONCATENATE(Table1[[#This Row],[Product_Category]]," - ",Table1[[#This Row],[Product_Name]])</f>
        <v>Dresses - Bodycon</v>
      </c>
      <c r="G398" s="2">
        <f>IF(H398="", AVERAGEIF(Table1[Product_Category],D398,$H$2:$H$474),H398)</f>
        <v>2.0217391304347827</v>
      </c>
      <c r="I398" s="2">
        <f t="shared" si="31"/>
        <v>2878.0747619047615</v>
      </c>
      <c r="K398">
        <f t="shared" si="32"/>
        <v>0.13</v>
      </c>
      <c r="L398">
        <v>0.13</v>
      </c>
      <c r="M398" s="2">
        <f t="shared" si="33"/>
        <v>5062.2832388198749</v>
      </c>
      <c r="N398">
        <v>0</v>
      </c>
      <c r="O398" t="s">
        <v>39</v>
      </c>
      <c r="P398" t="str">
        <f t="shared" si="34"/>
        <v>B2B</v>
      </c>
      <c r="Q398" t="s">
        <v>22</v>
      </c>
      <c r="R398">
        <v>1403.76</v>
      </c>
    </row>
    <row r="399" spans="1:18" x14ac:dyDescent="0.3">
      <c r="A399">
        <v>1419</v>
      </c>
      <c r="B399" t="str">
        <f t="shared" si="30"/>
        <v>Brittney Rivera</v>
      </c>
      <c r="C399" t="s">
        <v>470</v>
      </c>
      <c r="D399" t="s">
        <v>19</v>
      </c>
      <c r="E399" t="s">
        <v>79</v>
      </c>
      <c r="F399" t="str">
        <f>CONCATENATE(Table1[[#This Row],[Product_Category]]," - ",Table1[[#This Row],[Product_Name]])</f>
        <v>Jackets - Bomber Jacket</v>
      </c>
      <c r="G399">
        <f>IF(H399="", AVERAGEIF(Table1[Product_Category],D399,$H$2:$H$474),H399)</f>
        <v>2</v>
      </c>
      <c r="H399">
        <v>2</v>
      </c>
      <c r="I399" s="2">
        <f t="shared" si="31"/>
        <v>2952.3559374999995</v>
      </c>
      <c r="K399">
        <f t="shared" si="32"/>
        <v>0</v>
      </c>
      <c r="M399" s="2">
        <f t="shared" si="33"/>
        <v>5904.7118749999991</v>
      </c>
      <c r="N399">
        <v>0</v>
      </c>
      <c r="O399" t="s">
        <v>552</v>
      </c>
      <c r="P399" t="str">
        <f t="shared" si="34"/>
        <v>B2B</v>
      </c>
      <c r="Q399" t="s">
        <v>22</v>
      </c>
      <c r="R399">
        <v>-565.16999999999996</v>
      </c>
    </row>
    <row r="400" spans="1:18" x14ac:dyDescent="0.3">
      <c r="A400">
        <v>1420</v>
      </c>
      <c r="B400" t="str">
        <f t="shared" si="30"/>
        <v>James Patterson</v>
      </c>
      <c r="C400" t="s">
        <v>471</v>
      </c>
      <c r="D400" t="s">
        <v>24</v>
      </c>
      <c r="E400" t="s">
        <v>25</v>
      </c>
      <c r="F400" t="str">
        <f>CONCATENATE(Table1[[#This Row],[Product_Category]]," - ",Table1[[#This Row],[Product_Name]])</f>
        <v>Shoes - Loafers</v>
      </c>
      <c r="G400" s="2">
        <f>IF(H400="", AVERAGEIF(Table1[Product_Category],D400,$H$2:$H$474),H400)</f>
        <v>1.5517241379310345</v>
      </c>
      <c r="I400" s="2">
        <f t="shared" si="31"/>
        <v>2676.5783333333325</v>
      </c>
      <c r="K400">
        <f t="shared" si="32"/>
        <v>0.96</v>
      </c>
      <c r="L400">
        <v>0.96</v>
      </c>
      <c r="M400" s="2">
        <f t="shared" si="33"/>
        <v>166.13244827586215</v>
      </c>
      <c r="N400">
        <v>0</v>
      </c>
      <c r="O400" t="s">
        <v>17</v>
      </c>
      <c r="P400" t="str">
        <f t="shared" si="34"/>
        <v>B2B</v>
      </c>
      <c r="Q400" t="s">
        <v>22</v>
      </c>
      <c r="R400">
        <v>2790.42</v>
      </c>
    </row>
    <row r="401" spans="1:18" x14ac:dyDescent="0.3">
      <c r="A401">
        <v>1421</v>
      </c>
      <c r="B401" t="str">
        <f t="shared" si="30"/>
        <v>Kenneth Jackson</v>
      </c>
      <c r="C401" t="s">
        <v>472</v>
      </c>
      <c r="D401" t="s">
        <v>32</v>
      </c>
      <c r="E401" t="s">
        <v>71</v>
      </c>
      <c r="F401" t="str">
        <f>CONCATENATE(Table1[[#This Row],[Product_Category]]," - ",Table1[[#This Row],[Product_Name]])</f>
        <v>T-Shirts - Classic Tee</v>
      </c>
      <c r="G401">
        <f>IF(H401="", AVERAGEIF(Table1[Product_Category],D401,$H$2:$H$474),H401)</f>
        <v>0</v>
      </c>
      <c r="H401">
        <v>0</v>
      </c>
      <c r="I401" s="2">
        <f t="shared" si="31"/>
        <v>2715.2732432432431</v>
      </c>
      <c r="K401">
        <f t="shared" si="32"/>
        <v>0</v>
      </c>
      <c r="M401" s="2">
        <f t="shared" si="33"/>
        <v>0</v>
      </c>
      <c r="N401">
        <v>0</v>
      </c>
      <c r="O401" t="s">
        <v>17</v>
      </c>
      <c r="P401" t="str">
        <f t="shared" si="34"/>
        <v>B2C</v>
      </c>
      <c r="R401">
        <v>575.19000000000005</v>
      </c>
    </row>
    <row r="402" spans="1:18" x14ac:dyDescent="0.3">
      <c r="A402">
        <v>1422</v>
      </c>
      <c r="B402" t="str">
        <f t="shared" si="30"/>
        <v>Marvin Cox</v>
      </c>
      <c r="C402" t="s">
        <v>473</v>
      </c>
      <c r="D402" t="s">
        <v>12</v>
      </c>
      <c r="E402" t="s">
        <v>35</v>
      </c>
      <c r="F402" t="str">
        <f>CONCATENATE(Table1[[#This Row],[Product_Category]]," - ",Table1[[#This Row],[Product_Name]])</f>
        <v>Jeans - Boyfriend Jeans</v>
      </c>
      <c r="G402">
        <f>IF(H402="", AVERAGEIF(Table1[Product_Category],D402,$H$2:$H$474),H402)</f>
        <v>2</v>
      </c>
      <c r="I402" s="2">
        <f t="shared" si="31"/>
        <v>4466.49</v>
      </c>
      <c r="J402">
        <v>4466.49</v>
      </c>
      <c r="K402">
        <f t="shared" si="32"/>
        <v>0</v>
      </c>
      <c r="M402" s="2">
        <f t="shared" si="33"/>
        <v>8932.98</v>
      </c>
      <c r="N402">
        <v>0</v>
      </c>
      <c r="O402" t="s">
        <v>17</v>
      </c>
      <c r="P402" t="str">
        <f t="shared" si="34"/>
        <v>B2B</v>
      </c>
      <c r="Q402" t="s">
        <v>22</v>
      </c>
      <c r="R402">
        <v>2168.7800000000002</v>
      </c>
    </row>
    <row r="403" spans="1:18" x14ac:dyDescent="0.3">
      <c r="A403">
        <v>1423</v>
      </c>
      <c r="B403" t="str">
        <f t="shared" si="30"/>
        <v>Christopher Reeves</v>
      </c>
      <c r="C403" t="s">
        <v>474</v>
      </c>
      <c r="D403" t="s">
        <v>19</v>
      </c>
      <c r="E403" t="s">
        <v>121</v>
      </c>
      <c r="F403" t="str">
        <f>CONCATENATE(Table1[[#This Row],[Product_Category]]," - ",Table1[[#This Row],[Product_Name]])</f>
        <v>Jackets - Leather Jacket</v>
      </c>
      <c r="G403" s="2">
        <f>IF(H403="", AVERAGEIF(Table1[Product_Category],D403,$H$2:$H$474),H403)</f>
        <v>1.675</v>
      </c>
      <c r="I403" s="2">
        <f t="shared" si="31"/>
        <v>2952.3559374999995</v>
      </c>
      <c r="K403">
        <f t="shared" si="32"/>
        <v>0</v>
      </c>
      <c r="M403" s="2">
        <f t="shared" si="33"/>
        <v>4945.1961953124992</v>
      </c>
      <c r="N403">
        <v>0</v>
      </c>
      <c r="O403" t="s">
        <v>552</v>
      </c>
      <c r="P403" t="str">
        <f t="shared" si="34"/>
        <v>B2C</v>
      </c>
      <c r="R403">
        <v>1302.05</v>
      </c>
    </row>
    <row r="404" spans="1:18" x14ac:dyDescent="0.3">
      <c r="A404">
        <v>1424</v>
      </c>
      <c r="B404" t="str">
        <f t="shared" si="30"/>
        <v>Jennifer Villarreal</v>
      </c>
      <c r="C404" t="s">
        <v>475</v>
      </c>
      <c r="D404" t="s">
        <v>32</v>
      </c>
      <c r="E404" t="s">
        <v>71</v>
      </c>
      <c r="F404" t="str">
        <f>CONCATENATE(Table1[[#This Row],[Product_Category]]," - ",Table1[[#This Row],[Product_Name]])</f>
        <v>T-Shirts - Classic Tee</v>
      </c>
      <c r="G404">
        <f>IF(H404="", AVERAGEIF(Table1[Product_Category],D404,$H$2:$H$474),H404)</f>
        <v>-1</v>
      </c>
      <c r="H404">
        <v>-1</v>
      </c>
      <c r="I404" s="2">
        <f t="shared" si="31"/>
        <v>538.6</v>
      </c>
      <c r="J404">
        <v>538.6</v>
      </c>
      <c r="K404">
        <f t="shared" si="32"/>
        <v>1.18</v>
      </c>
      <c r="L404">
        <v>1.18</v>
      </c>
      <c r="M404" s="2">
        <f t="shared" si="33"/>
        <v>96.947999999999965</v>
      </c>
      <c r="N404">
        <v>96.95</v>
      </c>
      <c r="O404" t="s">
        <v>552</v>
      </c>
      <c r="P404" t="str">
        <f t="shared" si="34"/>
        <v>B2C</v>
      </c>
      <c r="R404">
        <v>752.81</v>
      </c>
    </row>
    <row r="405" spans="1:18" x14ac:dyDescent="0.3">
      <c r="A405">
        <v>1425</v>
      </c>
      <c r="B405" t="str">
        <f t="shared" si="30"/>
        <v>Stacey Irwin</v>
      </c>
      <c r="C405" t="s">
        <v>476</v>
      </c>
      <c r="D405" t="s">
        <v>28</v>
      </c>
      <c r="E405" t="s">
        <v>140</v>
      </c>
      <c r="F405" t="str">
        <f>CONCATENATE(Table1[[#This Row],[Product_Category]]," - ",Table1[[#This Row],[Product_Name]])</f>
        <v>Accessories - Caps</v>
      </c>
      <c r="G405" s="2">
        <f>IF(H405="", AVERAGEIF(Table1[Product_Category],D405,$H$2:$H$474),H405)</f>
        <v>2.5249999999999999</v>
      </c>
      <c r="I405" s="2">
        <f t="shared" si="31"/>
        <v>1133.73</v>
      </c>
      <c r="J405">
        <v>1133.73</v>
      </c>
      <c r="K405">
        <f t="shared" si="32"/>
        <v>0</v>
      </c>
      <c r="M405" s="2">
        <f t="shared" si="33"/>
        <v>2862.6682500000002</v>
      </c>
      <c r="N405">
        <v>0</v>
      </c>
      <c r="O405" t="s">
        <v>45</v>
      </c>
      <c r="P405" t="str">
        <f t="shared" si="34"/>
        <v>B2B</v>
      </c>
      <c r="Q405" t="s">
        <v>22</v>
      </c>
      <c r="R405">
        <v>2604.14</v>
      </c>
    </row>
    <row r="406" spans="1:18" x14ac:dyDescent="0.3">
      <c r="A406">
        <v>1426</v>
      </c>
      <c r="B406" t="str">
        <f t="shared" si="30"/>
        <v>Bryan Parks</v>
      </c>
      <c r="C406" t="s">
        <v>477</v>
      </c>
      <c r="D406" t="s">
        <v>12</v>
      </c>
      <c r="E406" t="s">
        <v>101</v>
      </c>
      <c r="F406" t="str">
        <f>CONCATENATE(Table1[[#This Row],[Product_Category]]," - ",Table1[[#This Row],[Product_Name]])</f>
        <v>Jeans - Ripped Denim</v>
      </c>
      <c r="G406">
        <f>IF(H406="", AVERAGEIF(Table1[Product_Category],D406,$H$2:$H$474),H406)</f>
        <v>-2</v>
      </c>
      <c r="H406">
        <v>-2</v>
      </c>
      <c r="I406" s="2">
        <f t="shared" si="31"/>
        <v>3175.17</v>
      </c>
      <c r="J406">
        <v>3175.17</v>
      </c>
      <c r="K406">
        <f t="shared" si="32"/>
        <v>0.86</v>
      </c>
      <c r="L406">
        <v>0.86</v>
      </c>
      <c r="M406" s="2">
        <f t="shared" si="33"/>
        <v>-889.0476000000001</v>
      </c>
      <c r="N406">
        <v>-889.05</v>
      </c>
      <c r="O406" t="s">
        <v>552</v>
      </c>
      <c r="P406" t="str">
        <f t="shared" si="34"/>
        <v>B2B</v>
      </c>
      <c r="Q406" t="s">
        <v>22</v>
      </c>
      <c r="R406">
        <v>2860.99</v>
      </c>
    </row>
    <row r="407" spans="1:18" x14ac:dyDescent="0.3">
      <c r="A407">
        <v>1427</v>
      </c>
      <c r="B407" t="str">
        <f t="shared" si="30"/>
        <v>Angela Hall</v>
      </c>
      <c r="C407" t="s">
        <v>478</v>
      </c>
      <c r="D407" t="s">
        <v>24</v>
      </c>
      <c r="E407" t="s">
        <v>85</v>
      </c>
      <c r="F407" t="str">
        <f>CONCATENATE(Table1[[#This Row],[Product_Category]]," - ",Table1[[#This Row],[Product_Name]])</f>
        <v>Shoes - Boots</v>
      </c>
      <c r="G407" s="2">
        <f>IF(H407="", AVERAGEIF(Table1[Product_Category],D407,$H$2:$H$474),H407)</f>
        <v>1.5517241379310345</v>
      </c>
      <c r="I407" s="2">
        <f t="shared" si="31"/>
        <v>2676.5783333333325</v>
      </c>
      <c r="K407">
        <f t="shared" si="32"/>
        <v>0</v>
      </c>
      <c r="M407" s="2">
        <f t="shared" si="33"/>
        <v>4153.3112068965502</v>
      </c>
      <c r="N407">
        <v>0</v>
      </c>
      <c r="O407" t="s">
        <v>21</v>
      </c>
      <c r="P407" t="str">
        <f t="shared" si="34"/>
        <v>B2C</v>
      </c>
      <c r="Q407" t="s">
        <v>15</v>
      </c>
      <c r="R407">
        <v>2795.17</v>
      </c>
    </row>
    <row r="408" spans="1:18" x14ac:dyDescent="0.3">
      <c r="A408">
        <v>1429</v>
      </c>
      <c r="B408" t="str">
        <f t="shared" si="30"/>
        <v>Travis Vargas</v>
      </c>
      <c r="C408" t="s">
        <v>480</v>
      </c>
      <c r="D408" t="s">
        <v>37</v>
      </c>
      <c r="E408" t="s">
        <v>90</v>
      </c>
      <c r="F408" t="str">
        <f>CONCATENATE(Table1[[#This Row],[Product_Category]]," - ",Table1[[#This Row],[Product_Name]])</f>
        <v>Dresses - Bodycon</v>
      </c>
      <c r="G408" s="2">
        <f>IF(H408="", AVERAGEIF(Table1[Product_Category],D408,$H$2:$H$474),H408)</f>
        <v>2.0217391304347827</v>
      </c>
      <c r="I408" s="2">
        <f t="shared" si="31"/>
        <v>3292.01</v>
      </c>
      <c r="J408">
        <v>3292.01</v>
      </c>
      <c r="K408">
        <f t="shared" si="32"/>
        <v>0</v>
      </c>
      <c r="M408" s="2">
        <f t="shared" si="33"/>
        <v>6655.5854347826098</v>
      </c>
      <c r="N408">
        <v>0</v>
      </c>
      <c r="O408" t="s">
        <v>14</v>
      </c>
      <c r="P408" t="str">
        <f t="shared" si="34"/>
        <v>B2B</v>
      </c>
      <c r="Q408" t="s">
        <v>22</v>
      </c>
      <c r="R408">
        <v>-358.22</v>
      </c>
    </row>
    <row r="409" spans="1:18" x14ac:dyDescent="0.3">
      <c r="A409">
        <v>1430</v>
      </c>
      <c r="B409" t="str">
        <f t="shared" si="30"/>
        <v>Rose Delgado</v>
      </c>
      <c r="C409" t="s">
        <v>481</v>
      </c>
      <c r="D409" t="s">
        <v>12</v>
      </c>
      <c r="E409" t="s">
        <v>48</v>
      </c>
      <c r="F409" t="str">
        <f>CONCATENATE(Table1[[#This Row],[Product_Category]]," - ",Table1[[#This Row],[Product_Name]])</f>
        <v>Jeans - Straight Cut</v>
      </c>
      <c r="G409">
        <f>IF(H409="", AVERAGEIF(Table1[Product_Category],D409,$H$2:$H$474),H409)</f>
        <v>-2</v>
      </c>
      <c r="H409">
        <v>-2</v>
      </c>
      <c r="I409" s="2">
        <f t="shared" si="31"/>
        <v>2592.8782222222212</v>
      </c>
      <c r="K409">
        <f t="shared" si="32"/>
        <v>0.67</v>
      </c>
      <c r="L409">
        <v>0.67</v>
      </c>
      <c r="M409" s="2">
        <f t="shared" si="33"/>
        <v>-1711.2996266666657</v>
      </c>
      <c r="N409">
        <v>0</v>
      </c>
      <c r="O409" t="s">
        <v>45</v>
      </c>
      <c r="P409" t="str">
        <f t="shared" si="34"/>
        <v>B2C</v>
      </c>
      <c r="Q409" t="s">
        <v>15</v>
      </c>
      <c r="R409">
        <v>2045.56</v>
      </c>
    </row>
    <row r="410" spans="1:18" x14ac:dyDescent="0.3">
      <c r="A410">
        <v>1431</v>
      </c>
      <c r="B410" t="str">
        <f t="shared" si="30"/>
        <v>Jennifer Lyons</v>
      </c>
      <c r="C410" t="s">
        <v>482</v>
      </c>
      <c r="D410" t="s">
        <v>28</v>
      </c>
      <c r="E410" t="s">
        <v>119</v>
      </c>
      <c r="F410" t="str">
        <f>CONCATENATE(Table1[[#This Row],[Product_Category]]," - ",Table1[[#This Row],[Product_Name]])</f>
        <v>Accessories - Watches</v>
      </c>
      <c r="G410" s="2">
        <f>IF(H410="", AVERAGEIF(Table1[Product_Category],D410,$H$2:$H$474),H410)</f>
        <v>2.5249999999999999</v>
      </c>
      <c r="I410" s="2">
        <f t="shared" si="31"/>
        <v>2755.6936585365856</v>
      </c>
      <c r="K410">
        <f t="shared" si="32"/>
        <v>0</v>
      </c>
      <c r="M410" s="2">
        <f t="shared" si="33"/>
        <v>6958.1264878048787</v>
      </c>
      <c r="N410">
        <v>0</v>
      </c>
      <c r="O410" t="s">
        <v>14</v>
      </c>
      <c r="P410" t="str">
        <f t="shared" si="34"/>
        <v>B2B</v>
      </c>
      <c r="Q410" t="s">
        <v>22</v>
      </c>
      <c r="R410">
        <v>2191.02</v>
      </c>
    </row>
    <row r="411" spans="1:18" x14ac:dyDescent="0.3">
      <c r="A411">
        <v>1432</v>
      </c>
      <c r="B411" t="str">
        <f t="shared" si="30"/>
        <v>Steven Taylor</v>
      </c>
      <c r="C411" t="s">
        <v>483</v>
      </c>
      <c r="D411" t="s">
        <v>24</v>
      </c>
      <c r="E411" t="s">
        <v>53</v>
      </c>
      <c r="F411" t="str">
        <f>CONCATENATE(Table1[[#This Row],[Product_Category]]," - ",Table1[[#This Row],[Product_Name]])</f>
        <v>Shoes - Sneakers</v>
      </c>
      <c r="G411" s="2">
        <f>IF(H411="", AVERAGEIF(Table1[Product_Category],D411,$H$2:$H$474),H411)</f>
        <v>1.5517241379310345</v>
      </c>
      <c r="I411" s="2">
        <f t="shared" si="31"/>
        <v>2676.5783333333325</v>
      </c>
      <c r="K411">
        <f t="shared" si="32"/>
        <v>0</v>
      </c>
      <c r="M411" s="2">
        <f t="shared" si="33"/>
        <v>4153.3112068965502</v>
      </c>
      <c r="N411">
        <v>0</v>
      </c>
      <c r="O411" t="s">
        <v>17</v>
      </c>
      <c r="P411" t="str">
        <f t="shared" si="34"/>
        <v>B2B</v>
      </c>
      <c r="Q411" t="s">
        <v>22</v>
      </c>
      <c r="R411">
        <v>-849.15</v>
      </c>
    </row>
    <row r="412" spans="1:18" x14ac:dyDescent="0.3">
      <c r="A412">
        <v>1433</v>
      </c>
      <c r="B412" t="str">
        <f t="shared" si="30"/>
        <v>Jesse Cooke</v>
      </c>
      <c r="C412" t="s">
        <v>484</v>
      </c>
      <c r="D412" t="s">
        <v>32</v>
      </c>
      <c r="E412" t="s">
        <v>43</v>
      </c>
      <c r="F412" t="str">
        <f>CONCATENATE(Table1[[#This Row],[Product_Category]]," - ",Table1[[#This Row],[Product_Name]])</f>
        <v>T-Shirts - Oversized T-shirt</v>
      </c>
      <c r="G412">
        <f>IF(H412="", AVERAGEIF(Table1[Product_Category],D412,$H$2:$H$474),H412)</f>
        <v>2</v>
      </c>
      <c r="H412">
        <v>2</v>
      </c>
      <c r="I412" s="2">
        <f t="shared" si="31"/>
        <v>2715.2732432432431</v>
      </c>
      <c r="K412">
        <f t="shared" si="32"/>
        <v>0.7</v>
      </c>
      <c r="L412">
        <v>0.7</v>
      </c>
      <c r="M412" s="2">
        <f t="shared" si="33"/>
        <v>1629.1639459459461</v>
      </c>
      <c r="N412">
        <v>0</v>
      </c>
      <c r="O412" t="s">
        <v>21</v>
      </c>
      <c r="P412" t="str">
        <f t="shared" si="34"/>
        <v>B2B</v>
      </c>
      <c r="Q412" t="s">
        <v>22</v>
      </c>
      <c r="R412">
        <v>-878.85</v>
      </c>
    </row>
    <row r="413" spans="1:18" x14ac:dyDescent="0.3">
      <c r="A413">
        <v>1434</v>
      </c>
      <c r="B413" t="str">
        <f t="shared" si="30"/>
        <v>Marie Sullivan</v>
      </c>
      <c r="C413" t="s">
        <v>485</v>
      </c>
      <c r="D413" t="s">
        <v>12</v>
      </c>
      <c r="E413" t="s">
        <v>35</v>
      </c>
      <c r="F413" t="str">
        <f>CONCATENATE(Table1[[#This Row],[Product_Category]]," - ",Table1[[#This Row],[Product_Name]])</f>
        <v>Jeans - Boyfriend Jeans</v>
      </c>
      <c r="G413">
        <f>IF(H413="", AVERAGEIF(Table1[Product_Category],D413,$H$2:$H$474),H413)</f>
        <v>0</v>
      </c>
      <c r="H413">
        <v>0</v>
      </c>
      <c r="I413" s="2">
        <f t="shared" si="31"/>
        <v>476.2</v>
      </c>
      <c r="J413">
        <v>476.2</v>
      </c>
      <c r="K413">
        <f t="shared" si="32"/>
        <v>1.03</v>
      </c>
      <c r="L413">
        <v>1.03</v>
      </c>
      <c r="M413" s="2">
        <f t="shared" si="33"/>
        <v>0</v>
      </c>
      <c r="N413">
        <v>0</v>
      </c>
      <c r="O413" t="s">
        <v>552</v>
      </c>
      <c r="P413" t="str">
        <f t="shared" si="34"/>
        <v>B2C</v>
      </c>
      <c r="Q413" t="s">
        <v>15</v>
      </c>
      <c r="R413">
        <v>-310.8</v>
      </c>
    </row>
    <row r="414" spans="1:18" x14ac:dyDescent="0.3">
      <c r="A414">
        <v>1435</v>
      </c>
      <c r="B414" t="str">
        <f t="shared" si="30"/>
        <v>Nicole Mills</v>
      </c>
      <c r="C414" t="s">
        <v>486</v>
      </c>
      <c r="D414" t="s">
        <v>32</v>
      </c>
      <c r="E414" t="s">
        <v>71</v>
      </c>
      <c r="F414" t="str">
        <f>CONCATENATE(Table1[[#This Row],[Product_Category]]," - ",Table1[[#This Row],[Product_Name]])</f>
        <v>T-Shirts - Classic Tee</v>
      </c>
      <c r="G414">
        <f>IF(H414="", AVERAGEIF(Table1[Product_Category],D414,$H$2:$H$474),H414)</f>
        <v>3</v>
      </c>
      <c r="H414">
        <v>3</v>
      </c>
      <c r="I414" s="2">
        <f t="shared" si="31"/>
        <v>2715.2732432432431</v>
      </c>
      <c r="K414">
        <f t="shared" si="32"/>
        <v>0</v>
      </c>
      <c r="M414" s="2">
        <f t="shared" si="33"/>
        <v>8145.8197297297293</v>
      </c>
      <c r="N414">
        <v>0</v>
      </c>
      <c r="O414" t="s">
        <v>552</v>
      </c>
      <c r="P414" t="str">
        <f t="shared" si="34"/>
        <v>B2B</v>
      </c>
      <c r="Q414" t="s">
        <v>22</v>
      </c>
      <c r="R414">
        <v>904.65</v>
      </c>
    </row>
    <row r="415" spans="1:18" x14ac:dyDescent="0.3">
      <c r="A415">
        <v>1436</v>
      </c>
      <c r="B415" t="str">
        <f t="shared" si="30"/>
        <v>Erin Yu</v>
      </c>
      <c r="C415" t="s">
        <v>487</v>
      </c>
      <c r="D415" t="s">
        <v>32</v>
      </c>
      <c r="E415" t="s">
        <v>71</v>
      </c>
      <c r="F415" t="str">
        <f>CONCATENATE(Table1[[#This Row],[Product_Category]]," - ",Table1[[#This Row],[Product_Name]])</f>
        <v>T-Shirts - Classic Tee</v>
      </c>
      <c r="G415" s="2">
        <f>IF(H415="", AVERAGEIF(Table1[Product_Category],D415,$H$2:$H$474),H415)</f>
        <v>1.5813953488372092</v>
      </c>
      <c r="I415" s="2">
        <f t="shared" si="31"/>
        <v>2715.2732432432431</v>
      </c>
      <c r="K415">
        <f t="shared" si="32"/>
        <v>1.26</v>
      </c>
      <c r="L415">
        <v>1.26</v>
      </c>
      <c r="M415" s="2">
        <f t="shared" si="33"/>
        <v>-1116.4193241986172</v>
      </c>
      <c r="N415">
        <v>0</v>
      </c>
      <c r="O415" t="s">
        <v>17</v>
      </c>
      <c r="P415" t="str">
        <f t="shared" si="34"/>
        <v>B2C</v>
      </c>
      <c r="Q415" t="s">
        <v>15</v>
      </c>
      <c r="R415">
        <v>1445.93</v>
      </c>
    </row>
    <row r="416" spans="1:18" x14ac:dyDescent="0.3">
      <c r="A416">
        <v>1437</v>
      </c>
      <c r="B416" t="str">
        <f t="shared" si="30"/>
        <v>Rachel Savage</v>
      </c>
      <c r="C416" t="s">
        <v>488</v>
      </c>
      <c r="D416" t="s">
        <v>12</v>
      </c>
      <c r="E416" t="s">
        <v>35</v>
      </c>
      <c r="F416" t="str">
        <f>CONCATENATE(Table1[[#This Row],[Product_Category]]," - ",Table1[[#This Row],[Product_Name]])</f>
        <v>Jeans - Boyfriend Jeans</v>
      </c>
      <c r="G416">
        <f>IF(H416="", AVERAGEIF(Table1[Product_Category],D416,$H$2:$H$474),H416)</f>
        <v>0</v>
      </c>
      <c r="H416">
        <v>0</v>
      </c>
      <c r="I416" s="2">
        <f t="shared" si="31"/>
        <v>3886.3</v>
      </c>
      <c r="J416">
        <v>3886.3</v>
      </c>
      <c r="K416">
        <f t="shared" si="32"/>
        <v>0.34</v>
      </c>
      <c r="L416">
        <v>0.34</v>
      </c>
      <c r="M416" s="2">
        <f t="shared" si="33"/>
        <v>0</v>
      </c>
      <c r="N416">
        <v>0</v>
      </c>
      <c r="O416" t="s">
        <v>14</v>
      </c>
      <c r="P416" t="str">
        <f t="shared" si="34"/>
        <v>B2C</v>
      </c>
      <c r="Q416" t="s">
        <v>15</v>
      </c>
      <c r="R416">
        <v>131.47999999999999</v>
      </c>
    </row>
    <row r="417" spans="1:18" x14ac:dyDescent="0.3">
      <c r="A417">
        <v>1438</v>
      </c>
      <c r="B417" t="str">
        <f t="shared" si="30"/>
        <v>Teresa Nichols</v>
      </c>
      <c r="C417" t="s">
        <v>489</v>
      </c>
      <c r="D417" t="s">
        <v>37</v>
      </c>
      <c r="E417" t="s">
        <v>62</v>
      </c>
      <c r="F417" t="str">
        <f>CONCATENATE(Table1[[#This Row],[Product_Category]]," - ",Table1[[#This Row],[Product_Name]])</f>
        <v>Dresses - Wrap Dress</v>
      </c>
      <c r="G417" s="2">
        <f>IF(H417="", AVERAGEIF(Table1[Product_Category],D417,$H$2:$H$474),H417)</f>
        <v>2.0217391304347827</v>
      </c>
      <c r="I417" s="2">
        <f t="shared" si="31"/>
        <v>2663.97</v>
      </c>
      <c r="J417">
        <v>2663.97</v>
      </c>
      <c r="K417">
        <f t="shared" si="32"/>
        <v>0.84</v>
      </c>
      <c r="L417">
        <v>0.84</v>
      </c>
      <c r="M417" s="2">
        <f t="shared" si="33"/>
        <v>861.73638260869575</v>
      </c>
      <c r="N417">
        <v>0</v>
      </c>
      <c r="O417" t="s">
        <v>45</v>
      </c>
      <c r="P417" t="str">
        <f t="shared" si="34"/>
        <v>B2C</v>
      </c>
      <c r="R417">
        <v>1014.29</v>
      </c>
    </row>
    <row r="418" spans="1:18" x14ac:dyDescent="0.3">
      <c r="A418">
        <v>1439</v>
      </c>
      <c r="B418" t="str">
        <f t="shared" si="30"/>
        <v>Elijah Anderson</v>
      </c>
      <c r="C418" t="s">
        <v>490</v>
      </c>
      <c r="D418" t="s">
        <v>32</v>
      </c>
      <c r="E418" t="s">
        <v>81</v>
      </c>
      <c r="F418" t="str">
        <f>CONCATENATE(Table1[[#This Row],[Product_Category]]," - ",Table1[[#This Row],[Product_Name]])</f>
        <v>T-Shirts - Graphic Tee</v>
      </c>
      <c r="G418" s="2">
        <f>IF(H418="", AVERAGEIF(Table1[Product_Category],D418,$H$2:$H$474),H418)</f>
        <v>1.5813953488372092</v>
      </c>
      <c r="I418" s="2">
        <f t="shared" si="31"/>
        <v>2715.2732432432431</v>
      </c>
      <c r="K418">
        <f t="shared" si="32"/>
        <v>0</v>
      </c>
      <c r="M418" s="2">
        <f t="shared" si="33"/>
        <v>4293.9204776869892</v>
      </c>
      <c r="N418">
        <v>0</v>
      </c>
      <c r="O418" t="s">
        <v>17</v>
      </c>
      <c r="P418" t="str">
        <f t="shared" si="34"/>
        <v>B2B</v>
      </c>
      <c r="Q418" t="s">
        <v>22</v>
      </c>
      <c r="R418">
        <v>726.42</v>
      </c>
    </row>
    <row r="419" spans="1:18" x14ac:dyDescent="0.3">
      <c r="A419">
        <v>1440</v>
      </c>
      <c r="B419" t="str">
        <f t="shared" si="30"/>
        <v>Candace Smith</v>
      </c>
      <c r="C419" t="s">
        <v>491</v>
      </c>
      <c r="D419" t="s">
        <v>37</v>
      </c>
      <c r="E419" t="s">
        <v>90</v>
      </c>
      <c r="F419" t="str">
        <f>CONCATENATE(Table1[[#This Row],[Product_Category]]," - ",Table1[[#This Row],[Product_Name]])</f>
        <v>Dresses - Bodycon</v>
      </c>
      <c r="G419">
        <f>IF(H419="", AVERAGEIF(Table1[Product_Category],D419,$H$2:$H$474),H419)</f>
        <v>0</v>
      </c>
      <c r="H419">
        <v>0</v>
      </c>
      <c r="I419" s="2">
        <f t="shared" si="31"/>
        <v>635.12</v>
      </c>
      <c r="J419">
        <v>635.12</v>
      </c>
      <c r="K419">
        <f t="shared" si="32"/>
        <v>0.32</v>
      </c>
      <c r="L419">
        <v>0.32</v>
      </c>
      <c r="M419" s="2">
        <f t="shared" si="33"/>
        <v>0</v>
      </c>
      <c r="N419">
        <v>0</v>
      </c>
      <c r="O419" t="s">
        <v>552</v>
      </c>
      <c r="P419" t="str">
        <f t="shared" si="34"/>
        <v>B2C</v>
      </c>
      <c r="Q419" t="s">
        <v>15</v>
      </c>
      <c r="R419">
        <v>-476.72</v>
      </c>
    </row>
    <row r="420" spans="1:18" x14ac:dyDescent="0.3">
      <c r="A420">
        <v>1441</v>
      </c>
      <c r="B420" t="str">
        <f t="shared" si="30"/>
        <v>Michelle Lara</v>
      </c>
      <c r="C420" t="s">
        <v>492</v>
      </c>
      <c r="D420" t="s">
        <v>12</v>
      </c>
      <c r="E420" t="s">
        <v>13</v>
      </c>
      <c r="F420" t="str">
        <f>CONCATENATE(Table1[[#This Row],[Product_Category]]," - ",Table1[[#This Row],[Product_Name]])</f>
        <v>Jeans - Slim Fit Jeans</v>
      </c>
      <c r="G420">
        <f>IF(H420="", AVERAGEIF(Table1[Product_Category],D420,$H$2:$H$474),H420)</f>
        <v>2</v>
      </c>
      <c r="I420" s="2">
        <f t="shared" si="31"/>
        <v>2592.8782222222212</v>
      </c>
      <c r="K420">
        <f t="shared" si="32"/>
        <v>0</v>
      </c>
      <c r="M420" s="2">
        <f t="shared" si="33"/>
        <v>5185.7564444444424</v>
      </c>
      <c r="N420">
        <v>0</v>
      </c>
      <c r="O420" t="s">
        <v>39</v>
      </c>
      <c r="P420" t="str">
        <f t="shared" si="34"/>
        <v>B2C</v>
      </c>
      <c r="R420">
        <v>-316.51</v>
      </c>
    </row>
    <row r="421" spans="1:18" x14ac:dyDescent="0.3">
      <c r="A421">
        <v>1442</v>
      </c>
      <c r="B421" t="str">
        <f t="shared" si="30"/>
        <v>Emma Ramirez</v>
      </c>
      <c r="C421" t="s">
        <v>493</v>
      </c>
      <c r="D421" t="s">
        <v>24</v>
      </c>
      <c r="E421" t="s">
        <v>65</v>
      </c>
      <c r="F421" t="str">
        <f>CONCATENATE(Table1[[#This Row],[Product_Category]]," - ",Table1[[#This Row],[Product_Name]])</f>
        <v>Shoes - Slip-ons</v>
      </c>
      <c r="G421">
        <f>IF(H421="", AVERAGEIF(Table1[Product_Category],D421,$H$2:$H$474),H421)</f>
        <v>0</v>
      </c>
      <c r="H421">
        <v>0</v>
      </c>
      <c r="I421" s="2">
        <f t="shared" si="31"/>
        <v>3001.28</v>
      </c>
      <c r="J421">
        <v>3001.28</v>
      </c>
      <c r="K421">
        <f t="shared" si="32"/>
        <v>0</v>
      </c>
      <c r="M421" s="2">
        <f t="shared" si="33"/>
        <v>0</v>
      </c>
      <c r="N421">
        <v>0</v>
      </c>
      <c r="O421" t="s">
        <v>14</v>
      </c>
      <c r="P421" t="str">
        <f t="shared" si="34"/>
        <v>B2C</v>
      </c>
      <c r="Q421" t="s">
        <v>15</v>
      </c>
      <c r="R421">
        <v>1218.28</v>
      </c>
    </row>
    <row r="422" spans="1:18" x14ac:dyDescent="0.3">
      <c r="A422">
        <v>1443</v>
      </c>
      <c r="B422" t="str">
        <f t="shared" si="30"/>
        <v>Danielle Shelton</v>
      </c>
      <c r="C422" t="s">
        <v>494</v>
      </c>
      <c r="D422" t="s">
        <v>32</v>
      </c>
      <c r="E422" t="s">
        <v>33</v>
      </c>
      <c r="F422" t="str">
        <f>CONCATENATE(Table1[[#This Row],[Product_Category]]," - ",Table1[[#This Row],[Product_Name]])</f>
        <v>T-Shirts - Crop Top</v>
      </c>
      <c r="G422" s="2">
        <f>IF(H422="", AVERAGEIF(Table1[Product_Category],D422,$H$2:$H$474),H422)</f>
        <v>1.5813953488372092</v>
      </c>
      <c r="I422" s="2">
        <f t="shared" si="31"/>
        <v>2715.2732432432431</v>
      </c>
      <c r="K422">
        <f t="shared" si="32"/>
        <v>0</v>
      </c>
      <c r="M422" s="2">
        <f t="shared" si="33"/>
        <v>4293.9204776869892</v>
      </c>
      <c r="N422">
        <v>0</v>
      </c>
      <c r="O422" t="s">
        <v>39</v>
      </c>
      <c r="P422" t="str">
        <f t="shared" si="34"/>
        <v>B2C</v>
      </c>
      <c r="R422">
        <v>2962.6</v>
      </c>
    </row>
    <row r="423" spans="1:18" x14ac:dyDescent="0.3">
      <c r="A423">
        <v>1444</v>
      </c>
      <c r="B423" t="str">
        <f t="shared" si="30"/>
        <v>Paula Leon</v>
      </c>
      <c r="C423" t="s">
        <v>495</v>
      </c>
      <c r="D423" t="s">
        <v>28</v>
      </c>
      <c r="E423" t="s">
        <v>119</v>
      </c>
      <c r="F423" t="str">
        <f>CONCATENATE(Table1[[#This Row],[Product_Category]]," - ",Table1[[#This Row],[Product_Name]])</f>
        <v>Accessories - Watches</v>
      </c>
      <c r="G423">
        <f>IF(H423="", AVERAGEIF(Table1[Product_Category],D423,$H$2:$H$474),H423)</f>
        <v>3</v>
      </c>
      <c r="H423">
        <v>3</v>
      </c>
      <c r="I423" s="2">
        <f t="shared" si="31"/>
        <v>3452.16</v>
      </c>
      <c r="J423">
        <v>3452.16</v>
      </c>
      <c r="K423">
        <f t="shared" si="32"/>
        <v>0</v>
      </c>
      <c r="M423" s="2">
        <f t="shared" si="33"/>
        <v>10356.48</v>
      </c>
      <c r="N423">
        <v>0</v>
      </c>
      <c r="O423" t="s">
        <v>21</v>
      </c>
      <c r="P423" t="str">
        <f t="shared" si="34"/>
        <v>B2C</v>
      </c>
      <c r="R423">
        <v>810.8</v>
      </c>
    </row>
    <row r="424" spans="1:18" x14ac:dyDescent="0.3">
      <c r="A424">
        <v>1445</v>
      </c>
      <c r="B424" t="str">
        <f t="shared" si="30"/>
        <v>Dennis Pena</v>
      </c>
      <c r="C424" t="s">
        <v>496</v>
      </c>
      <c r="D424" t="s">
        <v>19</v>
      </c>
      <c r="E424" t="s">
        <v>79</v>
      </c>
      <c r="F424" t="str">
        <f>CONCATENATE(Table1[[#This Row],[Product_Category]]," - ",Table1[[#This Row],[Product_Name]])</f>
        <v>Jackets - Bomber Jacket</v>
      </c>
      <c r="G424" s="2">
        <f>IF(H424="", AVERAGEIF(Table1[Product_Category],D424,$H$2:$H$474),H424)</f>
        <v>1.675</v>
      </c>
      <c r="I424" s="2">
        <f t="shared" si="31"/>
        <v>1370.36</v>
      </c>
      <c r="J424">
        <v>1370.36</v>
      </c>
      <c r="K424">
        <f t="shared" si="32"/>
        <v>0.54</v>
      </c>
      <c r="L424">
        <v>0.54</v>
      </c>
      <c r="M424" s="2">
        <f t="shared" si="33"/>
        <v>1055.86238</v>
      </c>
      <c r="N424">
        <v>0</v>
      </c>
      <c r="O424" t="s">
        <v>21</v>
      </c>
      <c r="P424" t="str">
        <f t="shared" si="34"/>
        <v>B2C</v>
      </c>
      <c r="Q424" t="s">
        <v>15</v>
      </c>
      <c r="R424">
        <v>2846.13</v>
      </c>
    </row>
    <row r="425" spans="1:18" x14ac:dyDescent="0.3">
      <c r="A425">
        <v>1446</v>
      </c>
      <c r="B425" t="str">
        <f t="shared" si="30"/>
        <v>Kelsey Wright</v>
      </c>
      <c r="C425" t="s">
        <v>497</v>
      </c>
      <c r="D425" t="s">
        <v>24</v>
      </c>
      <c r="E425" t="s">
        <v>25</v>
      </c>
      <c r="F425" t="str">
        <f>CONCATENATE(Table1[[#This Row],[Product_Category]]," - ",Table1[[#This Row],[Product_Name]])</f>
        <v>Shoes - Loafers</v>
      </c>
      <c r="G425" s="2">
        <f>IF(H425="", AVERAGEIF(Table1[Product_Category],D425,$H$2:$H$474),H425)</f>
        <v>1.5517241379310345</v>
      </c>
      <c r="I425" s="2">
        <f t="shared" si="31"/>
        <v>2827.68</v>
      </c>
      <c r="J425">
        <v>2827.68</v>
      </c>
      <c r="K425">
        <f t="shared" si="32"/>
        <v>0.86</v>
      </c>
      <c r="L425">
        <v>0.86</v>
      </c>
      <c r="M425" s="2">
        <f t="shared" si="33"/>
        <v>614.28910344827591</v>
      </c>
      <c r="N425">
        <v>0</v>
      </c>
      <c r="O425" t="s">
        <v>14</v>
      </c>
      <c r="P425" t="str">
        <f t="shared" si="34"/>
        <v>B2C</v>
      </c>
      <c r="R425">
        <v>-602.57000000000005</v>
      </c>
    </row>
    <row r="426" spans="1:18" x14ac:dyDescent="0.3">
      <c r="A426">
        <v>1448</v>
      </c>
      <c r="B426" t="str">
        <f t="shared" si="30"/>
        <v>Brandon Andrews</v>
      </c>
      <c r="C426" t="s">
        <v>499</v>
      </c>
      <c r="D426" t="s">
        <v>12</v>
      </c>
      <c r="E426" t="s">
        <v>13</v>
      </c>
      <c r="F426" t="str">
        <f>CONCATENATE(Table1[[#This Row],[Product_Category]]," - ",Table1[[#This Row],[Product_Name]])</f>
        <v>Jeans - Slim Fit Jeans</v>
      </c>
      <c r="G426">
        <f>IF(H426="", AVERAGEIF(Table1[Product_Category],D426,$H$2:$H$474),H426)</f>
        <v>2</v>
      </c>
      <c r="I426" s="2">
        <f t="shared" si="31"/>
        <v>1657.95</v>
      </c>
      <c r="J426">
        <v>1657.95</v>
      </c>
      <c r="K426">
        <f t="shared" si="32"/>
        <v>0</v>
      </c>
      <c r="M426" s="2">
        <f t="shared" si="33"/>
        <v>3315.9</v>
      </c>
      <c r="N426">
        <v>0</v>
      </c>
      <c r="O426" t="s">
        <v>45</v>
      </c>
      <c r="P426" t="str">
        <f t="shared" si="34"/>
        <v>B2B</v>
      </c>
      <c r="Q426" t="s">
        <v>22</v>
      </c>
      <c r="R426">
        <v>1948.49</v>
      </c>
    </row>
    <row r="427" spans="1:18" x14ac:dyDescent="0.3">
      <c r="A427">
        <v>1449</v>
      </c>
      <c r="B427" t="str">
        <f t="shared" si="30"/>
        <v>Michelle Phillips</v>
      </c>
      <c r="C427" t="s">
        <v>500</v>
      </c>
      <c r="D427" t="s">
        <v>12</v>
      </c>
      <c r="E427" t="s">
        <v>48</v>
      </c>
      <c r="F427" t="str">
        <f>CONCATENATE(Table1[[#This Row],[Product_Category]]," - ",Table1[[#This Row],[Product_Name]])</f>
        <v>Jeans - Straight Cut</v>
      </c>
      <c r="G427">
        <f>IF(H427="", AVERAGEIF(Table1[Product_Category],D427,$H$2:$H$474),H427)</f>
        <v>2</v>
      </c>
      <c r="I427" s="2">
        <f t="shared" si="31"/>
        <v>2855.53</v>
      </c>
      <c r="J427">
        <v>2855.53</v>
      </c>
      <c r="K427">
        <f t="shared" si="32"/>
        <v>0.55000000000000004</v>
      </c>
      <c r="L427">
        <v>0.55000000000000004</v>
      </c>
      <c r="M427" s="2">
        <f t="shared" si="33"/>
        <v>2569.9769999999999</v>
      </c>
      <c r="N427">
        <v>0</v>
      </c>
      <c r="O427" t="s">
        <v>17</v>
      </c>
      <c r="P427" t="str">
        <f t="shared" si="34"/>
        <v>B2C</v>
      </c>
      <c r="Q427" t="s">
        <v>15</v>
      </c>
      <c r="R427">
        <v>2598.7399999999998</v>
      </c>
    </row>
    <row r="428" spans="1:18" x14ac:dyDescent="0.3">
      <c r="A428">
        <v>1451</v>
      </c>
      <c r="B428" t="str">
        <f t="shared" si="30"/>
        <v>Rebecca Murphy</v>
      </c>
      <c r="C428" t="s">
        <v>502</v>
      </c>
      <c r="D428" t="s">
        <v>24</v>
      </c>
      <c r="E428" t="s">
        <v>65</v>
      </c>
      <c r="F428" t="str">
        <f>CONCATENATE(Table1[[#This Row],[Product_Category]]," - ",Table1[[#This Row],[Product_Name]])</f>
        <v>Shoes - Slip-ons</v>
      </c>
      <c r="G428" s="2">
        <f>IF(H428="", AVERAGEIF(Table1[Product_Category],D428,$H$2:$H$474),H428)</f>
        <v>1.5517241379310345</v>
      </c>
      <c r="I428" s="2">
        <f t="shared" si="31"/>
        <v>620.64</v>
      </c>
      <c r="J428">
        <v>620.64</v>
      </c>
      <c r="K428">
        <f t="shared" si="32"/>
        <v>0</v>
      </c>
      <c r="M428" s="2">
        <f t="shared" si="33"/>
        <v>963.06206896551726</v>
      </c>
      <c r="N428">
        <v>0</v>
      </c>
      <c r="O428" t="s">
        <v>552</v>
      </c>
      <c r="P428" t="str">
        <f t="shared" si="34"/>
        <v>B2C</v>
      </c>
      <c r="R428">
        <v>1553.39</v>
      </c>
    </row>
    <row r="429" spans="1:18" x14ac:dyDescent="0.3">
      <c r="A429">
        <v>1452</v>
      </c>
      <c r="B429" t="str">
        <f t="shared" si="30"/>
        <v>Ricardo Kent</v>
      </c>
      <c r="C429" t="s">
        <v>503</v>
      </c>
      <c r="D429" t="s">
        <v>28</v>
      </c>
      <c r="E429" t="s">
        <v>41</v>
      </c>
      <c r="F429" t="str">
        <f>CONCATENATE(Table1[[#This Row],[Product_Category]]," - ",Table1[[#This Row],[Product_Name]])</f>
        <v>Accessories - Sunglasses</v>
      </c>
      <c r="G429">
        <f>IF(H429="", AVERAGEIF(Table1[Product_Category],D429,$H$2:$H$474),H429)</f>
        <v>-2</v>
      </c>
      <c r="H429">
        <v>-2</v>
      </c>
      <c r="I429" s="2">
        <f t="shared" si="31"/>
        <v>2660.28</v>
      </c>
      <c r="J429">
        <v>2660.28</v>
      </c>
      <c r="K429">
        <f t="shared" si="32"/>
        <v>0.34</v>
      </c>
      <c r="L429">
        <v>0.34</v>
      </c>
      <c r="M429" s="2">
        <f t="shared" si="33"/>
        <v>-3511.5695999999998</v>
      </c>
      <c r="N429">
        <v>-3511.57</v>
      </c>
      <c r="O429" t="s">
        <v>14</v>
      </c>
      <c r="P429" t="str">
        <f t="shared" si="34"/>
        <v>B2C</v>
      </c>
      <c r="Q429" t="s">
        <v>15</v>
      </c>
      <c r="R429">
        <v>918.54</v>
      </c>
    </row>
    <row r="430" spans="1:18" x14ac:dyDescent="0.3">
      <c r="A430">
        <v>1453</v>
      </c>
      <c r="B430" t="str">
        <f t="shared" si="30"/>
        <v>Justin Carpenter</v>
      </c>
      <c r="C430" t="s">
        <v>504</v>
      </c>
      <c r="D430" t="s">
        <v>12</v>
      </c>
      <c r="E430" t="s">
        <v>48</v>
      </c>
      <c r="F430" t="str">
        <f>CONCATENATE(Table1[[#This Row],[Product_Category]]," - ",Table1[[#This Row],[Product_Name]])</f>
        <v>Jeans - Straight Cut</v>
      </c>
      <c r="G430">
        <f>IF(H430="", AVERAGEIF(Table1[Product_Category],D430,$H$2:$H$474),H430)</f>
        <v>0</v>
      </c>
      <c r="H430">
        <v>0</v>
      </c>
      <c r="I430" s="2">
        <f t="shared" si="31"/>
        <v>2592.8782222222212</v>
      </c>
      <c r="K430">
        <f t="shared" si="32"/>
        <v>0.18</v>
      </c>
      <c r="L430">
        <v>0.18</v>
      </c>
      <c r="M430" s="2">
        <f t="shared" si="33"/>
        <v>0</v>
      </c>
      <c r="N430">
        <v>0</v>
      </c>
      <c r="O430" t="s">
        <v>39</v>
      </c>
      <c r="P430" t="str">
        <f t="shared" si="34"/>
        <v>B2B</v>
      </c>
      <c r="Q430" t="s">
        <v>22</v>
      </c>
      <c r="R430">
        <v>1465.97</v>
      </c>
    </row>
    <row r="431" spans="1:18" x14ac:dyDescent="0.3">
      <c r="A431">
        <v>1454</v>
      </c>
      <c r="B431" t="str">
        <f t="shared" si="30"/>
        <v>Justin Clements</v>
      </c>
      <c r="C431" t="s">
        <v>505</v>
      </c>
      <c r="D431" t="s">
        <v>28</v>
      </c>
      <c r="E431" t="s">
        <v>41</v>
      </c>
      <c r="F431" t="str">
        <f>CONCATENATE(Table1[[#This Row],[Product_Category]]," - ",Table1[[#This Row],[Product_Name]])</f>
        <v>Accessories - Sunglasses</v>
      </c>
      <c r="G431" s="2">
        <f>IF(H431="", AVERAGEIF(Table1[Product_Category],D431,$H$2:$H$474),H431)</f>
        <v>2.5249999999999999</v>
      </c>
      <c r="I431" s="2">
        <f t="shared" si="31"/>
        <v>4523.58</v>
      </c>
      <c r="J431">
        <v>4523.58</v>
      </c>
      <c r="K431">
        <f t="shared" si="32"/>
        <v>0</v>
      </c>
      <c r="M431" s="2">
        <f t="shared" si="33"/>
        <v>11422.039499999999</v>
      </c>
      <c r="N431">
        <v>0</v>
      </c>
      <c r="O431" t="s">
        <v>45</v>
      </c>
      <c r="P431" t="str">
        <f t="shared" si="34"/>
        <v>B2C</v>
      </c>
      <c r="R431">
        <v>2424.44</v>
      </c>
    </row>
    <row r="432" spans="1:18" x14ac:dyDescent="0.3">
      <c r="A432">
        <v>1455</v>
      </c>
      <c r="B432" t="str">
        <f t="shared" si="30"/>
        <v>Patty Thomas</v>
      </c>
      <c r="C432" t="s">
        <v>506</v>
      </c>
      <c r="D432" t="s">
        <v>32</v>
      </c>
      <c r="E432" t="s">
        <v>71</v>
      </c>
      <c r="F432" t="str">
        <f>CONCATENATE(Table1[[#This Row],[Product_Category]]," - ",Table1[[#This Row],[Product_Name]])</f>
        <v>T-Shirts - Classic Tee</v>
      </c>
      <c r="G432" s="2">
        <f>IF(H432="", AVERAGEIF(Table1[Product_Category],D432,$H$2:$H$474),H432)</f>
        <v>1.5813953488372092</v>
      </c>
      <c r="I432" s="2">
        <f t="shared" si="31"/>
        <v>2715.2732432432431</v>
      </c>
      <c r="K432">
        <f t="shared" si="32"/>
        <v>0</v>
      </c>
      <c r="M432" s="2">
        <f t="shared" si="33"/>
        <v>4293.9204776869892</v>
      </c>
      <c r="N432">
        <v>0</v>
      </c>
      <c r="O432" t="s">
        <v>14</v>
      </c>
      <c r="P432" t="str">
        <f t="shared" si="34"/>
        <v>B2C</v>
      </c>
      <c r="R432">
        <v>743.47</v>
      </c>
    </row>
    <row r="433" spans="1:18" x14ac:dyDescent="0.3">
      <c r="A433">
        <v>1456</v>
      </c>
      <c r="B433" t="str">
        <f t="shared" si="30"/>
        <v>Madison Berry</v>
      </c>
      <c r="C433" t="s">
        <v>507</v>
      </c>
      <c r="D433" t="s">
        <v>32</v>
      </c>
      <c r="E433" t="s">
        <v>81</v>
      </c>
      <c r="F433" t="str">
        <f>CONCATENATE(Table1[[#This Row],[Product_Category]]," - ",Table1[[#This Row],[Product_Name]])</f>
        <v>T-Shirts - Graphic Tee</v>
      </c>
      <c r="G433">
        <f>IF(H433="", AVERAGEIF(Table1[Product_Category],D433,$H$2:$H$474),H433)</f>
        <v>2</v>
      </c>
      <c r="H433">
        <v>2</v>
      </c>
      <c r="I433" s="2">
        <f t="shared" si="31"/>
        <v>2715.2732432432431</v>
      </c>
      <c r="K433">
        <f t="shared" si="32"/>
        <v>0</v>
      </c>
      <c r="M433" s="2">
        <f t="shared" si="33"/>
        <v>5430.5464864864862</v>
      </c>
      <c r="N433">
        <v>0</v>
      </c>
      <c r="O433" t="s">
        <v>39</v>
      </c>
      <c r="P433" t="str">
        <f t="shared" si="34"/>
        <v>B2C</v>
      </c>
      <c r="Q433" t="s">
        <v>15</v>
      </c>
      <c r="R433">
        <v>1350.12</v>
      </c>
    </row>
    <row r="434" spans="1:18" x14ac:dyDescent="0.3">
      <c r="A434">
        <v>1457</v>
      </c>
      <c r="B434" t="str">
        <f t="shared" si="30"/>
        <v>Danielle Washington</v>
      </c>
      <c r="C434" t="s">
        <v>508</v>
      </c>
      <c r="D434" t="s">
        <v>28</v>
      </c>
      <c r="E434" t="s">
        <v>119</v>
      </c>
      <c r="F434" t="str">
        <f>CONCATENATE(Table1[[#This Row],[Product_Category]]," - ",Table1[[#This Row],[Product_Name]])</f>
        <v>Accessories - Watches</v>
      </c>
      <c r="G434">
        <f>IF(H434="", AVERAGEIF(Table1[Product_Category],D434,$H$2:$H$474),H434)</f>
        <v>0</v>
      </c>
      <c r="H434">
        <v>0</v>
      </c>
      <c r="I434" s="2">
        <f t="shared" si="31"/>
        <v>2342.25</v>
      </c>
      <c r="J434">
        <v>2342.25</v>
      </c>
      <c r="K434">
        <f t="shared" si="32"/>
        <v>0</v>
      </c>
      <c r="M434" s="2">
        <f t="shared" si="33"/>
        <v>0</v>
      </c>
      <c r="N434">
        <v>0</v>
      </c>
      <c r="O434" t="s">
        <v>39</v>
      </c>
      <c r="P434" t="str">
        <f t="shared" si="34"/>
        <v>B2B</v>
      </c>
      <c r="Q434" t="s">
        <v>22</v>
      </c>
      <c r="R434">
        <v>750.64</v>
      </c>
    </row>
    <row r="435" spans="1:18" x14ac:dyDescent="0.3">
      <c r="A435">
        <v>1458</v>
      </c>
      <c r="B435" t="str">
        <f t="shared" si="30"/>
        <v>Rachel Marshall</v>
      </c>
      <c r="C435" t="s">
        <v>509</v>
      </c>
      <c r="D435" t="s">
        <v>19</v>
      </c>
      <c r="E435" t="s">
        <v>20</v>
      </c>
      <c r="F435" t="str">
        <f>CONCATENATE(Table1[[#This Row],[Product_Category]]," - ",Table1[[#This Row],[Product_Name]])</f>
        <v>Jackets - Puffer Coat</v>
      </c>
      <c r="G435">
        <f>IF(H435="", AVERAGEIF(Table1[Product_Category],D435,$H$2:$H$474),H435)</f>
        <v>6</v>
      </c>
      <c r="H435">
        <v>6</v>
      </c>
      <c r="I435" s="2">
        <f t="shared" si="31"/>
        <v>2952.3559374999995</v>
      </c>
      <c r="K435">
        <f t="shared" si="32"/>
        <v>0.27</v>
      </c>
      <c r="L435">
        <v>0.27</v>
      </c>
      <c r="M435" s="2">
        <f t="shared" si="33"/>
        <v>12931.319006249996</v>
      </c>
      <c r="N435">
        <v>0</v>
      </c>
      <c r="O435" t="s">
        <v>21</v>
      </c>
      <c r="P435" t="str">
        <f t="shared" si="34"/>
        <v>B2C</v>
      </c>
      <c r="R435">
        <v>1877.22</v>
      </c>
    </row>
    <row r="436" spans="1:18" x14ac:dyDescent="0.3">
      <c r="A436">
        <v>1459</v>
      </c>
      <c r="B436" t="str">
        <f t="shared" si="30"/>
        <v>Anna King</v>
      </c>
      <c r="C436" t="s">
        <v>510</v>
      </c>
      <c r="D436" t="s">
        <v>28</v>
      </c>
      <c r="E436" t="s">
        <v>41</v>
      </c>
      <c r="F436" t="str">
        <f>CONCATENATE(Table1[[#This Row],[Product_Category]]," - ",Table1[[#This Row],[Product_Name]])</f>
        <v>Accessories - Sunglasses</v>
      </c>
      <c r="G436" s="2">
        <f>IF(H436="", AVERAGEIF(Table1[Product_Category],D436,$H$2:$H$474),H436)</f>
        <v>2.5249999999999999</v>
      </c>
      <c r="I436" s="2">
        <f t="shared" si="31"/>
        <v>2494.9899999999998</v>
      </c>
      <c r="J436">
        <v>2494.9899999999998</v>
      </c>
      <c r="K436">
        <f t="shared" si="32"/>
        <v>0.98</v>
      </c>
      <c r="L436">
        <v>0.98</v>
      </c>
      <c r="M436" s="2">
        <f t="shared" si="33"/>
        <v>125.9969950000001</v>
      </c>
      <c r="N436">
        <v>0</v>
      </c>
      <c r="O436" t="s">
        <v>45</v>
      </c>
      <c r="P436" t="str">
        <f t="shared" si="34"/>
        <v>B2C</v>
      </c>
      <c r="R436">
        <v>2959.95</v>
      </c>
    </row>
    <row r="437" spans="1:18" x14ac:dyDescent="0.3">
      <c r="A437">
        <v>1460</v>
      </c>
      <c r="B437" t="str">
        <f t="shared" si="30"/>
        <v>Leah Chaney</v>
      </c>
      <c r="C437" t="s">
        <v>511</v>
      </c>
      <c r="D437" t="s">
        <v>19</v>
      </c>
      <c r="E437" t="s">
        <v>121</v>
      </c>
      <c r="F437" t="str">
        <f>CONCATENATE(Table1[[#This Row],[Product_Category]]," - ",Table1[[#This Row],[Product_Name]])</f>
        <v>Jackets - Leather Jacket</v>
      </c>
      <c r="G437" s="2">
        <f>IF(H437="", AVERAGEIF(Table1[Product_Category],D437,$H$2:$H$474),H437)</f>
        <v>1.675</v>
      </c>
      <c r="I437" s="2">
        <f t="shared" si="31"/>
        <v>4264.16</v>
      </c>
      <c r="J437">
        <v>4264.16</v>
      </c>
      <c r="K437">
        <f t="shared" si="32"/>
        <v>0</v>
      </c>
      <c r="M437" s="2">
        <f t="shared" si="33"/>
        <v>7142.4679999999998</v>
      </c>
      <c r="N437">
        <v>0</v>
      </c>
      <c r="O437" t="s">
        <v>14</v>
      </c>
      <c r="P437" t="str">
        <f t="shared" si="34"/>
        <v>B2B</v>
      </c>
      <c r="Q437" t="s">
        <v>22</v>
      </c>
      <c r="R437">
        <v>921.96</v>
      </c>
    </row>
    <row r="438" spans="1:18" x14ac:dyDescent="0.3">
      <c r="A438">
        <v>1461</v>
      </c>
      <c r="B438" t="str">
        <f t="shared" si="30"/>
        <v>Rebecca Leach</v>
      </c>
      <c r="C438" t="s">
        <v>512</v>
      </c>
      <c r="D438" t="s">
        <v>37</v>
      </c>
      <c r="E438" t="s">
        <v>38</v>
      </c>
      <c r="F438" t="str">
        <f>CONCATENATE(Table1[[#This Row],[Product_Category]]," - ",Table1[[#This Row],[Product_Name]])</f>
        <v>Dresses - Casual Midi</v>
      </c>
      <c r="G438" s="2">
        <f>IF(H438="", AVERAGEIF(Table1[Product_Category],D438,$H$2:$H$474),H438)</f>
        <v>2.0217391304347827</v>
      </c>
      <c r="I438" s="2">
        <f t="shared" si="31"/>
        <v>2708.35</v>
      </c>
      <c r="J438">
        <v>2708.35</v>
      </c>
      <c r="K438">
        <f t="shared" si="32"/>
        <v>1.06</v>
      </c>
      <c r="L438">
        <v>1.06</v>
      </c>
      <c r="M438" s="2">
        <f t="shared" si="33"/>
        <v>-328.53463043478291</v>
      </c>
      <c r="N438">
        <v>0</v>
      </c>
      <c r="O438" t="s">
        <v>552</v>
      </c>
      <c r="P438" t="str">
        <f t="shared" si="34"/>
        <v>B2C</v>
      </c>
      <c r="Q438" t="s">
        <v>15</v>
      </c>
      <c r="R438">
        <v>941.87</v>
      </c>
    </row>
    <row r="439" spans="1:18" x14ac:dyDescent="0.3">
      <c r="A439">
        <v>1462</v>
      </c>
      <c r="B439" t="str">
        <f t="shared" si="30"/>
        <v>Miranda Higgins</v>
      </c>
      <c r="C439" t="s">
        <v>513</v>
      </c>
      <c r="D439" t="s">
        <v>19</v>
      </c>
      <c r="E439" t="s">
        <v>20</v>
      </c>
      <c r="F439" t="str">
        <f>CONCATENATE(Table1[[#This Row],[Product_Category]]," - ",Table1[[#This Row],[Product_Name]])</f>
        <v>Jackets - Puffer Coat</v>
      </c>
      <c r="G439">
        <f>IF(H439="", AVERAGEIF(Table1[Product_Category],D439,$H$2:$H$474),H439)</f>
        <v>-1</v>
      </c>
      <c r="H439">
        <v>-1</v>
      </c>
      <c r="I439" s="2">
        <f t="shared" si="31"/>
        <v>2952.3559374999995</v>
      </c>
      <c r="K439">
        <f t="shared" si="32"/>
        <v>0</v>
      </c>
      <c r="M439" s="2">
        <f t="shared" si="33"/>
        <v>-2952.3559374999995</v>
      </c>
      <c r="N439">
        <v>0</v>
      </c>
      <c r="O439" t="s">
        <v>14</v>
      </c>
      <c r="P439" t="str">
        <f t="shared" si="34"/>
        <v>B2C</v>
      </c>
      <c r="Q439" t="s">
        <v>15</v>
      </c>
      <c r="R439">
        <v>372.63</v>
      </c>
    </row>
    <row r="440" spans="1:18" x14ac:dyDescent="0.3">
      <c r="A440">
        <v>1463</v>
      </c>
      <c r="B440" t="str">
        <f t="shared" si="30"/>
        <v>Danielle Gonzales</v>
      </c>
      <c r="C440" t="s">
        <v>514</v>
      </c>
      <c r="D440" t="s">
        <v>37</v>
      </c>
      <c r="E440" t="s">
        <v>62</v>
      </c>
      <c r="F440" t="str">
        <f>CONCATENATE(Table1[[#This Row],[Product_Category]]," - ",Table1[[#This Row],[Product_Name]])</f>
        <v>Dresses - Wrap Dress</v>
      </c>
      <c r="G440">
        <f>IF(H440="", AVERAGEIF(Table1[Product_Category],D440,$H$2:$H$474),H440)</f>
        <v>1</v>
      </c>
      <c r="H440">
        <v>1</v>
      </c>
      <c r="I440" s="2">
        <f t="shared" si="31"/>
        <v>4606.09</v>
      </c>
      <c r="J440">
        <v>4606.09</v>
      </c>
      <c r="K440">
        <f t="shared" si="32"/>
        <v>1.1200000000000001</v>
      </c>
      <c r="L440">
        <v>1.1200000000000001</v>
      </c>
      <c r="M440" s="2">
        <f t="shared" si="33"/>
        <v>-552.7308000000005</v>
      </c>
      <c r="N440">
        <v>-552.73</v>
      </c>
      <c r="O440" t="s">
        <v>14</v>
      </c>
      <c r="P440" t="str">
        <f t="shared" si="34"/>
        <v>B2B</v>
      </c>
      <c r="Q440" t="s">
        <v>22</v>
      </c>
      <c r="R440">
        <v>-877.13</v>
      </c>
    </row>
    <row r="441" spans="1:18" x14ac:dyDescent="0.3">
      <c r="A441">
        <v>1464</v>
      </c>
      <c r="B441" t="str">
        <f t="shared" si="30"/>
        <v>Jill Johnson</v>
      </c>
      <c r="C441" t="s">
        <v>515</v>
      </c>
      <c r="D441" t="s">
        <v>37</v>
      </c>
      <c r="E441" t="s">
        <v>62</v>
      </c>
      <c r="F441" t="str">
        <f>CONCATENATE(Table1[[#This Row],[Product_Category]]," - ",Table1[[#This Row],[Product_Name]])</f>
        <v>Dresses - Wrap Dress</v>
      </c>
      <c r="G441" s="2">
        <f>IF(H441="", AVERAGEIF(Table1[Product_Category],D441,$H$2:$H$474),H441)</f>
        <v>2.0217391304347827</v>
      </c>
      <c r="I441" s="2">
        <f t="shared" si="31"/>
        <v>2878.0747619047615</v>
      </c>
      <c r="K441">
        <f t="shared" si="32"/>
        <v>0</v>
      </c>
      <c r="M441" s="2">
        <f t="shared" si="33"/>
        <v>5818.7163664596264</v>
      </c>
      <c r="N441">
        <v>0</v>
      </c>
      <c r="O441" t="s">
        <v>39</v>
      </c>
      <c r="P441" t="str">
        <f t="shared" si="34"/>
        <v>B2C</v>
      </c>
      <c r="Q441" t="s">
        <v>15</v>
      </c>
      <c r="R441">
        <v>837.3</v>
      </c>
    </row>
    <row r="442" spans="1:18" x14ac:dyDescent="0.3">
      <c r="A442">
        <v>1465</v>
      </c>
      <c r="B442" t="str">
        <f t="shared" si="30"/>
        <v>William Peck</v>
      </c>
      <c r="C442" t="s">
        <v>516</v>
      </c>
      <c r="D442" t="s">
        <v>28</v>
      </c>
      <c r="E442" t="s">
        <v>29</v>
      </c>
      <c r="F442" t="str">
        <f>CONCATENATE(Table1[[#This Row],[Product_Category]]," - ",Table1[[#This Row],[Product_Name]])</f>
        <v>Accessories - Belts</v>
      </c>
      <c r="G442">
        <f>IF(H442="", AVERAGEIF(Table1[Product_Category],D442,$H$2:$H$474),H442)</f>
        <v>-2</v>
      </c>
      <c r="H442">
        <v>-2</v>
      </c>
      <c r="I442" s="2">
        <f t="shared" si="31"/>
        <v>2215.4</v>
      </c>
      <c r="J442">
        <v>2215.4</v>
      </c>
      <c r="K442">
        <f t="shared" si="32"/>
        <v>0.96</v>
      </c>
      <c r="L442">
        <v>0.96</v>
      </c>
      <c r="M442" s="2">
        <f t="shared" si="33"/>
        <v>-177.23200000000017</v>
      </c>
      <c r="N442">
        <v>-177.23</v>
      </c>
      <c r="O442" t="s">
        <v>552</v>
      </c>
      <c r="P442" t="str">
        <f t="shared" si="34"/>
        <v>B2C</v>
      </c>
      <c r="R442">
        <v>-85.73</v>
      </c>
    </row>
    <row r="443" spans="1:18" x14ac:dyDescent="0.3">
      <c r="A443">
        <v>1468</v>
      </c>
      <c r="B443" t="str">
        <f t="shared" si="30"/>
        <v>Jeremy Nash</v>
      </c>
      <c r="C443" t="s">
        <v>519</v>
      </c>
      <c r="D443" t="s">
        <v>32</v>
      </c>
      <c r="E443" t="s">
        <v>81</v>
      </c>
      <c r="F443" t="str">
        <f>CONCATENATE(Table1[[#This Row],[Product_Category]]," - ",Table1[[#This Row],[Product_Name]])</f>
        <v>T-Shirts - Graphic Tee</v>
      </c>
      <c r="G443" s="2">
        <f>IF(H443="", AVERAGEIF(Table1[Product_Category],D443,$H$2:$H$474),H443)</f>
        <v>1.5813953488372092</v>
      </c>
      <c r="I443" s="2">
        <f t="shared" si="31"/>
        <v>3332.84</v>
      </c>
      <c r="J443">
        <v>3332.84</v>
      </c>
      <c r="K443">
        <f t="shared" si="32"/>
        <v>0.27</v>
      </c>
      <c r="L443">
        <v>0.27</v>
      </c>
      <c r="M443" s="2">
        <f t="shared" si="33"/>
        <v>3847.492502325581</v>
      </c>
      <c r="N443">
        <v>0</v>
      </c>
      <c r="O443" t="s">
        <v>17</v>
      </c>
      <c r="P443" t="str">
        <f t="shared" si="34"/>
        <v>B2C</v>
      </c>
      <c r="R443">
        <v>733.66</v>
      </c>
    </row>
    <row r="444" spans="1:18" x14ac:dyDescent="0.3">
      <c r="A444">
        <v>1469</v>
      </c>
      <c r="B444" t="str">
        <f t="shared" si="30"/>
        <v>Craig Conner MD</v>
      </c>
      <c r="C444" t="s">
        <v>520</v>
      </c>
      <c r="D444" t="s">
        <v>37</v>
      </c>
      <c r="E444" t="s">
        <v>62</v>
      </c>
      <c r="F444" t="str">
        <f>CONCATENATE(Table1[[#This Row],[Product_Category]]," - ",Table1[[#This Row],[Product_Name]])</f>
        <v>Dresses - Wrap Dress</v>
      </c>
      <c r="G444" s="2">
        <f>IF(H444="", AVERAGEIF(Table1[Product_Category],D444,$H$2:$H$474),H444)</f>
        <v>2.0217391304347827</v>
      </c>
      <c r="I444" s="2">
        <f t="shared" si="31"/>
        <v>2665.7</v>
      </c>
      <c r="J444">
        <v>2665.7</v>
      </c>
      <c r="K444">
        <f t="shared" si="32"/>
        <v>0.49</v>
      </c>
      <c r="L444">
        <v>0.49</v>
      </c>
      <c r="M444" s="2">
        <f t="shared" si="33"/>
        <v>2748.5684999999999</v>
      </c>
      <c r="N444">
        <v>0</v>
      </c>
      <c r="O444" t="s">
        <v>39</v>
      </c>
      <c r="P444" t="str">
        <f t="shared" si="34"/>
        <v>B2B</v>
      </c>
      <c r="Q444" t="s">
        <v>22</v>
      </c>
      <c r="R444">
        <v>1644.72</v>
      </c>
    </row>
    <row r="445" spans="1:18" x14ac:dyDescent="0.3">
      <c r="A445">
        <v>1470</v>
      </c>
      <c r="B445" t="str">
        <f t="shared" si="30"/>
        <v>Victoria Hayden</v>
      </c>
      <c r="C445" t="s">
        <v>521</v>
      </c>
      <c r="D445" t="s">
        <v>32</v>
      </c>
      <c r="E445" t="s">
        <v>43</v>
      </c>
      <c r="F445" t="str">
        <f>CONCATENATE(Table1[[#This Row],[Product_Category]]," - ",Table1[[#This Row],[Product_Name]])</f>
        <v>T-Shirts - Oversized T-shirt</v>
      </c>
      <c r="G445">
        <f>IF(H445="", AVERAGEIF(Table1[Product_Category],D445,$H$2:$H$474),H445)</f>
        <v>-1</v>
      </c>
      <c r="H445">
        <v>-1</v>
      </c>
      <c r="I445" s="2">
        <f t="shared" si="31"/>
        <v>1376.54</v>
      </c>
      <c r="J445">
        <v>1376.54</v>
      </c>
      <c r="K445">
        <f t="shared" si="32"/>
        <v>0</v>
      </c>
      <c r="M445" s="2">
        <f t="shared" si="33"/>
        <v>-1376.54</v>
      </c>
      <c r="N445">
        <v>0</v>
      </c>
      <c r="O445" t="s">
        <v>552</v>
      </c>
      <c r="P445" t="str">
        <f t="shared" si="34"/>
        <v>B2C</v>
      </c>
      <c r="R445">
        <v>0.59</v>
      </c>
    </row>
    <row r="446" spans="1:18" x14ac:dyDescent="0.3">
      <c r="A446">
        <v>1471</v>
      </c>
      <c r="B446" t="str">
        <f t="shared" si="30"/>
        <v>Tammy Johnson</v>
      </c>
      <c r="C446" t="s">
        <v>522</v>
      </c>
      <c r="D446" t="s">
        <v>28</v>
      </c>
      <c r="E446" t="s">
        <v>29</v>
      </c>
      <c r="F446" t="str">
        <f>CONCATENATE(Table1[[#This Row],[Product_Category]]," - ",Table1[[#This Row],[Product_Name]])</f>
        <v>Accessories - Belts</v>
      </c>
      <c r="G446">
        <f>IF(H446="", AVERAGEIF(Table1[Product_Category],D446,$H$2:$H$474),H446)</f>
        <v>-2</v>
      </c>
      <c r="H446">
        <v>-2</v>
      </c>
      <c r="I446" s="2">
        <f t="shared" si="31"/>
        <v>4882.03</v>
      </c>
      <c r="J446">
        <v>4882.03</v>
      </c>
      <c r="K446">
        <f t="shared" si="32"/>
        <v>0.23</v>
      </c>
      <c r="L446">
        <v>0.23</v>
      </c>
      <c r="M446" s="2">
        <f t="shared" si="33"/>
        <v>-7518.3261999999995</v>
      </c>
      <c r="N446">
        <v>-7518.33</v>
      </c>
      <c r="O446" t="s">
        <v>552</v>
      </c>
      <c r="P446" t="str">
        <f t="shared" si="34"/>
        <v>B2C</v>
      </c>
      <c r="Q446" t="s">
        <v>15</v>
      </c>
      <c r="R446">
        <v>-605.66999999999996</v>
      </c>
    </row>
    <row r="447" spans="1:18" x14ac:dyDescent="0.3">
      <c r="A447">
        <v>1472</v>
      </c>
      <c r="B447" t="str">
        <f t="shared" si="30"/>
        <v>William Mullins</v>
      </c>
      <c r="C447" t="s">
        <v>523</v>
      </c>
      <c r="D447" t="s">
        <v>28</v>
      </c>
      <c r="E447" t="s">
        <v>29</v>
      </c>
      <c r="F447" t="str">
        <f>CONCATENATE(Table1[[#This Row],[Product_Category]]," - ",Table1[[#This Row],[Product_Name]])</f>
        <v>Accessories - Belts</v>
      </c>
      <c r="G447" s="2">
        <f>IF(H447="", AVERAGEIF(Table1[Product_Category],D447,$H$2:$H$474),H447)</f>
        <v>2.5249999999999999</v>
      </c>
      <c r="I447" s="2">
        <f t="shared" si="31"/>
        <v>2755.6936585365856</v>
      </c>
      <c r="K447">
        <f t="shared" si="32"/>
        <v>1.01</v>
      </c>
      <c r="L447">
        <v>1.01</v>
      </c>
      <c r="M447" s="2">
        <f t="shared" si="33"/>
        <v>-69.581264878048856</v>
      </c>
      <c r="N447">
        <v>0</v>
      </c>
      <c r="O447" t="s">
        <v>21</v>
      </c>
      <c r="P447" t="str">
        <f t="shared" si="34"/>
        <v>B2C</v>
      </c>
      <c r="Q447" t="s">
        <v>15</v>
      </c>
      <c r="R447">
        <v>-69.28</v>
      </c>
    </row>
    <row r="448" spans="1:18" x14ac:dyDescent="0.3">
      <c r="A448">
        <v>1473</v>
      </c>
      <c r="B448" t="str">
        <f t="shared" si="30"/>
        <v>Alicia Reynolds</v>
      </c>
      <c r="C448" t="s">
        <v>524</v>
      </c>
      <c r="D448" t="s">
        <v>32</v>
      </c>
      <c r="E448" t="s">
        <v>81</v>
      </c>
      <c r="F448" t="str">
        <f>CONCATENATE(Table1[[#This Row],[Product_Category]]," - ",Table1[[#This Row],[Product_Name]])</f>
        <v>T-Shirts - Graphic Tee</v>
      </c>
      <c r="G448" s="2">
        <f>IF(H448="", AVERAGEIF(Table1[Product_Category],D448,$H$2:$H$474),H448)</f>
        <v>1.5813953488372092</v>
      </c>
      <c r="I448" s="2">
        <f t="shared" si="31"/>
        <v>2715.2732432432431</v>
      </c>
      <c r="K448">
        <f t="shared" si="32"/>
        <v>0.08</v>
      </c>
      <c r="L448">
        <v>0.08</v>
      </c>
      <c r="M448" s="2">
        <f t="shared" si="33"/>
        <v>3950.4068394720302</v>
      </c>
      <c r="N448">
        <v>0</v>
      </c>
      <c r="O448" t="s">
        <v>39</v>
      </c>
      <c r="P448" t="str">
        <f t="shared" si="34"/>
        <v>B2C</v>
      </c>
      <c r="Q448" t="s">
        <v>15</v>
      </c>
      <c r="R448">
        <v>1769.11</v>
      </c>
    </row>
    <row r="449" spans="1:18" x14ac:dyDescent="0.3">
      <c r="A449">
        <v>1474</v>
      </c>
      <c r="B449" t="str">
        <f t="shared" si="30"/>
        <v>Rachel Shelton</v>
      </c>
      <c r="C449" t="s">
        <v>525</v>
      </c>
      <c r="D449" t="s">
        <v>19</v>
      </c>
      <c r="E449" t="s">
        <v>87</v>
      </c>
      <c r="F449" t="str">
        <f>CONCATENATE(Table1[[#This Row],[Product_Category]]," - ",Table1[[#This Row],[Product_Name]])</f>
        <v>Jackets - Denim Jacket</v>
      </c>
      <c r="G449">
        <f>IF(H449="", AVERAGEIF(Table1[Product_Category],D449,$H$2:$H$474),H449)</f>
        <v>4</v>
      </c>
      <c r="H449">
        <v>4</v>
      </c>
      <c r="I449" s="2">
        <f t="shared" si="31"/>
        <v>2952.3559374999995</v>
      </c>
      <c r="K449">
        <f t="shared" si="32"/>
        <v>0</v>
      </c>
      <c r="M449" s="2">
        <f t="shared" si="33"/>
        <v>11809.423749999998</v>
      </c>
      <c r="N449">
        <v>0</v>
      </c>
      <c r="O449" t="s">
        <v>39</v>
      </c>
      <c r="P449" t="str">
        <f t="shared" si="34"/>
        <v>B2C</v>
      </c>
      <c r="Q449" t="s">
        <v>15</v>
      </c>
      <c r="R449">
        <v>1791.38</v>
      </c>
    </row>
    <row r="450" spans="1:18" x14ac:dyDescent="0.3">
      <c r="A450">
        <v>1475</v>
      </c>
      <c r="B450" t="str">
        <f t="shared" ref="B450:B513" si="35">TRIM(SUBSTITUTE(SUBSTITUTE(SUBSTITUTE(SUBSTITUTE(C450,"Dr. ",""),"Mrs. ",""),"Mr. ",""),"Ms. ",""))</f>
        <v>Nancy James</v>
      </c>
      <c r="C450" t="s">
        <v>526</v>
      </c>
      <c r="D450" t="s">
        <v>32</v>
      </c>
      <c r="E450" t="s">
        <v>43</v>
      </c>
      <c r="F450" t="str">
        <f>CONCATENATE(Table1[[#This Row],[Product_Category]]," - ",Table1[[#This Row],[Product_Name]])</f>
        <v>T-Shirts - Oversized T-shirt</v>
      </c>
      <c r="G450">
        <f>IF(H450="", AVERAGEIF(Table1[Product_Category],D450,$H$2:$H$474),H450)</f>
        <v>-2</v>
      </c>
      <c r="H450">
        <v>-2</v>
      </c>
      <c r="I450" s="2">
        <f t="shared" ref="I450:I474" si="36">IF(J450="",AVERAGEIF($D$2:$D$474,D450,$J$2:$J$474),J450)</f>
        <v>3692.25</v>
      </c>
      <c r="J450">
        <v>3692.25</v>
      </c>
      <c r="K450">
        <f t="shared" ref="K450:K474" si="37">IF(AND(ISBLANK(L450),I450&gt;0,G450&gt;0,N450&gt;0), 1-(N450/(G450*I450)), L450)</f>
        <v>0</v>
      </c>
      <c r="M450" s="2">
        <f t="shared" ref="M450:M474" si="38">G450*I450*(1-K450)</f>
        <v>-7384.5</v>
      </c>
      <c r="N450">
        <v>0</v>
      </c>
      <c r="O450" t="s">
        <v>21</v>
      </c>
      <c r="P450" t="str">
        <f t="shared" ref="P450:P474" si="39">IF(Q450="",IF(O450="Ahmedabad","B2C",IF(O450="Bangalore","B2C",IF(O450="Hyderabad","B2B",IF(O450="Mumbai","B2C","B2C")))),Q450)</f>
        <v>B2C</v>
      </c>
      <c r="Q450" t="s">
        <v>15</v>
      </c>
      <c r="R450">
        <v>433.87</v>
      </c>
    </row>
    <row r="451" spans="1:18" x14ac:dyDescent="0.3">
      <c r="A451">
        <v>1476</v>
      </c>
      <c r="B451" t="str">
        <f t="shared" si="35"/>
        <v>Seth Gonzalez</v>
      </c>
      <c r="C451" t="s">
        <v>527</v>
      </c>
      <c r="D451" t="s">
        <v>12</v>
      </c>
      <c r="E451" t="s">
        <v>101</v>
      </c>
      <c r="F451" t="str">
        <f>CONCATENATE(Table1[[#This Row],[Product_Category]]," - ",Table1[[#This Row],[Product_Name]])</f>
        <v>Jeans - Ripped Denim</v>
      </c>
      <c r="G451">
        <f>IF(H451="", AVERAGEIF(Table1[Product_Category],D451,$H$2:$H$474),H451)</f>
        <v>5</v>
      </c>
      <c r="H451">
        <v>5</v>
      </c>
      <c r="I451" s="2">
        <f t="shared" si="36"/>
        <v>2592.8782222222212</v>
      </c>
      <c r="K451">
        <f t="shared" si="37"/>
        <v>0.56999999999999995</v>
      </c>
      <c r="L451">
        <v>0.56999999999999995</v>
      </c>
      <c r="M451" s="2">
        <f t="shared" si="38"/>
        <v>5574.6881777777762</v>
      </c>
      <c r="N451">
        <v>0</v>
      </c>
      <c r="O451" t="s">
        <v>39</v>
      </c>
      <c r="P451" t="str">
        <f t="shared" si="39"/>
        <v>B2C</v>
      </c>
      <c r="Q451" t="s">
        <v>15</v>
      </c>
      <c r="R451">
        <v>1476.41</v>
      </c>
    </row>
    <row r="452" spans="1:18" x14ac:dyDescent="0.3">
      <c r="A452">
        <v>1477</v>
      </c>
      <c r="B452" t="str">
        <f t="shared" si="35"/>
        <v>Rachel Allen</v>
      </c>
      <c r="C452" t="s">
        <v>528</v>
      </c>
      <c r="D452" t="s">
        <v>37</v>
      </c>
      <c r="E452" t="s">
        <v>90</v>
      </c>
      <c r="F452" t="str">
        <f>CONCATENATE(Table1[[#This Row],[Product_Category]]," - ",Table1[[#This Row],[Product_Name]])</f>
        <v>Dresses - Bodycon</v>
      </c>
      <c r="G452" s="2">
        <f>IF(H452="", AVERAGEIF(Table1[Product_Category],D452,$H$2:$H$474),H452)</f>
        <v>2.0217391304347827</v>
      </c>
      <c r="I452" s="2">
        <f t="shared" si="36"/>
        <v>2277.1999999999998</v>
      </c>
      <c r="J452">
        <v>2277.1999999999998</v>
      </c>
      <c r="K452">
        <f t="shared" si="37"/>
        <v>0</v>
      </c>
      <c r="M452" s="2">
        <f t="shared" si="38"/>
        <v>4603.9043478260865</v>
      </c>
      <c r="N452">
        <v>0</v>
      </c>
      <c r="O452" t="s">
        <v>552</v>
      </c>
      <c r="P452" t="str">
        <f t="shared" si="39"/>
        <v>B2C</v>
      </c>
      <c r="R452">
        <v>1295.82</v>
      </c>
    </row>
    <row r="453" spans="1:18" x14ac:dyDescent="0.3">
      <c r="A453">
        <v>1478</v>
      </c>
      <c r="B453" t="str">
        <f t="shared" si="35"/>
        <v>Jaclyn Lynch</v>
      </c>
      <c r="C453" t="s">
        <v>529</v>
      </c>
      <c r="D453" t="s">
        <v>19</v>
      </c>
      <c r="E453" t="s">
        <v>87</v>
      </c>
      <c r="F453" t="str">
        <f>CONCATENATE(Table1[[#This Row],[Product_Category]]," - ",Table1[[#This Row],[Product_Name]])</f>
        <v>Jackets - Denim Jacket</v>
      </c>
      <c r="G453" s="2">
        <f>IF(H453="", AVERAGEIF(Table1[Product_Category],D453,$H$2:$H$474),H453)</f>
        <v>1.675</v>
      </c>
      <c r="I453" s="2">
        <f t="shared" si="36"/>
        <v>2277.41</v>
      </c>
      <c r="J453">
        <v>2277.41</v>
      </c>
      <c r="K453">
        <f t="shared" si="37"/>
        <v>0</v>
      </c>
      <c r="M453" s="2">
        <f t="shared" si="38"/>
        <v>3814.6617499999998</v>
      </c>
      <c r="N453">
        <v>0</v>
      </c>
      <c r="O453" t="s">
        <v>17</v>
      </c>
      <c r="P453" t="str">
        <f t="shared" si="39"/>
        <v>B2C</v>
      </c>
      <c r="R453">
        <v>-584.69000000000005</v>
      </c>
    </row>
    <row r="454" spans="1:18" x14ac:dyDescent="0.3">
      <c r="A454">
        <v>1479</v>
      </c>
      <c r="B454" t="str">
        <f t="shared" si="35"/>
        <v>Vicki Peterson DDS</v>
      </c>
      <c r="C454" t="s">
        <v>530</v>
      </c>
      <c r="D454" t="s">
        <v>37</v>
      </c>
      <c r="E454" t="s">
        <v>58</v>
      </c>
      <c r="F454" t="str">
        <f>CONCATENATE(Table1[[#This Row],[Product_Category]]," - ",Table1[[#This Row],[Product_Name]])</f>
        <v>Dresses - Maxi Dress</v>
      </c>
      <c r="G454">
        <f>IF(H454="", AVERAGEIF(Table1[Product_Category],D454,$H$2:$H$474),H454)</f>
        <v>1</v>
      </c>
      <c r="H454">
        <v>1</v>
      </c>
      <c r="I454" s="2">
        <f t="shared" si="36"/>
        <v>2878.0747619047615</v>
      </c>
      <c r="K454">
        <f t="shared" si="37"/>
        <v>0</v>
      </c>
      <c r="M454" s="2">
        <f t="shared" si="38"/>
        <v>2878.0747619047615</v>
      </c>
      <c r="N454">
        <v>0</v>
      </c>
      <c r="O454" t="s">
        <v>17</v>
      </c>
      <c r="P454" t="str">
        <f t="shared" si="39"/>
        <v>B2C</v>
      </c>
      <c r="Q454" t="s">
        <v>15</v>
      </c>
      <c r="R454">
        <v>-575.87</v>
      </c>
    </row>
    <row r="455" spans="1:18" x14ac:dyDescent="0.3">
      <c r="A455">
        <v>1480</v>
      </c>
      <c r="B455" t="str">
        <f t="shared" si="35"/>
        <v>Troy Love</v>
      </c>
      <c r="C455" t="s">
        <v>531</v>
      </c>
      <c r="D455" t="s">
        <v>19</v>
      </c>
      <c r="E455" t="s">
        <v>87</v>
      </c>
      <c r="F455" t="str">
        <f>CONCATENATE(Table1[[#This Row],[Product_Category]]," - ",Table1[[#This Row],[Product_Name]])</f>
        <v>Jackets - Denim Jacket</v>
      </c>
      <c r="G455" s="2">
        <f>IF(H455="", AVERAGEIF(Table1[Product_Category],D455,$H$2:$H$474),H455)</f>
        <v>1.675</v>
      </c>
      <c r="I455" s="2">
        <f t="shared" si="36"/>
        <v>755.42</v>
      </c>
      <c r="J455">
        <v>755.42</v>
      </c>
      <c r="K455">
        <f t="shared" si="37"/>
        <v>0</v>
      </c>
      <c r="M455" s="2">
        <f t="shared" si="38"/>
        <v>1265.3285000000001</v>
      </c>
      <c r="N455">
        <v>0</v>
      </c>
      <c r="O455" t="s">
        <v>45</v>
      </c>
      <c r="P455" t="str">
        <f t="shared" si="39"/>
        <v>B2C</v>
      </c>
      <c r="R455">
        <v>2956.26</v>
      </c>
    </row>
    <row r="456" spans="1:18" x14ac:dyDescent="0.3">
      <c r="A456">
        <v>1481</v>
      </c>
      <c r="B456" t="str">
        <f t="shared" si="35"/>
        <v>David Baker</v>
      </c>
      <c r="C456" t="s">
        <v>532</v>
      </c>
      <c r="D456" t="s">
        <v>28</v>
      </c>
      <c r="E456" t="s">
        <v>119</v>
      </c>
      <c r="F456" t="str">
        <f>CONCATENATE(Table1[[#This Row],[Product_Category]]," - ",Table1[[#This Row],[Product_Name]])</f>
        <v>Accessories - Watches</v>
      </c>
      <c r="G456" s="2">
        <f>IF(H456="", AVERAGEIF(Table1[Product_Category],D456,$H$2:$H$474),H456)</f>
        <v>2.5249999999999999</v>
      </c>
      <c r="I456" s="2">
        <f t="shared" si="36"/>
        <v>2755.6936585365856</v>
      </c>
      <c r="K456">
        <f t="shared" si="37"/>
        <v>0.97</v>
      </c>
      <c r="L456">
        <v>0.97</v>
      </c>
      <c r="M456" s="2">
        <f t="shared" si="38"/>
        <v>208.74379463414655</v>
      </c>
      <c r="N456">
        <v>0</v>
      </c>
      <c r="O456" t="s">
        <v>14</v>
      </c>
      <c r="P456" t="str">
        <f t="shared" si="39"/>
        <v>B2C</v>
      </c>
      <c r="Q456" t="s">
        <v>15</v>
      </c>
      <c r="R456">
        <v>375</v>
      </c>
    </row>
    <row r="457" spans="1:18" x14ac:dyDescent="0.3">
      <c r="A457">
        <v>1482</v>
      </c>
      <c r="B457" t="str">
        <f t="shared" si="35"/>
        <v>Kristen Fuentes</v>
      </c>
      <c r="C457" t="s">
        <v>533</v>
      </c>
      <c r="D457" t="s">
        <v>24</v>
      </c>
      <c r="E457" t="s">
        <v>65</v>
      </c>
      <c r="F457" t="str">
        <f>CONCATENATE(Table1[[#This Row],[Product_Category]]," - ",Table1[[#This Row],[Product_Name]])</f>
        <v>Shoes - Slip-ons</v>
      </c>
      <c r="G457" s="2">
        <f>IF(H457="", AVERAGEIF(Table1[Product_Category],D457,$H$2:$H$474),H457)</f>
        <v>1.5517241379310345</v>
      </c>
      <c r="I457" s="2">
        <f t="shared" si="36"/>
        <v>1269.51</v>
      </c>
      <c r="J457">
        <v>1269.51</v>
      </c>
      <c r="K457">
        <f t="shared" si="37"/>
        <v>0</v>
      </c>
      <c r="M457" s="2">
        <f t="shared" si="38"/>
        <v>1969.9293103448276</v>
      </c>
      <c r="N457">
        <v>0</v>
      </c>
      <c r="O457" t="s">
        <v>17</v>
      </c>
      <c r="P457" t="str">
        <f t="shared" si="39"/>
        <v>B2C</v>
      </c>
      <c r="Q457" t="s">
        <v>15</v>
      </c>
      <c r="R457">
        <v>480.43</v>
      </c>
    </row>
    <row r="458" spans="1:18" x14ac:dyDescent="0.3">
      <c r="A458">
        <v>1483</v>
      </c>
      <c r="B458" t="str">
        <f t="shared" si="35"/>
        <v>Kenneth Barry</v>
      </c>
      <c r="C458" t="s">
        <v>534</v>
      </c>
      <c r="D458" t="s">
        <v>32</v>
      </c>
      <c r="E458" t="s">
        <v>43</v>
      </c>
      <c r="F458" t="str">
        <f>CONCATENATE(Table1[[#This Row],[Product_Category]]," - ",Table1[[#This Row],[Product_Name]])</f>
        <v>T-Shirts - Oversized T-shirt</v>
      </c>
      <c r="G458" s="2">
        <f>IF(H458="", AVERAGEIF(Table1[Product_Category],D458,$H$2:$H$474),H458)</f>
        <v>1.5813953488372092</v>
      </c>
      <c r="I458" s="2">
        <f t="shared" si="36"/>
        <v>2347.19</v>
      </c>
      <c r="J458">
        <v>2347.19</v>
      </c>
      <c r="K458">
        <f t="shared" si="37"/>
        <v>0</v>
      </c>
      <c r="M458" s="2">
        <f t="shared" si="38"/>
        <v>3711.835348837209</v>
      </c>
      <c r="N458">
        <v>0</v>
      </c>
      <c r="O458" t="s">
        <v>39</v>
      </c>
      <c r="P458" t="str">
        <f t="shared" si="39"/>
        <v>B2C</v>
      </c>
      <c r="R458">
        <v>2870.3</v>
      </c>
    </row>
    <row r="459" spans="1:18" x14ac:dyDescent="0.3">
      <c r="A459">
        <v>1484</v>
      </c>
      <c r="B459" t="str">
        <f t="shared" si="35"/>
        <v>Judith Johnson</v>
      </c>
      <c r="C459" t="s">
        <v>535</v>
      </c>
      <c r="D459" t="s">
        <v>19</v>
      </c>
      <c r="E459" t="s">
        <v>79</v>
      </c>
      <c r="F459" t="str">
        <f>CONCATENATE(Table1[[#This Row],[Product_Category]]," - ",Table1[[#This Row],[Product_Name]])</f>
        <v>Jackets - Bomber Jacket</v>
      </c>
      <c r="G459">
        <f>IF(H459="", AVERAGEIF(Table1[Product_Category],D459,$H$2:$H$474),H459)</f>
        <v>2</v>
      </c>
      <c r="H459">
        <v>2</v>
      </c>
      <c r="I459" s="2">
        <f t="shared" si="36"/>
        <v>818.68</v>
      </c>
      <c r="J459">
        <v>818.68</v>
      </c>
      <c r="K459">
        <f t="shared" si="37"/>
        <v>0</v>
      </c>
      <c r="M459" s="2">
        <f t="shared" si="38"/>
        <v>1637.36</v>
      </c>
      <c r="N459">
        <v>0</v>
      </c>
      <c r="O459" t="s">
        <v>21</v>
      </c>
      <c r="P459" t="str">
        <f t="shared" si="39"/>
        <v>B2C</v>
      </c>
      <c r="R459">
        <v>2357.7399999999998</v>
      </c>
    </row>
    <row r="460" spans="1:18" x14ac:dyDescent="0.3">
      <c r="A460">
        <v>1485</v>
      </c>
      <c r="B460" t="str">
        <f t="shared" si="35"/>
        <v>Oscar Williams</v>
      </c>
      <c r="C460" t="s">
        <v>536</v>
      </c>
      <c r="D460" t="s">
        <v>24</v>
      </c>
      <c r="E460" t="s">
        <v>53</v>
      </c>
      <c r="F460" t="str">
        <f>CONCATENATE(Table1[[#This Row],[Product_Category]]," - ",Table1[[#This Row],[Product_Name]])</f>
        <v>Shoes - Sneakers</v>
      </c>
      <c r="G460" s="2">
        <f>IF(H460="", AVERAGEIF(Table1[Product_Category],D460,$H$2:$H$474),H460)</f>
        <v>1.5517241379310345</v>
      </c>
      <c r="I460" s="2">
        <f t="shared" si="36"/>
        <v>2676.5783333333325</v>
      </c>
      <c r="K460">
        <f t="shared" si="37"/>
        <v>0</v>
      </c>
      <c r="M460" s="2">
        <f t="shared" si="38"/>
        <v>4153.3112068965502</v>
      </c>
      <c r="N460">
        <v>0</v>
      </c>
      <c r="O460" t="s">
        <v>552</v>
      </c>
      <c r="P460" t="str">
        <f t="shared" si="39"/>
        <v>B2B</v>
      </c>
      <c r="Q460" t="s">
        <v>22</v>
      </c>
      <c r="R460">
        <v>672.88</v>
      </c>
    </row>
    <row r="461" spans="1:18" x14ac:dyDescent="0.3">
      <c r="A461">
        <v>1486</v>
      </c>
      <c r="B461" t="str">
        <f t="shared" si="35"/>
        <v>Gloria Orr</v>
      </c>
      <c r="C461" t="s">
        <v>537</v>
      </c>
      <c r="D461" t="s">
        <v>12</v>
      </c>
      <c r="E461" t="s">
        <v>101</v>
      </c>
      <c r="F461" t="str">
        <f>CONCATENATE(Table1[[#This Row],[Product_Category]]," - ",Table1[[#This Row],[Product_Name]])</f>
        <v>Jeans - Ripped Denim</v>
      </c>
      <c r="G461">
        <f>IF(H461="", AVERAGEIF(Table1[Product_Category],D461,$H$2:$H$474),H461)</f>
        <v>6</v>
      </c>
      <c r="H461">
        <v>6</v>
      </c>
      <c r="I461" s="2">
        <f t="shared" si="36"/>
        <v>2592.8782222222212</v>
      </c>
      <c r="K461">
        <f t="shared" si="37"/>
        <v>0</v>
      </c>
      <c r="M461" s="2">
        <f t="shared" si="38"/>
        <v>15557.269333333326</v>
      </c>
      <c r="N461">
        <v>0</v>
      </c>
      <c r="O461" t="s">
        <v>21</v>
      </c>
      <c r="P461" t="str">
        <f t="shared" si="39"/>
        <v>B2B</v>
      </c>
      <c r="Q461" t="s">
        <v>22</v>
      </c>
      <c r="R461">
        <v>2745.83</v>
      </c>
    </row>
    <row r="462" spans="1:18" x14ac:dyDescent="0.3">
      <c r="A462">
        <v>1487</v>
      </c>
      <c r="B462" t="str">
        <f t="shared" si="35"/>
        <v>Nancy Taylor</v>
      </c>
      <c r="C462" t="s">
        <v>538</v>
      </c>
      <c r="D462" t="s">
        <v>28</v>
      </c>
      <c r="E462" t="s">
        <v>41</v>
      </c>
      <c r="F462" t="str">
        <f>CONCATENATE(Table1[[#This Row],[Product_Category]]," - ",Table1[[#This Row],[Product_Name]])</f>
        <v>Accessories - Sunglasses</v>
      </c>
      <c r="G462">
        <f>IF(H462="", AVERAGEIF(Table1[Product_Category],D462,$H$2:$H$474),H462)</f>
        <v>6</v>
      </c>
      <c r="H462">
        <v>6</v>
      </c>
      <c r="I462" s="2">
        <f t="shared" si="36"/>
        <v>1234.08</v>
      </c>
      <c r="J462">
        <v>1234.08</v>
      </c>
      <c r="K462">
        <f t="shared" si="37"/>
        <v>0.71</v>
      </c>
      <c r="L462">
        <v>0.71</v>
      </c>
      <c r="M462" s="2">
        <f t="shared" si="38"/>
        <v>2147.2991999999999</v>
      </c>
      <c r="N462">
        <v>2147.3000000000002</v>
      </c>
      <c r="O462" t="s">
        <v>14</v>
      </c>
      <c r="P462" t="str">
        <f t="shared" si="39"/>
        <v>B2C</v>
      </c>
      <c r="Q462" t="s">
        <v>15</v>
      </c>
      <c r="R462">
        <v>-849.81</v>
      </c>
    </row>
    <row r="463" spans="1:18" x14ac:dyDescent="0.3">
      <c r="A463">
        <v>1488</v>
      </c>
      <c r="B463" t="str">
        <f t="shared" si="35"/>
        <v>Jennifer Morales DVM</v>
      </c>
      <c r="C463" t="s">
        <v>539</v>
      </c>
      <c r="D463" t="s">
        <v>28</v>
      </c>
      <c r="E463" t="s">
        <v>140</v>
      </c>
      <c r="F463" t="str">
        <f>CONCATENATE(Table1[[#This Row],[Product_Category]]," - ",Table1[[#This Row],[Product_Name]])</f>
        <v>Accessories - Caps</v>
      </c>
      <c r="G463" s="2">
        <f>IF(H463="", AVERAGEIF(Table1[Product_Category],D463,$H$2:$H$474),H463)</f>
        <v>2.5249999999999999</v>
      </c>
      <c r="I463" s="2">
        <f t="shared" si="36"/>
        <v>4925.93</v>
      </c>
      <c r="J463">
        <v>4925.93</v>
      </c>
      <c r="K463">
        <f t="shared" si="37"/>
        <v>0</v>
      </c>
      <c r="M463" s="2">
        <f t="shared" si="38"/>
        <v>12437.973250000001</v>
      </c>
      <c r="N463">
        <v>0</v>
      </c>
      <c r="O463" t="s">
        <v>39</v>
      </c>
      <c r="P463" t="str">
        <f t="shared" si="39"/>
        <v>B2C</v>
      </c>
      <c r="Q463" t="s">
        <v>15</v>
      </c>
      <c r="R463">
        <v>2121.1999999999998</v>
      </c>
    </row>
    <row r="464" spans="1:18" x14ac:dyDescent="0.3">
      <c r="A464">
        <v>1489</v>
      </c>
      <c r="B464" t="str">
        <f t="shared" si="35"/>
        <v>Kimberly Hammond</v>
      </c>
      <c r="C464" t="s">
        <v>540</v>
      </c>
      <c r="D464" t="s">
        <v>24</v>
      </c>
      <c r="E464" t="s">
        <v>53</v>
      </c>
      <c r="F464" t="str">
        <f>CONCATENATE(Table1[[#This Row],[Product_Category]]," - ",Table1[[#This Row],[Product_Name]])</f>
        <v>Shoes - Sneakers</v>
      </c>
      <c r="G464">
        <f>IF(H464="", AVERAGEIF(Table1[Product_Category],D464,$H$2:$H$474),H464)</f>
        <v>-2</v>
      </c>
      <c r="H464">
        <v>-2</v>
      </c>
      <c r="I464" s="2">
        <f t="shared" si="36"/>
        <v>2676.5783333333325</v>
      </c>
      <c r="K464">
        <f t="shared" si="37"/>
        <v>0</v>
      </c>
      <c r="M464" s="2">
        <f t="shared" si="38"/>
        <v>-5353.1566666666649</v>
      </c>
      <c r="N464">
        <v>0</v>
      </c>
      <c r="O464" t="s">
        <v>45</v>
      </c>
      <c r="P464" t="str">
        <f t="shared" si="39"/>
        <v>B2B</v>
      </c>
      <c r="Q464" t="s">
        <v>22</v>
      </c>
      <c r="R464">
        <v>2102.1999999999998</v>
      </c>
    </row>
    <row r="465" spans="1:18" x14ac:dyDescent="0.3">
      <c r="A465">
        <v>1490</v>
      </c>
      <c r="B465" t="str">
        <f t="shared" si="35"/>
        <v>Wendy Hernandez</v>
      </c>
      <c r="C465" t="s">
        <v>541</v>
      </c>
      <c r="D465" t="s">
        <v>32</v>
      </c>
      <c r="E465" t="s">
        <v>71</v>
      </c>
      <c r="F465" t="str">
        <f>CONCATENATE(Table1[[#This Row],[Product_Category]]," - ",Table1[[#This Row],[Product_Name]])</f>
        <v>T-Shirts - Classic Tee</v>
      </c>
      <c r="G465">
        <f>IF(H465="", AVERAGEIF(Table1[Product_Category],D465,$H$2:$H$474),H465)</f>
        <v>1</v>
      </c>
      <c r="H465">
        <v>1</v>
      </c>
      <c r="I465" s="2">
        <f t="shared" si="36"/>
        <v>2715.2732432432431</v>
      </c>
      <c r="K465">
        <f t="shared" si="37"/>
        <v>0</v>
      </c>
      <c r="M465" s="2">
        <f t="shared" si="38"/>
        <v>2715.2732432432431</v>
      </c>
      <c r="N465">
        <v>0</v>
      </c>
      <c r="O465" t="s">
        <v>14</v>
      </c>
      <c r="P465" t="str">
        <f t="shared" si="39"/>
        <v>B2C</v>
      </c>
      <c r="R465">
        <v>230.97</v>
      </c>
    </row>
    <row r="466" spans="1:18" x14ac:dyDescent="0.3">
      <c r="A466">
        <v>1491</v>
      </c>
      <c r="B466" t="str">
        <f t="shared" si="35"/>
        <v>Allen Garner</v>
      </c>
      <c r="C466" t="s">
        <v>542</v>
      </c>
      <c r="D466" t="s">
        <v>24</v>
      </c>
      <c r="E466" t="s">
        <v>53</v>
      </c>
      <c r="F466" t="str">
        <f>CONCATENATE(Table1[[#This Row],[Product_Category]]," - ",Table1[[#This Row],[Product_Name]])</f>
        <v>Shoes - Sneakers</v>
      </c>
      <c r="G466">
        <f>IF(H466="", AVERAGEIF(Table1[Product_Category],D466,$H$2:$H$474),H466)</f>
        <v>1</v>
      </c>
      <c r="H466">
        <v>1</v>
      </c>
      <c r="I466" s="2">
        <f t="shared" si="36"/>
        <v>2676.5783333333325</v>
      </c>
      <c r="K466">
        <f t="shared" si="37"/>
        <v>0.28999999999999998</v>
      </c>
      <c r="L466">
        <v>0.28999999999999998</v>
      </c>
      <c r="M466" s="2">
        <f t="shared" si="38"/>
        <v>1900.3706166666659</v>
      </c>
      <c r="N466">
        <v>0</v>
      </c>
      <c r="O466" t="s">
        <v>39</v>
      </c>
      <c r="P466" t="str">
        <f t="shared" si="39"/>
        <v>B2B</v>
      </c>
      <c r="Q466" t="s">
        <v>22</v>
      </c>
      <c r="R466">
        <v>2039.1</v>
      </c>
    </row>
    <row r="467" spans="1:18" x14ac:dyDescent="0.3">
      <c r="A467">
        <v>1492</v>
      </c>
      <c r="B467" t="str">
        <f t="shared" si="35"/>
        <v>Richard Stephenson</v>
      </c>
      <c r="C467" t="s">
        <v>543</v>
      </c>
      <c r="D467" t="s">
        <v>32</v>
      </c>
      <c r="E467" t="s">
        <v>71</v>
      </c>
      <c r="F467" t="str">
        <f>CONCATENATE(Table1[[#This Row],[Product_Category]]," - ",Table1[[#This Row],[Product_Name]])</f>
        <v>T-Shirts - Classic Tee</v>
      </c>
      <c r="G467" s="2">
        <f>IF(H467="", AVERAGEIF(Table1[Product_Category],D467,$H$2:$H$474),H467)</f>
        <v>1.5813953488372092</v>
      </c>
      <c r="I467" s="2">
        <f t="shared" si="36"/>
        <v>2715.2732432432431</v>
      </c>
      <c r="K467">
        <f t="shared" si="37"/>
        <v>1.07</v>
      </c>
      <c r="L467">
        <v>1.07</v>
      </c>
      <c r="M467" s="2">
        <f t="shared" si="38"/>
        <v>-300.5744334380895</v>
      </c>
      <c r="N467">
        <v>0</v>
      </c>
      <c r="O467" t="s">
        <v>552</v>
      </c>
      <c r="P467" t="str">
        <f t="shared" si="39"/>
        <v>B2B</v>
      </c>
      <c r="Q467" t="s">
        <v>22</v>
      </c>
      <c r="R467">
        <v>-308.83</v>
      </c>
    </row>
    <row r="468" spans="1:18" x14ac:dyDescent="0.3">
      <c r="A468">
        <v>1493</v>
      </c>
      <c r="B468" t="str">
        <f t="shared" si="35"/>
        <v>Gary Wilson</v>
      </c>
      <c r="C468" t="s">
        <v>544</v>
      </c>
      <c r="D468" t="s">
        <v>37</v>
      </c>
      <c r="E468" t="s">
        <v>62</v>
      </c>
      <c r="F468" t="str">
        <f>CONCATENATE(Table1[[#This Row],[Product_Category]]," - ",Table1[[#This Row],[Product_Name]])</f>
        <v>Dresses - Wrap Dress</v>
      </c>
      <c r="G468" s="2">
        <f>IF(H468="", AVERAGEIF(Table1[Product_Category],D468,$H$2:$H$474),H468)</f>
        <v>2.0217391304347827</v>
      </c>
      <c r="I468" s="2">
        <f t="shared" si="36"/>
        <v>2878.0747619047615</v>
      </c>
      <c r="K468">
        <f t="shared" si="37"/>
        <v>0.03</v>
      </c>
      <c r="L468">
        <v>0.03</v>
      </c>
      <c r="M468" s="2">
        <f t="shared" si="38"/>
        <v>5644.1548754658379</v>
      </c>
      <c r="N468">
        <v>0</v>
      </c>
      <c r="O468" t="s">
        <v>552</v>
      </c>
      <c r="P468" t="str">
        <f t="shared" si="39"/>
        <v>B2C</v>
      </c>
      <c r="R468">
        <v>478.28</v>
      </c>
    </row>
    <row r="469" spans="1:18" x14ac:dyDescent="0.3">
      <c r="A469">
        <v>1494</v>
      </c>
      <c r="B469" t="str">
        <f t="shared" si="35"/>
        <v>Elizabeth Nelson</v>
      </c>
      <c r="C469" t="s">
        <v>545</v>
      </c>
      <c r="D469" t="s">
        <v>12</v>
      </c>
      <c r="E469" t="s">
        <v>48</v>
      </c>
      <c r="F469" t="str">
        <f>CONCATENATE(Table1[[#This Row],[Product_Category]]," - ",Table1[[#This Row],[Product_Name]])</f>
        <v>Jeans - Straight Cut</v>
      </c>
      <c r="G469">
        <f>IF(H469="", AVERAGEIF(Table1[Product_Category],D469,$H$2:$H$474),H469)</f>
        <v>2</v>
      </c>
      <c r="I469" s="2">
        <f t="shared" si="36"/>
        <v>4338.0600000000004</v>
      </c>
      <c r="J469">
        <v>4338.0600000000004</v>
      </c>
      <c r="K469">
        <f t="shared" si="37"/>
        <v>0.24</v>
      </c>
      <c r="L469">
        <v>0.24</v>
      </c>
      <c r="M469" s="2">
        <f t="shared" si="38"/>
        <v>6593.851200000001</v>
      </c>
      <c r="N469">
        <v>0</v>
      </c>
      <c r="O469" t="s">
        <v>21</v>
      </c>
      <c r="P469" t="str">
        <f t="shared" si="39"/>
        <v>B2C</v>
      </c>
      <c r="R469">
        <v>386.01</v>
      </c>
    </row>
    <row r="470" spans="1:18" x14ac:dyDescent="0.3">
      <c r="A470">
        <v>1495</v>
      </c>
      <c r="B470" t="str">
        <f t="shared" si="35"/>
        <v>James Mcguire</v>
      </c>
      <c r="C470" t="s">
        <v>546</v>
      </c>
      <c r="D470" t="s">
        <v>28</v>
      </c>
      <c r="E470" t="s">
        <v>119</v>
      </c>
      <c r="F470" t="str">
        <f>CONCATENATE(Table1[[#This Row],[Product_Category]]," - ",Table1[[#This Row],[Product_Name]])</f>
        <v>Accessories - Watches</v>
      </c>
      <c r="G470" s="2">
        <f>IF(H470="", AVERAGEIF(Table1[Product_Category],D470,$H$2:$H$474),H470)</f>
        <v>2.5249999999999999</v>
      </c>
      <c r="I470" s="2">
        <f t="shared" si="36"/>
        <v>2261.4899999999998</v>
      </c>
      <c r="J470">
        <v>2261.4899999999998</v>
      </c>
      <c r="K470">
        <f t="shared" si="37"/>
        <v>0</v>
      </c>
      <c r="M470" s="2">
        <f t="shared" si="38"/>
        <v>5710.2622499999989</v>
      </c>
      <c r="N470">
        <v>0</v>
      </c>
      <c r="O470" t="s">
        <v>39</v>
      </c>
      <c r="P470" t="str">
        <f t="shared" si="39"/>
        <v>B2C</v>
      </c>
      <c r="Q470" t="s">
        <v>15</v>
      </c>
      <c r="R470">
        <v>2044.15</v>
      </c>
    </row>
    <row r="471" spans="1:18" x14ac:dyDescent="0.3">
      <c r="A471">
        <v>1496</v>
      </c>
      <c r="B471" t="str">
        <f t="shared" si="35"/>
        <v>Laura Myers</v>
      </c>
      <c r="C471" t="s">
        <v>547</v>
      </c>
      <c r="D471" t="s">
        <v>19</v>
      </c>
      <c r="E471" t="s">
        <v>87</v>
      </c>
      <c r="F471" t="str">
        <f>CONCATENATE(Table1[[#This Row],[Product_Category]]," - ",Table1[[#This Row],[Product_Name]])</f>
        <v>Jackets - Denim Jacket</v>
      </c>
      <c r="G471">
        <f>IF(H471="", AVERAGEIF(Table1[Product_Category],D471,$H$2:$H$474),H471)</f>
        <v>-1</v>
      </c>
      <c r="H471">
        <v>-1</v>
      </c>
      <c r="I471" s="2">
        <f t="shared" si="36"/>
        <v>4874.76</v>
      </c>
      <c r="J471">
        <v>4874.76</v>
      </c>
      <c r="K471">
        <f t="shared" si="37"/>
        <v>0</v>
      </c>
      <c r="M471" s="2">
        <f t="shared" si="38"/>
        <v>-4874.76</v>
      </c>
      <c r="N471">
        <v>0</v>
      </c>
      <c r="O471" t="s">
        <v>17</v>
      </c>
      <c r="P471" t="str">
        <f t="shared" si="39"/>
        <v>B2B</v>
      </c>
      <c r="Q471" t="s">
        <v>22</v>
      </c>
      <c r="R471">
        <v>2438.13</v>
      </c>
    </row>
    <row r="472" spans="1:18" x14ac:dyDescent="0.3">
      <c r="A472">
        <v>1497</v>
      </c>
      <c r="B472" t="str">
        <f t="shared" si="35"/>
        <v>Joseph Anderson</v>
      </c>
      <c r="C472" t="s">
        <v>548</v>
      </c>
      <c r="D472" t="s">
        <v>28</v>
      </c>
      <c r="E472" t="s">
        <v>29</v>
      </c>
      <c r="F472" t="str">
        <f>CONCATENATE(Table1[[#This Row],[Product_Category]]," - ",Table1[[#This Row],[Product_Name]])</f>
        <v>Accessories - Belts</v>
      </c>
      <c r="G472" s="2">
        <f>IF(H472="", AVERAGEIF(Table1[Product_Category],D472,$H$2:$H$474),H472)</f>
        <v>2.5249999999999999</v>
      </c>
      <c r="I472" s="2">
        <f t="shared" si="36"/>
        <v>1461.5</v>
      </c>
      <c r="J472">
        <v>1461.5</v>
      </c>
      <c r="K472">
        <f t="shared" si="37"/>
        <v>0</v>
      </c>
      <c r="M472" s="2">
        <f t="shared" si="38"/>
        <v>3690.2874999999999</v>
      </c>
      <c r="N472">
        <v>0</v>
      </c>
      <c r="O472" t="s">
        <v>45</v>
      </c>
      <c r="P472" t="str">
        <f t="shared" si="39"/>
        <v>B2C</v>
      </c>
      <c r="Q472" t="s">
        <v>15</v>
      </c>
      <c r="R472">
        <v>1561.06</v>
      </c>
    </row>
    <row r="473" spans="1:18" x14ac:dyDescent="0.3">
      <c r="A473">
        <v>1498</v>
      </c>
      <c r="B473" t="str">
        <f t="shared" si="35"/>
        <v>Tiffany Calhoun</v>
      </c>
      <c r="C473" t="s">
        <v>549</v>
      </c>
      <c r="D473" t="s">
        <v>12</v>
      </c>
      <c r="E473" t="s">
        <v>48</v>
      </c>
      <c r="F473" t="str">
        <f>CONCATENATE(Table1[[#This Row],[Product_Category]]," - ",Table1[[#This Row],[Product_Name]])</f>
        <v>Jeans - Straight Cut</v>
      </c>
      <c r="G473">
        <f>IF(H473="", AVERAGEIF(Table1[Product_Category],D473,$H$2:$H$474),H473)</f>
        <v>6</v>
      </c>
      <c r="H473">
        <v>6</v>
      </c>
      <c r="I473" s="2">
        <f t="shared" si="36"/>
        <v>3771.67</v>
      </c>
      <c r="J473">
        <v>3771.67</v>
      </c>
      <c r="K473">
        <f t="shared" si="37"/>
        <v>0</v>
      </c>
      <c r="M473" s="2">
        <f t="shared" si="38"/>
        <v>22630.02</v>
      </c>
      <c r="N473">
        <v>0</v>
      </c>
      <c r="O473" t="s">
        <v>21</v>
      </c>
      <c r="P473" t="str">
        <f t="shared" si="39"/>
        <v>B2C</v>
      </c>
      <c r="Q473" t="s">
        <v>15</v>
      </c>
      <c r="R473">
        <v>2442.42</v>
      </c>
    </row>
    <row r="474" spans="1:18" x14ac:dyDescent="0.3">
      <c r="A474">
        <v>1499</v>
      </c>
      <c r="B474" t="str">
        <f t="shared" si="35"/>
        <v>Lauren Ellis</v>
      </c>
      <c r="C474" t="s">
        <v>550</v>
      </c>
      <c r="D474" t="s">
        <v>32</v>
      </c>
      <c r="E474" t="s">
        <v>33</v>
      </c>
      <c r="F474" t="str">
        <f>CONCATENATE(Table1[[#This Row],[Product_Category]]," - ",Table1[[#This Row],[Product_Name]])</f>
        <v>T-Shirts - Crop Top</v>
      </c>
      <c r="G474">
        <f>IF(H474="", AVERAGEIF(Table1[Product_Category],D474,$H$2:$H$474),H474)</f>
        <v>2</v>
      </c>
      <c r="H474">
        <v>2</v>
      </c>
      <c r="I474" s="2">
        <f t="shared" si="36"/>
        <v>2715.2732432432431</v>
      </c>
      <c r="K474">
        <f t="shared" si="37"/>
        <v>0</v>
      </c>
      <c r="M474" s="2">
        <f t="shared" si="38"/>
        <v>5430.5464864864862</v>
      </c>
      <c r="N474">
        <v>0</v>
      </c>
      <c r="O474" t="s">
        <v>39</v>
      </c>
      <c r="P474" t="str">
        <f t="shared" si="39"/>
        <v>B2C</v>
      </c>
      <c r="Q474" t="s">
        <v>15</v>
      </c>
      <c r="R474">
        <v>2116.52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D90C-ECD7-4B91-BA33-4DF1916093EA}">
  <dimension ref="A1:J474"/>
  <sheetViews>
    <sheetView workbookViewId="0">
      <selection activeCell="G17" sqref="G17"/>
    </sheetView>
  </sheetViews>
  <sheetFormatPr defaultRowHeight="14.4" x14ac:dyDescent="0.3"/>
  <cols>
    <col min="1" max="1" width="10.44140625" style="4" customWidth="1"/>
    <col min="2" max="2" width="19.6640625" style="4" bestFit="1" customWidth="1"/>
    <col min="3" max="3" width="15.5546875" style="4" customWidth="1"/>
    <col min="4" max="4" width="10.5546875" style="4" customWidth="1"/>
    <col min="5" max="5" width="11" style="4" customWidth="1"/>
    <col min="6" max="6" width="11.6640625" style="4" customWidth="1"/>
    <col min="7" max="7" width="15" style="5" customWidth="1"/>
    <col min="8" max="8" width="10.6640625" style="4" bestFit="1" customWidth="1"/>
    <col min="9" max="9" width="10.33203125" style="4" customWidth="1"/>
    <col min="10" max="10" width="10.33203125" style="4" bestFit="1" customWidth="1"/>
  </cols>
  <sheetData>
    <row r="1" spans="1:10" x14ac:dyDescent="0.3">
      <c r="A1" s="4" t="s">
        <v>0</v>
      </c>
      <c r="B1" s="4" t="s">
        <v>551</v>
      </c>
      <c r="C1" s="4" t="s">
        <v>557</v>
      </c>
      <c r="D1" s="4" t="s">
        <v>553</v>
      </c>
      <c r="E1" s="4" t="s">
        <v>554</v>
      </c>
      <c r="F1" s="4" t="s">
        <v>555</v>
      </c>
      <c r="G1" s="5" t="s">
        <v>589</v>
      </c>
      <c r="H1" s="4" t="s">
        <v>8</v>
      </c>
      <c r="I1" s="4" t="s">
        <v>9</v>
      </c>
      <c r="J1" s="4" t="s">
        <v>10</v>
      </c>
    </row>
    <row r="2" spans="1:10" x14ac:dyDescent="0.3">
      <c r="A2" s="4">
        <v>1000</v>
      </c>
      <c r="B2" s="4" t="s">
        <v>11</v>
      </c>
      <c r="C2" s="4" t="s">
        <v>565</v>
      </c>
      <c r="D2" s="6">
        <v>2</v>
      </c>
      <c r="E2" s="7">
        <v>842</v>
      </c>
      <c r="F2" s="4">
        <v>0.6</v>
      </c>
      <c r="G2" s="9">
        <v>673.6</v>
      </c>
      <c r="H2" s="4" t="s">
        <v>14</v>
      </c>
      <c r="I2" s="4" t="s">
        <v>15</v>
      </c>
      <c r="J2" s="8">
        <v>2137.4499999999998</v>
      </c>
    </row>
    <row r="3" spans="1:10" x14ac:dyDescent="0.3">
      <c r="A3" s="4">
        <v>1001</v>
      </c>
      <c r="B3" s="4" t="s">
        <v>16</v>
      </c>
      <c r="C3" s="4" t="s">
        <v>565</v>
      </c>
      <c r="D3" s="6">
        <v>1</v>
      </c>
      <c r="E3" s="7">
        <v>2592.8782222222212</v>
      </c>
      <c r="F3" s="4">
        <v>0</v>
      </c>
      <c r="G3" s="9">
        <v>2592.8782222222212</v>
      </c>
      <c r="H3" s="4" t="s">
        <v>17</v>
      </c>
      <c r="I3" s="4" t="s">
        <v>15</v>
      </c>
      <c r="J3" s="8">
        <v>1588.15</v>
      </c>
    </row>
    <row r="4" spans="1:10" x14ac:dyDescent="0.3">
      <c r="A4" s="4">
        <v>1002</v>
      </c>
      <c r="B4" s="4" t="s">
        <v>18</v>
      </c>
      <c r="C4" s="4" t="s">
        <v>566</v>
      </c>
      <c r="D4" s="6">
        <v>1</v>
      </c>
      <c r="E4" s="7">
        <v>637.82000000000005</v>
      </c>
      <c r="F4" s="4">
        <v>0</v>
      </c>
      <c r="G4" s="9">
        <v>637.82000000000005</v>
      </c>
      <c r="H4" s="4" t="s">
        <v>21</v>
      </c>
      <c r="I4" s="4" t="s">
        <v>22</v>
      </c>
      <c r="J4" s="8">
        <v>-158.03</v>
      </c>
    </row>
    <row r="5" spans="1:10" x14ac:dyDescent="0.3">
      <c r="A5" s="4">
        <v>1003</v>
      </c>
      <c r="B5" s="4" t="s">
        <v>23</v>
      </c>
      <c r="C5" s="4" t="s">
        <v>567</v>
      </c>
      <c r="D5" s="6">
        <v>2</v>
      </c>
      <c r="E5" s="7">
        <v>2962.27</v>
      </c>
      <c r="F5" s="4">
        <v>0</v>
      </c>
      <c r="G5" s="9">
        <v>5924.54</v>
      </c>
      <c r="H5" s="4" t="s">
        <v>39</v>
      </c>
      <c r="I5" s="4" t="s">
        <v>22</v>
      </c>
      <c r="J5" s="8">
        <v>2296.5</v>
      </c>
    </row>
    <row r="6" spans="1:10" x14ac:dyDescent="0.3">
      <c r="A6" s="4">
        <v>1004</v>
      </c>
      <c r="B6" s="4" t="s">
        <v>27</v>
      </c>
      <c r="C6" s="4" t="s">
        <v>568</v>
      </c>
      <c r="D6" s="6">
        <v>1</v>
      </c>
      <c r="E6" s="7">
        <v>2881.07</v>
      </c>
      <c r="F6" s="4">
        <v>0.27</v>
      </c>
      <c r="G6" s="9">
        <v>2103.1811000000002</v>
      </c>
      <c r="H6" s="4" t="s">
        <v>552</v>
      </c>
      <c r="I6" s="4" t="s">
        <v>15</v>
      </c>
      <c r="J6" s="8">
        <v>63.66</v>
      </c>
    </row>
    <row r="7" spans="1:10" x14ac:dyDescent="0.3">
      <c r="A7" s="4">
        <v>1005</v>
      </c>
      <c r="B7" s="4" t="s">
        <v>31</v>
      </c>
      <c r="C7" s="4" t="s">
        <v>569</v>
      </c>
      <c r="D7" s="6">
        <v>1.5813953488372092</v>
      </c>
      <c r="E7" s="7">
        <v>2715.2732432432431</v>
      </c>
      <c r="F7" s="4">
        <v>0</v>
      </c>
      <c r="G7" s="9">
        <v>4293.9204776869892</v>
      </c>
      <c r="H7" s="4" t="s">
        <v>21</v>
      </c>
      <c r="I7" s="4" t="s">
        <v>22</v>
      </c>
      <c r="J7" s="8">
        <v>1477.73</v>
      </c>
    </row>
    <row r="8" spans="1:10" x14ac:dyDescent="0.3">
      <c r="A8" s="4">
        <v>1006</v>
      </c>
      <c r="B8" s="4" t="s">
        <v>34</v>
      </c>
      <c r="C8" s="4" t="s">
        <v>570</v>
      </c>
      <c r="D8" s="6">
        <v>1</v>
      </c>
      <c r="E8" s="7">
        <v>2060.85</v>
      </c>
      <c r="F8" s="4">
        <v>0</v>
      </c>
      <c r="G8" s="9">
        <v>2060.85</v>
      </c>
      <c r="H8" s="4" t="s">
        <v>17</v>
      </c>
      <c r="I8" s="4" t="s">
        <v>22</v>
      </c>
      <c r="J8" s="8">
        <v>198.36</v>
      </c>
    </row>
    <row r="9" spans="1:10" x14ac:dyDescent="0.3">
      <c r="A9" s="4">
        <v>1007</v>
      </c>
      <c r="B9" s="4" t="s">
        <v>558</v>
      </c>
      <c r="C9" s="4" t="s">
        <v>571</v>
      </c>
      <c r="D9" s="6">
        <v>2.0217391304347827</v>
      </c>
      <c r="E9" s="7">
        <v>3669.56</v>
      </c>
      <c r="F9" s="4">
        <v>0</v>
      </c>
      <c r="G9" s="9">
        <v>7418.8930434782615</v>
      </c>
      <c r="H9" s="4" t="s">
        <v>39</v>
      </c>
      <c r="I9" s="4" t="s">
        <v>15</v>
      </c>
      <c r="J9" s="8">
        <v>2490.0100000000002</v>
      </c>
    </row>
    <row r="10" spans="1:10" x14ac:dyDescent="0.3">
      <c r="A10" s="4">
        <v>1008</v>
      </c>
      <c r="B10" s="4" t="s">
        <v>40</v>
      </c>
      <c r="C10" s="4" t="s">
        <v>572</v>
      </c>
      <c r="D10" s="6">
        <v>2.5249999999999999</v>
      </c>
      <c r="E10" s="7">
        <v>2755.6936585365856</v>
      </c>
      <c r="F10" s="4">
        <v>0</v>
      </c>
      <c r="G10" s="9">
        <v>6958.1264878048787</v>
      </c>
      <c r="H10" s="4" t="s">
        <v>17</v>
      </c>
      <c r="I10" s="4" t="s">
        <v>15</v>
      </c>
      <c r="J10" s="8">
        <v>-886.8</v>
      </c>
    </row>
    <row r="11" spans="1:10" x14ac:dyDescent="0.3">
      <c r="A11" s="4">
        <v>1009</v>
      </c>
      <c r="B11" s="4" t="s">
        <v>42</v>
      </c>
      <c r="C11" s="4" t="s">
        <v>573</v>
      </c>
      <c r="D11" s="6">
        <v>5</v>
      </c>
      <c r="E11" s="7">
        <v>2715.2732432432431</v>
      </c>
      <c r="F11" s="4">
        <v>0</v>
      </c>
      <c r="G11" s="9">
        <v>13576.366216216215</v>
      </c>
      <c r="H11" s="4" t="s">
        <v>39</v>
      </c>
      <c r="I11" s="4" t="s">
        <v>22</v>
      </c>
      <c r="J11" s="8">
        <v>-972.73</v>
      </c>
    </row>
    <row r="12" spans="1:10" x14ac:dyDescent="0.3">
      <c r="A12" s="4">
        <v>1010</v>
      </c>
      <c r="B12" s="4" t="s">
        <v>44</v>
      </c>
      <c r="C12" s="4" t="s">
        <v>569</v>
      </c>
      <c r="D12" s="6">
        <v>0</v>
      </c>
      <c r="E12" s="7">
        <v>4007.02</v>
      </c>
      <c r="F12" s="4">
        <v>0</v>
      </c>
      <c r="G12" s="9">
        <v>0</v>
      </c>
      <c r="H12" s="4" t="s">
        <v>45</v>
      </c>
      <c r="I12" s="4" t="s">
        <v>22</v>
      </c>
      <c r="J12" s="8">
        <v>-950.38</v>
      </c>
    </row>
    <row r="13" spans="1:10" x14ac:dyDescent="0.3">
      <c r="A13" s="4">
        <v>1011</v>
      </c>
      <c r="B13" s="4" t="s">
        <v>46</v>
      </c>
      <c r="C13" s="4" t="s">
        <v>568</v>
      </c>
      <c r="D13" s="6">
        <v>0</v>
      </c>
      <c r="E13" s="7">
        <v>2755.6936585365856</v>
      </c>
      <c r="F13" s="4">
        <v>0</v>
      </c>
      <c r="G13" s="9">
        <v>0</v>
      </c>
      <c r="H13" s="4" t="s">
        <v>14</v>
      </c>
      <c r="I13" s="4" t="s">
        <v>15</v>
      </c>
      <c r="J13" s="8">
        <v>1370.67</v>
      </c>
    </row>
    <row r="14" spans="1:10" x14ac:dyDescent="0.3">
      <c r="A14" s="4">
        <v>1012</v>
      </c>
      <c r="B14" s="4" t="s">
        <v>47</v>
      </c>
      <c r="C14" s="4" t="s">
        <v>574</v>
      </c>
      <c r="D14" s="6">
        <v>4</v>
      </c>
      <c r="E14" s="7">
        <v>2592.8782222222212</v>
      </c>
      <c r="F14" s="4">
        <v>0.21</v>
      </c>
      <c r="G14" s="9">
        <v>8193.4951822222192</v>
      </c>
      <c r="H14" s="4" t="s">
        <v>17</v>
      </c>
      <c r="I14" s="4" t="s">
        <v>15</v>
      </c>
      <c r="J14" s="8">
        <v>843.61</v>
      </c>
    </row>
    <row r="15" spans="1:10" x14ac:dyDescent="0.3">
      <c r="A15" s="4">
        <v>1013</v>
      </c>
      <c r="B15" s="4" t="s">
        <v>49</v>
      </c>
      <c r="C15" s="4" t="s">
        <v>569</v>
      </c>
      <c r="D15" s="6">
        <v>1.5813953488372092</v>
      </c>
      <c r="E15" s="7">
        <v>2715.2732432432431</v>
      </c>
      <c r="F15" s="4">
        <v>0.62</v>
      </c>
      <c r="G15" s="9">
        <v>1631.6897815210559</v>
      </c>
      <c r="H15" s="4" t="s">
        <v>45</v>
      </c>
      <c r="I15" s="4" t="s">
        <v>15</v>
      </c>
      <c r="J15" s="8">
        <v>1279.58</v>
      </c>
    </row>
    <row r="16" spans="1:10" x14ac:dyDescent="0.3">
      <c r="A16" s="4">
        <v>1014</v>
      </c>
      <c r="B16" s="4" t="s">
        <v>50</v>
      </c>
      <c r="C16" s="4" t="s">
        <v>567</v>
      </c>
      <c r="D16" s="6">
        <v>4</v>
      </c>
      <c r="E16" s="7">
        <v>2676.5783333333325</v>
      </c>
      <c r="F16" s="4">
        <v>0</v>
      </c>
      <c r="G16" s="9">
        <v>10706.31333333333</v>
      </c>
      <c r="H16" s="4" t="s">
        <v>552</v>
      </c>
      <c r="I16" s="4" t="s">
        <v>15</v>
      </c>
      <c r="J16" s="8">
        <v>-889.25</v>
      </c>
    </row>
    <row r="17" spans="1:10" x14ac:dyDescent="0.3">
      <c r="A17" s="4">
        <v>1015</v>
      </c>
      <c r="B17" s="4" t="s">
        <v>52</v>
      </c>
      <c r="C17" s="4" t="s">
        <v>575</v>
      </c>
      <c r="D17" s="6">
        <v>6</v>
      </c>
      <c r="E17" s="7">
        <v>2676.5783333333325</v>
      </c>
      <c r="F17" s="4">
        <v>0</v>
      </c>
      <c r="G17" s="9">
        <v>16059.469999999994</v>
      </c>
      <c r="H17" s="4" t="s">
        <v>17</v>
      </c>
      <c r="I17" s="4" t="s">
        <v>15</v>
      </c>
      <c r="J17" s="8">
        <v>793.8</v>
      </c>
    </row>
    <row r="18" spans="1:10" x14ac:dyDescent="0.3">
      <c r="A18" s="4">
        <v>1016</v>
      </c>
      <c r="B18" s="4" t="s">
        <v>54</v>
      </c>
      <c r="C18" s="4" t="s">
        <v>569</v>
      </c>
      <c r="D18" s="6">
        <v>1.5813953488372092</v>
      </c>
      <c r="E18" s="7">
        <v>2715.2732432432431</v>
      </c>
      <c r="F18" s="4">
        <v>0</v>
      </c>
      <c r="G18" s="9">
        <v>4293.9204776869892</v>
      </c>
      <c r="H18" s="4" t="s">
        <v>552</v>
      </c>
      <c r="I18" s="4" t="s">
        <v>22</v>
      </c>
      <c r="J18" s="8">
        <v>1881.89</v>
      </c>
    </row>
    <row r="19" spans="1:10" x14ac:dyDescent="0.3">
      <c r="A19" s="4">
        <v>1017</v>
      </c>
      <c r="B19" s="4" t="s">
        <v>56</v>
      </c>
      <c r="C19" s="4" t="s">
        <v>573</v>
      </c>
      <c r="D19" s="6">
        <v>3</v>
      </c>
      <c r="E19" s="7">
        <v>468.53</v>
      </c>
      <c r="F19" s="4">
        <v>0</v>
      </c>
      <c r="G19" s="9">
        <v>1405.59</v>
      </c>
      <c r="H19" s="4" t="s">
        <v>21</v>
      </c>
      <c r="I19" s="4" t="s">
        <v>22</v>
      </c>
      <c r="J19" s="8">
        <v>-195.65</v>
      </c>
    </row>
    <row r="20" spans="1:10" x14ac:dyDescent="0.3">
      <c r="A20" s="4">
        <v>1018</v>
      </c>
      <c r="B20" s="4" t="s">
        <v>57</v>
      </c>
      <c r="C20" s="4" t="s">
        <v>576</v>
      </c>
      <c r="D20" s="6">
        <v>4</v>
      </c>
      <c r="E20" s="7">
        <v>2878.0747619047615</v>
      </c>
      <c r="F20" s="4">
        <v>0</v>
      </c>
      <c r="G20" s="9">
        <v>11512.299047619046</v>
      </c>
      <c r="H20" s="4" t="s">
        <v>39</v>
      </c>
      <c r="I20" s="4" t="s">
        <v>15</v>
      </c>
      <c r="J20" s="8">
        <v>2102.56</v>
      </c>
    </row>
    <row r="21" spans="1:10" x14ac:dyDescent="0.3">
      <c r="A21" s="4">
        <v>1019</v>
      </c>
      <c r="B21" s="4" t="s">
        <v>59</v>
      </c>
      <c r="C21" s="4" t="s">
        <v>571</v>
      </c>
      <c r="D21" s="6">
        <v>2.0217391304347827</v>
      </c>
      <c r="E21" s="7">
        <v>4064.4</v>
      </c>
      <c r="F21" s="4">
        <v>0.7</v>
      </c>
      <c r="G21" s="9">
        <v>2465.1469565217394</v>
      </c>
      <c r="H21" s="4" t="s">
        <v>17</v>
      </c>
      <c r="I21" s="4" t="s">
        <v>15</v>
      </c>
      <c r="J21" s="8">
        <v>877.21</v>
      </c>
    </row>
    <row r="22" spans="1:10" x14ac:dyDescent="0.3">
      <c r="A22" s="4">
        <v>1020</v>
      </c>
      <c r="B22" s="4" t="s">
        <v>60</v>
      </c>
      <c r="C22" s="4" t="s">
        <v>570</v>
      </c>
      <c r="D22" s="6">
        <v>1</v>
      </c>
      <c r="E22" s="7">
        <v>2592.8782222222212</v>
      </c>
      <c r="F22" s="4">
        <v>0</v>
      </c>
      <c r="G22" s="9">
        <v>2592.8782222222212</v>
      </c>
      <c r="H22" s="4" t="s">
        <v>45</v>
      </c>
      <c r="I22" s="4" t="s">
        <v>22</v>
      </c>
      <c r="J22" s="8">
        <v>669.75</v>
      </c>
    </row>
    <row r="23" spans="1:10" x14ac:dyDescent="0.3">
      <c r="A23" s="4">
        <v>1021</v>
      </c>
      <c r="B23" s="4" t="s">
        <v>61</v>
      </c>
      <c r="C23" s="4" t="s">
        <v>577</v>
      </c>
      <c r="D23" s="6">
        <v>2.0217391304347827</v>
      </c>
      <c r="E23" s="7">
        <v>2878.0747619047615</v>
      </c>
      <c r="F23" s="4">
        <v>0</v>
      </c>
      <c r="G23" s="9">
        <v>5818.7163664596264</v>
      </c>
      <c r="H23" s="4" t="s">
        <v>39</v>
      </c>
      <c r="I23" s="4" t="s">
        <v>22</v>
      </c>
      <c r="J23" s="8">
        <v>-705.72</v>
      </c>
    </row>
    <row r="24" spans="1:10" x14ac:dyDescent="0.3">
      <c r="A24" s="4">
        <v>1031</v>
      </c>
      <c r="B24" s="4" t="s">
        <v>63</v>
      </c>
      <c r="C24" s="4" t="s">
        <v>577</v>
      </c>
      <c r="D24" s="6">
        <v>2.0217391304347827</v>
      </c>
      <c r="E24" s="7">
        <v>1872.05</v>
      </c>
      <c r="F24" s="4">
        <v>0.15</v>
      </c>
      <c r="G24" s="9">
        <v>3217.0772282608696</v>
      </c>
      <c r="H24" s="4" t="s">
        <v>45</v>
      </c>
      <c r="I24" s="4" t="s">
        <v>15</v>
      </c>
      <c r="J24" s="8">
        <v>-863.9</v>
      </c>
    </row>
    <row r="25" spans="1:10" x14ac:dyDescent="0.3">
      <c r="A25" s="4">
        <v>1023</v>
      </c>
      <c r="B25" s="4" t="s">
        <v>64</v>
      </c>
      <c r="C25" s="4" t="s">
        <v>578</v>
      </c>
      <c r="D25" s="6">
        <v>1.5517241379310345</v>
      </c>
      <c r="E25" s="7">
        <v>2676.5783333333325</v>
      </c>
      <c r="F25" s="4">
        <v>0</v>
      </c>
      <c r="G25" s="9">
        <v>4153.3112068965502</v>
      </c>
      <c r="H25" s="4" t="s">
        <v>21</v>
      </c>
      <c r="I25" s="4" t="s">
        <v>15</v>
      </c>
      <c r="J25" s="8">
        <v>-875.51</v>
      </c>
    </row>
    <row r="26" spans="1:10" x14ac:dyDescent="0.3">
      <c r="A26" s="4">
        <v>1024</v>
      </c>
      <c r="B26" s="4" t="s">
        <v>66</v>
      </c>
      <c r="C26" s="4" t="s">
        <v>566</v>
      </c>
      <c r="D26" s="6">
        <v>-2</v>
      </c>
      <c r="E26" s="7">
        <v>2952.3559374999995</v>
      </c>
      <c r="F26" s="4">
        <v>1.19</v>
      </c>
      <c r="G26" s="9">
        <v>1121.8952562499994</v>
      </c>
      <c r="H26" s="4" t="s">
        <v>14</v>
      </c>
      <c r="I26" s="4" t="s">
        <v>22</v>
      </c>
      <c r="J26" s="8">
        <v>491.1</v>
      </c>
    </row>
    <row r="27" spans="1:10" x14ac:dyDescent="0.3">
      <c r="A27" s="4">
        <v>1025</v>
      </c>
      <c r="B27" s="4" t="s">
        <v>67</v>
      </c>
      <c r="C27" s="4" t="s">
        <v>574</v>
      </c>
      <c r="D27" s="6">
        <v>4</v>
      </c>
      <c r="E27" s="7">
        <v>4595.08</v>
      </c>
      <c r="F27" s="4">
        <v>0</v>
      </c>
      <c r="G27" s="9">
        <v>18380.32</v>
      </c>
      <c r="H27" s="4" t="s">
        <v>39</v>
      </c>
      <c r="I27" s="4" t="s">
        <v>15</v>
      </c>
      <c r="J27" s="8">
        <v>330.82</v>
      </c>
    </row>
    <row r="28" spans="1:10" x14ac:dyDescent="0.3">
      <c r="A28" s="4">
        <v>1026</v>
      </c>
      <c r="B28" s="4" t="s">
        <v>68</v>
      </c>
      <c r="C28" s="4" t="s">
        <v>572</v>
      </c>
      <c r="D28" s="6">
        <v>2.5249999999999999</v>
      </c>
      <c r="E28" s="7">
        <v>2755.6936585365856</v>
      </c>
      <c r="F28" s="4">
        <v>0</v>
      </c>
      <c r="G28" s="9">
        <v>6958.1264878048787</v>
      </c>
      <c r="H28" s="4" t="s">
        <v>17</v>
      </c>
      <c r="I28" s="4" t="s">
        <v>22</v>
      </c>
      <c r="J28" s="8">
        <v>-194.77</v>
      </c>
    </row>
    <row r="29" spans="1:10" x14ac:dyDescent="0.3">
      <c r="A29" s="4">
        <v>1027</v>
      </c>
      <c r="B29" s="4" t="s">
        <v>69</v>
      </c>
      <c r="C29" s="4" t="s">
        <v>568</v>
      </c>
      <c r="D29" s="6">
        <v>1</v>
      </c>
      <c r="E29" s="7">
        <v>2755.6936585365856</v>
      </c>
      <c r="F29" s="4">
        <v>0</v>
      </c>
      <c r="G29" s="9">
        <v>2755.6936585365856</v>
      </c>
      <c r="H29" s="4" t="s">
        <v>552</v>
      </c>
      <c r="I29" s="4" t="s">
        <v>22</v>
      </c>
      <c r="J29" s="8">
        <v>1085.3599999999999</v>
      </c>
    </row>
    <row r="30" spans="1:10" x14ac:dyDescent="0.3">
      <c r="A30" s="4">
        <v>1028</v>
      </c>
      <c r="B30" s="4" t="s">
        <v>70</v>
      </c>
      <c r="C30" s="4" t="s">
        <v>579</v>
      </c>
      <c r="D30" s="6">
        <v>-2</v>
      </c>
      <c r="E30" s="7">
        <v>2715.2732432432431</v>
      </c>
      <c r="F30" s="4">
        <v>0</v>
      </c>
      <c r="G30" s="9">
        <v>-5430.5464864864862</v>
      </c>
      <c r="H30" s="4" t="s">
        <v>552</v>
      </c>
      <c r="I30" s="4" t="s">
        <v>22</v>
      </c>
      <c r="J30" s="8">
        <v>2060.0300000000002</v>
      </c>
    </row>
    <row r="31" spans="1:10" x14ac:dyDescent="0.3">
      <c r="A31" s="4">
        <v>1029</v>
      </c>
      <c r="B31" s="4" t="s">
        <v>72</v>
      </c>
      <c r="C31" s="4" t="s">
        <v>579</v>
      </c>
      <c r="D31" s="6">
        <v>4</v>
      </c>
      <c r="E31" s="7">
        <v>2715.2732432432431</v>
      </c>
      <c r="F31" s="4">
        <v>0</v>
      </c>
      <c r="G31" s="9">
        <v>10861.092972972972</v>
      </c>
      <c r="H31" s="4" t="s">
        <v>21</v>
      </c>
      <c r="I31" s="4" t="s">
        <v>15</v>
      </c>
      <c r="J31" s="8">
        <v>1737.92</v>
      </c>
    </row>
    <row r="32" spans="1:10" x14ac:dyDescent="0.3">
      <c r="A32" s="4">
        <v>1030</v>
      </c>
      <c r="B32" s="4" t="s">
        <v>73</v>
      </c>
      <c r="C32" s="4" t="s">
        <v>576</v>
      </c>
      <c r="D32" s="6">
        <v>3</v>
      </c>
      <c r="E32" s="7">
        <v>1069.77</v>
      </c>
      <c r="F32" s="4">
        <v>0</v>
      </c>
      <c r="G32" s="9">
        <v>3209.31</v>
      </c>
      <c r="H32" s="4" t="s">
        <v>552</v>
      </c>
      <c r="I32" s="4" t="s">
        <v>15</v>
      </c>
      <c r="J32" s="8">
        <v>1155.3800000000001</v>
      </c>
    </row>
    <row r="33" spans="1:10" x14ac:dyDescent="0.3">
      <c r="A33" s="4">
        <v>1032</v>
      </c>
      <c r="B33" s="4" t="s">
        <v>75</v>
      </c>
      <c r="C33" s="4" t="s">
        <v>570</v>
      </c>
      <c r="D33" s="6">
        <v>2</v>
      </c>
      <c r="E33" s="7">
        <v>2182.0100000000002</v>
      </c>
      <c r="F33" s="4">
        <v>0</v>
      </c>
      <c r="G33" s="9">
        <v>4364.0200000000004</v>
      </c>
      <c r="H33" s="4" t="s">
        <v>14</v>
      </c>
      <c r="I33" s="4" t="s">
        <v>15</v>
      </c>
      <c r="J33" s="8">
        <v>1377.61</v>
      </c>
    </row>
    <row r="34" spans="1:10" x14ac:dyDescent="0.3">
      <c r="A34" s="4">
        <v>1033</v>
      </c>
      <c r="B34" s="4" t="s">
        <v>76</v>
      </c>
      <c r="C34" s="4" t="s">
        <v>574</v>
      </c>
      <c r="D34" s="6">
        <v>2</v>
      </c>
      <c r="E34" s="7">
        <v>2592.8782222222212</v>
      </c>
      <c r="F34" s="4">
        <v>0</v>
      </c>
      <c r="G34" s="9">
        <v>5185.7564444444424</v>
      </c>
      <c r="H34" s="4" t="s">
        <v>552</v>
      </c>
      <c r="I34" s="4" t="s">
        <v>22</v>
      </c>
      <c r="J34" s="8">
        <v>903.69</v>
      </c>
    </row>
    <row r="35" spans="1:10" x14ac:dyDescent="0.3">
      <c r="A35" s="4">
        <v>1034</v>
      </c>
      <c r="B35" s="4" t="s">
        <v>77</v>
      </c>
      <c r="C35" s="4" t="s">
        <v>566</v>
      </c>
      <c r="D35" s="6">
        <v>0</v>
      </c>
      <c r="E35" s="7">
        <v>4449.3599999999997</v>
      </c>
      <c r="F35" s="4">
        <v>0.94</v>
      </c>
      <c r="G35" s="9">
        <v>0</v>
      </c>
      <c r="H35" s="4" t="s">
        <v>14</v>
      </c>
      <c r="I35" s="4" t="s">
        <v>22</v>
      </c>
      <c r="J35" s="8">
        <v>-282.68</v>
      </c>
    </row>
    <row r="36" spans="1:10" x14ac:dyDescent="0.3">
      <c r="A36" s="4">
        <v>1035</v>
      </c>
      <c r="B36" s="4" t="s">
        <v>78</v>
      </c>
      <c r="C36" s="4" t="s">
        <v>580</v>
      </c>
      <c r="D36" s="6">
        <v>-1</v>
      </c>
      <c r="E36" s="7">
        <v>2952.3559374999995</v>
      </c>
      <c r="F36" s="4">
        <v>0.94</v>
      </c>
      <c r="G36" s="9">
        <v>-177.14135625000011</v>
      </c>
      <c r="H36" s="4" t="s">
        <v>17</v>
      </c>
      <c r="I36" s="4" t="s">
        <v>15</v>
      </c>
      <c r="J36" s="8">
        <v>-199.18</v>
      </c>
    </row>
    <row r="37" spans="1:10" x14ac:dyDescent="0.3">
      <c r="A37" s="4">
        <v>1036</v>
      </c>
      <c r="B37" s="4" t="s">
        <v>80</v>
      </c>
      <c r="C37" s="4" t="s">
        <v>581</v>
      </c>
      <c r="D37" s="6">
        <v>-2</v>
      </c>
      <c r="E37" s="7">
        <v>2721.83</v>
      </c>
      <c r="F37" s="4">
        <v>0</v>
      </c>
      <c r="G37" s="9">
        <v>-5443.66</v>
      </c>
      <c r="H37" s="4" t="s">
        <v>17</v>
      </c>
      <c r="I37" s="4" t="s">
        <v>22</v>
      </c>
      <c r="J37" s="8">
        <v>1213.95</v>
      </c>
    </row>
    <row r="38" spans="1:10" x14ac:dyDescent="0.3">
      <c r="A38" s="4">
        <v>1037</v>
      </c>
      <c r="B38" s="4" t="s">
        <v>82</v>
      </c>
      <c r="C38" s="4" t="s">
        <v>572</v>
      </c>
      <c r="D38" s="6">
        <v>2</v>
      </c>
      <c r="E38" s="7">
        <v>2755.6936585365856</v>
      </c>
      <c r="F38" s="4">
        <v>1.1000000000000001</v>
      </c>
      <c r="G38" s="9">
        <v>-551.13873170731767</v>
      </c>
      <c r="H38" s="4" t="s">
        <v>17</v>
      </c>
      <c r="I38" s="4" t="s">
        <v>22</v>
      </c>
      <c r="J38" s="8">
        <v>907.77</v>
      </c>
    </row>
    <row r="39" spans="1:10" x14ac:dyDescent="0.3">
      <c r="A39" s="4">
        <v>1038</v>
      </c>
      <c r="B39" s="4" t="s">
        <v>83</v>
      </c>
      <c r="C39" s="4" t="s">
        <v>569</v>
      </c>
      <c r="D39" s="6">
        <v>3</v>
      </c>
      <c r="E39" s="7">
        <v>1692.38</v>
      </c>
      <c r="F39" s="4">
        <v>0</v>
      </c>
      <c r="G39" s="9">
        <v>5077.1400000000003</v>
      </c>
      <c r="H39" s="4" t="s">
        <v>39</v>
      </c>
      <c r="I39" s="4" t="s">
        <v>15</v>
      </c>
      <c r="J39" s="8">
        <v>1704.49</v>
      </c>
    </row>
    <row r="40" spans="1:10" x14ac:dyDescent="0.3">
      <c r="A40" s="4">
        <v>1039</v>
      </c>
      <c r="B40" s="4" t="s">
        <v>84</v>
      </c>
      <c r="C40" s="4" t="s">
        <v>582</v>
      </c>
      <c r="D40" s="6">
        <v>1.5517241379310345</v>
      </c>
      <c r="E40" s="7">
        <v>1372.16</v>
      </c>
      <c r="F40" s="4">
        <v>0.56000000000000005</v>
      </c>
      <c r="G40" s="9">
        <v>936.85406896551729</v>
      </c>
      <c r="H40" s="4" t="s">
        <v>552</v>
      </c>
      <c r="I40" s="4" t="s">
        <v>15</v>
      </c>
      <c r="J40" s="8">
        <v>1626.51</v>
      </c>
    </row>
    <row r="41" spans="1:10" x14ac:dyDescent="0.3">
      <c r="A41" s="4">
        <v>1040</v>
      </c>
      <c r="B41" s="4" t="s">
        <v>86</v>
      </c>
      <c r="C41" s="4" t="s">
        <v>583</v>
      </c>
      <c r="D41" s="6">
        <v>1.675</v>
      </c>
      <c r="E41" s="7">
        <v>2952.3559374999995</v>
      </c>
      <c r="F41" s="4">
        <v>0</v>
      </c>
      <c r="G41" s="9">
        <v>4945.1961953124992</v>
      </c>
      <c r="H41" s="4" t="s">
        <v>17</v>
      </c>
      <c r="I41" s="4" t="s">
        <v>15</v>
      </c>
      <c r="J41" s="8">
        <v>693.6</v>
      </c>
    </row>
    <row r="42" spans="1:10" x14ac:dyDescent="0.3">
      <c r="A42" s="4">
        <v>1041</v>
      </c>
      <c r="B42" s="4" t="s">
        <v>88</v>
      </c>
      <c r="C42" s="4" t="s">
        <v>566</v>
      </c>
      <c r="D42" s="6">
        <v>1.675</v>
      </c>
      <c r="E42" s="7">
        <v>2952.3559374999995</v>
      </c>
      <c r="F42" s="4">
        <v>0</v>
      </c>
      <c r="G42" s="9">
        <v>4945.1961953124992</v>
      </c>
      <c r="H42" s="4" t="s">
        <v>17</v>
      </c>
      <c r="I42" s="4" t="s">
        <v>15</v>
      </c>
      <c r="J42" s="8">
        <v>-983.06</v>
      </c>
    </row>
    <row r="43" spans="1:10" x14ac:dyDescent="0.3">
      <c r="A43" s="4">
        <v>1042</v>
      </c>
      <c r="B43" s="4" t="s">
        <v>89</v>
      </c>
      <c r="C43" s="4" t="s">
        <v>584</v>
      </c>
      <c r="D43" s="6">
        <v>2.0217391304347827</v>
      </c>
      <c r="E43" s="7">
        <v>2878.0747619047615</v>
      </c>
      <c r="F43" s="4">
        <v>0</v>
      </c>
      <c r="G43" s="9">
        <v>5818.7163664596264</v>
      </c>
      <c r="H43" s="4" t="s">
        <v>45</v>
      </c>
      <c r="I43" s="4" t="s">
        <v>15</v>
      </c>
      <c r="J43" s="8">
        <v>283.39</v>
      </c>
    </row>
    <row r="44" spans="1:10" x14ac:dyDescent="0.3">
      <c r="A44" s="4">
        <v>1043</v>
      </c>
      <c r="B44" s="4" t="s">
        <v>91</v>
      </c>
      <c r="C44" s="4" t="s">
        <v>581</v>
      </c>
      <c r="D44" s="6">
        <v>1.5813953488372092</v>
      </c>
      <c r="E44" s="7">
        <v>4575.93</v>
      </c>
      <c r="F44" s="4">
        <v>0.56000000000000005</v>
      </c>
      <c r="G44" s="9">
        <v>3183.995944186046</v>
      </c>
      <c r="H44" s="4" t="s">
        <v>17</v>
      </c>
      <c r="I44" s="4" t="s">
        <v>15</v>
      </c>
      <c r="J44" s="8">
        <v>442.14</v>
      </c>
    </row>
    <row r="45" spans="1:10" x14ac:dyDescent="0.3">
      <c r="A45" s="4">
        <v>1044</v>
      </c>
      <c r="B45" s="4" t="s">
        <v>92</v>
      </c>
      <c r="C45" s="4" t="s">
        <v>579</v>
      </c>
      <c r="D45" s="6">
        <v>1.5813953488372092</v>
      </c>
      <c r="E45" s="7">
        <v>2715.2732432432431</v>
      </c>
      <c r="F45" s="4">
        <v>0</v>
      </c>
      <c r="G45" s="9">
        <v>4293.9204776869892</v>
      </c>
      <c r="H45" s="4" t="s">
        <v>39</v>
      </c>
      <c r="I45" s="4" t="s">
        <v>22</v>
      </c>
      <c r="J45" s="8">
        <v>-80.23</v>
      </c>
    </row>
    <row r="46" spans="1:10" x14ac:dyDescent="0.3">
      <c r="A46" s="4">
        <v>1045</v>
      </c>
      <c r="B46" s="4" t="s">
        <v>93</v>
      </c>
      <c r="C46" s="4" t="s">
        <v>572</v>
      </c>
      <c r="D46" s="6">
        <v>2.5249999999999999</v>
      </c>
      <c r="E46" s="7">
        <v>3477.16</v>
      </c>
      <c r="F46" s="4">
        <v>0</v>
      </c>
      <c r="G46" s="9">
        <v>8779.8289999999997</v>
      </c>
      <c r="H46" s="4" t="s">
        <v>552</v>
      </c>
      <c r="I46" s="4" t="s">
        <v>22</v>
      </c>
      <c r="J46" s="8">
        <v>1323.75</v>
      </c>
    </row>
    <row r="47" spans="1:10" x14ac:dyDescent="0.3">
      <c r="A47" s="4">
        <v>1046</v>
      </c>
      <c r="B47" s="4" t="s">
        <v>94</v>
      </c>
      <c r="C47" s="4" t="s">
        <v>565</v>
      </c>
      <c r="D47" s="6">
        <v>-1</v>
      </c>
      <c r="E47" s="7">
        <v>2441.92</v>
      </c>
      <c r="F47" s="4">
        <v>0.92</v>
      </c>
      <c r="G47" s="9">
        <v>-195.35359999999991</v>
      </c>
      <c r="H47" s="4" t="s">
        <v>14</v>
      </c>
      <c r="I47" s="4" t="s">
        <v>15</v>
      </c>
      <c r="J47" s="8">
        <v>1004.91</v>
      </c>
    </row>
    <row r="48" spans="1:10" x14ac:dyDescent="0.3">
      <c r="A48" s="4">
        <v>1047</v>
      </c>
      <c r="B48" s="4" t="s">
        <v>95</v>
      </c>
      <c r="C48" s="4" t="s">
        <v>574</v>
      </c>
      <c r="D48" s="6">
        <v>3</v>
      </c>
      <c r="E48" s="7">
        <v>2592.8782222222212</v>
      </c>
      <c r="F48" s="4">
        <v>0</v>
      </c>
      <c r="G48" s="9">
        <v>7778.6346666666632</v>
      </c>
      <c r="H48" s="4" t="s">
        <v>552</v>
      </c>
      <c r="I48" s="4" t="s">
        <v>15</v>
      </c>
      <c r="J48" s="8">
        <v>-395.76</v>
      </c>
    </row>
    <row r="49" spans="1:10" x14ac:dyDescent="0.3">
      <c r="A49" s="4">
        <v>1048</v>
      </c>
      <c r="B49" s="4" t="s">
        <v>96</v>
      </c>
      <c r="C49" s="4" t="s">
        <v>574</v>
      </c>
      <c r="D49" s="6">
        <v>5</v>
      </c>
      <c r="E49" s="7">
        <v>2592.8782222222212</v>
      </c>
      <c r="F49" s="4">
        <v>0.41</v>
      </c>
      <c r="G49" s="9">
        <v>7648.9907555555537</v>
      </c>
      <c r="H49" s="4" t="s">
        <v>14</v>
      </c>
      <c r="I49" s="4" t="s">
        <v>15</v>
      </c>
      <c r="J49" s="8">
        <v>2409.2600000000002</v>
      </c>
    </row>
    <row r="50" spans="1:10" x14ac:dyDescent="0.3">
      <c r="A50" s="4">
        <v>1049</v>
      </c>
      <c r="B50" s="4" t="s">
        <v>97</v>
      </c>
      <c r="C50" s="4" t="s">
        <v>581</v>
      </c>
      <c r="D50" s="6">
        <v>1.5813953488372092</v>
      </c>
      <c r="E50" s="7">
        <v>2715.2732432432431</v>
      </c>
      <c r="F50" s="4">
        <v>0</v>
      </c>
      <c r="G50" s="9">
        <v>4293.9204776869892</v>
      </c>
      <c r="H50" s="4" t="s">
        <v>21</v>
      </c>
      <c r="I50" s="4" t="s">
        <v>15</v>
      </c>
      <c r="J50" s="8">
        <v>19.87</v>
      </c>
    </row>
    <row r="51" spans="1:10" x14ac:dyDescent="0.3">
      <c r="A51" s="4">
        <v>1050</v>
      </c>
      <c r="B51" s="4" t="s">
        <v>98</v>
      </c>
      <c r="C51" s="4" t="s">
        <v>565</v>
      </c>
      <c r="D51" s="6">
        <v>-1</v>
      </c>
      <c r="E51" s="7">
        <v>1083.1600000000001</v>
      </c>
      <c r="F51" s="4">
        <v>0</v>
      </c>
      <c r="G51" s="9">
        <v>-1083.1600000000001</v>
      </c>
      <c r="H51" s="4" t="s">
        <v>45</v>
      </c>
      <c r="I51" s="4" t="s">
        <v>15</v>
      </c>
      <c r="J51" s="8">
        <v>2904.29</v>
      </c>
    </row>
    <row r="52" spans="1:10" x14ac:dyDescent="0.3">
      <c r="A52" s="4">
        <v>1051</v>
      </c>
      <c r="B52" s="4" t="s">
        <v>99</v>
      </c>
      <c r="C52" s="4" t="s">
        <v>570</v>
      </c>
      <c r="D52" s="6">
        <v>2</v>
      </c>
      <c r="E52" s="7">
        <v>2592.8782222222212</v>
      </c>
      <c r="F52" s="4">
        <v>0.56999999999999995</v>
      </c>
      <c r="G52" s="9">
        <v>2229.8752711111106</v>
      </c>
      <c r="H52" s="4" t="s">
        <v>14</v>
      </c>
      <c r="I52" s="4" t="s">
        <v>15</v>
      </c>
      <c r="J52" s="8">
        <v>2857.9</v>
      </c>
    </row>
    <row r="53" spans="1:10" x14ac:dyDescent="0.3">
      <c r="A53" s="4">
        <v>1052</v>
      </c>
      <c r="B53" s="4" t="s">
        <v>100</v>
      </c>
      <c r="C53" s="4" t="s">
        <v>585</v>
      </c>
      <c r="D53" s="6">
        <v>2</v>
      </c>
      <c r="E53" s="7">
        <v>3252.49</v>
      </c>
      <c r="F53" s="4">
        <v>0.56000000000000005</v>
      </c>
      <c r="G53" s="9">
        <v>2862.1911999999993</v>
      </c>
      <c r="H53" s="4" t="s">
        <v>39</v>
      </c>
      <c r="I53" s="4" t="s">
        <v>15</v>
      </c>
      <c r="J53" s="8">
        <v>-11.15</v>
      </c>
    </row>
    <row r="54" spans="1:10" x14ac:dyDescent="0.3">
      <c r="A54" s="4">
        <v>1053</v>
      </c>
      <c r="B54" s="4" t="s">
        <v>102</v>
      </c>
      <c r="C54" s="4" t="s">
        <v>576</v>
      </c>
      <c r="D54" s="6">
        <v>2.0217391304347827</v>
      </c>
      <c r="E54" s="7">
        <v>714.23</v>
      </c>
      <c r="F54" s="4">
        <v>1.29</v>
      </c>
      <c r="G54" s="9">
        <v>-418.75615434782617</v>
      </c>
      <c r="H54" s="4" t="s">
        <v>14</v>
      </c>
      <c r="I54" s="4" t="s">
        <v>15</v>
      </c>
      <c r="J54" s="8">
        <v>1057.24</v>
      </c>
    </row>
    <row r="55" spans="1:10" x14ac:dyDescent="0.3">
      <c r="A55" s="4">
        <v>1054</v>
      </c>
      <c r="B55" s="4" t="s">
        <v>103</v>
      </c>
      <c r="C55" s="4" t="s">
        <v>579</v>
      </c>
      <c r="D55" s="6">
        <v>1.5813953488372092</v>
      </c>
      <c r="E55" s="7">
        <v>2715.2732432432431</v>
      </c>
      <c r="F55" s="4">
        <v>0</v>
      </c>
      <c r="G55" s="9">
        <v>4293.9204776869892</v>
      </c>
      <c r="H55" s="4" t="s">
        <v>45</v>
      </c>
      <c r="I55" s="4" t="s">
        <v>15</v>
      </c>
      <c r="J55" s="8">
        <v>1002.96</v>
      </c>
    </row>
    <row r="56" spans="1:10" x14ac:dyDescent="0.3">
      <c r="A56" s="4">
        <v>1055</v>
      </c>
      <c r="B56" s="4" t="s">
        <v>104</v>
      </c>
      <c r="C56" s="4" t="s">
        <v>570</v>
      </c>
      <c r="D56" s="6">
        <v>0</v>
      </c>
      <c r="E56" s="7">
        <v>2592.8782222222212</v>
      </c>
      <c r="F56" s="4">
        <v>0</v>
      </c>
      <c r="G56" s="9">
        <v>0</v>
      </c>
      <c r="H56" s="4" t="s">
        <v>45</v>
      </c>
      <c r="I56" s="4" t="s">
        <v>22</v>
      </c>
      <c r="J56" s="8">
        <v>1374.9</v>
      </c>
    </row>
    <row r="57" spans="1:10" x14ac:dyDescent="0.3">
      <c r="A57" s="4">
        <v>1056</v>
      </c>
      <c r="B57" s="4" t="s">
        <v>105</v>
      </c>
      <c r="C57" s="4" t="s">
        <v>572</v>
      </c>
      <c r="D57" s="6">
        <v>6</v>
      </c>
      <c r="E57" s="7">
        <v>2755.6936585365856</v>
      </c>
      <c r="F57" s="4">
        <v>0</v>
      </c>
      <c r="G57" s="9">
        <v>16534.161951219514</v>
      </c>
      <c r="H57" s="4" t="s">
        <v>21</v>
      </c>
      <c r="I57" s="4" t="s">
        <v>15</v>
      </c>
      <c r="J57" s="8">
        <v>-343.36</v>
      </c>
    </row>
    <row r="58" spans="1:10" x14ac:dyDescent="0.3">
      <c r="A58" s="4">
        <v>1057</v>
      </c>
      <c r="B58" s="4" t="s">
        <v>106</v>
      </c>
      <c r="C58" s="4" t="s">
        <v>566</v>
      </c>
      <c r="D58" s="6">
        <v>4</v>
      </c>
      <c r="E58" s="7">
        <v>2952.3559374999995</v>
      </c>
      <c r="F58" s="4">
        <v>0.04</v>
      </c>
      <c r="G58" s="9">
        <v>11337.046799999998</v>
      </c>
      <c r="H58" s="4" t="s">
        <v>45</v>
      </c>
      <c r="I58" s="4" t="s">
        <v>15</v>
      </c>
      <c r="J58" s="8">
        <v>1725.76</v>
      </c>
    </row>
    <row r="59" spans="1:10" x14ac:dyDescent="0.3">
      <c r="A59" s="4">
        <v>1058</v>
      </c>
      <c r="B59" s="4" t="s">
        <v>107</v>
      </c>
      <c r="C59" s="4" t="s">
        <v>573</v>
      </c>
      <c r="D59" s="6">
        <v>1.5813953488372092</v>
      </c>
      <c r="E59" s="7">
        <v>3982.53</v>
      </c>
      <c r="F59" s="4">
        <v>1.08</v>
      </c>
      <c r="G59" s="9">
        <v>-503.83635348837254</v>
      </c>
      <c r="H59" s="4" t="s">
        <v>45</v>
      </c>
      <c r="I59" s="4" t="s">
        <v>15</v>
      </c>
      <c r="J59" s="8">
        <v>1912.49</v>
      </c>
    </row>
    <row r="60" spans="1:10" x14ac:dyDescent="0.3">
      <c r="A60" s="4">
        <v>1059</v>
      </c>
      <c r="B60" s="4" t="s">
        <v>108</v>
      </c>
      <c r="C60" s="4" t="s">
        <v>570</v>
      </c>
      <c r="D60" s="6">
        <v>0</v>
      </c>
      <c r="E60" s="7">
        <v>2927.57</v>
      </c>
      <c r="F60" s="4">
        <v>0.19</v>
      </c>
      <c r="G60" s="9">
        <v>0</v>
      </c>
      <c r="H60" s="4" t="s">
        <v>14</v>
      </c>
      <c r="I60" s="4" t="s">
        <v>15</v>
      </c>
      <c r="J60" s="8">
        <v>2218.42</v>
      </c>
    </row>
    <row r="61" spans="1:10" x14ac:dyDescent="0.3">
      <c r="A61" s="4">
        <v>1060</v>
      </c>
      <c r="B61" s="4" t="s">
        <v>109</v>
      </c>
      <c r="C61" s="4" t="s">
        <v>585</v>
      </c>
      <c r="D61" s="6">
        <v>2</v>
      </c>
      <c r="E61" s="7">
        <v>2813.51</v>
      </c>
      <c r="F61" s="4">
        <v>0</v>
      </c>
      <c r="G61" s="9">
        <v>5627.02</v>
      </c>
      <c r="H61" s="4" t="s">
        <v>45</v>
      </c>
      <c r="I61" s="4" t="s">
        <v>15</v>
      </c>
      <c r="J61" s="8">
        <v>94.96</v>
      </c>
    </row>
    <row r="62" spans="1:10" x14ac:dyDescent="0.3">
      <c r="A62" s="4">
        <v>1061</v>
      </c>
      <c r="B62" s="4" t="s">
        <v>110</v>
      </c>
      <c r="C62" s="4" t="s">
        <v>568</v>
      </c>
      <c r="D62" s="6">
        <v>2.5249999999999999</v>
      </c>
      <c r="E62" s="7">
        <v>2291.15</v>
      </c>
      <c r="F62" s="4">
        <v>0.33</v>
      </c>
      <c r="G62" s="9">
        <v>3876.0530125</v>
      </c>
      <c r="H62" s="4" t="s">
        <v>21</v>
      </c>
      <c r="I62" s="4" t="s">
        <v>22</v>
      </c>
      <c r="J62" s="8">
        <v>2536.3000000000002</v>
      </c>
    </row>
    <row r="63" spans="1:10" x14ac:dyDescent="0.3">
      <c r="A63" s="4">
        <v>1062</v>
      </c>
      <c r="B63" s="4" t="s">
        <v>111</v>
      </c>
      <c r="C63" s="4" t="s">
        <v>585</v>
      </c>
      <c r="D63" s="6">
        <v>-1</v>
      </c>
      <c r="E63" s="7">
        <v>2592.8782222222212</v>
      </c>
      <c r="F63" s="4">
        <v>0</v>
      </c>
      <c r="G63" s="9">
        <v>-2592.8782222222212</v>
      </c>
      <c r="H63" s="4" t="s">
        <v>45</v>
      </c>
      <c r="I63" s="4" t="s">
        <v>15</v>
      </c>
      <c r="J63" s="8">
        <v>328.72</v>
      </c>
    </row>
    <row r="64" spans="1:10" x14ac:dyDescent="0.3">
      <c r="A64" s="4">
        <v>1063</v>
      </c>
      <c r="B64" s="4" t="s">
        <v>112</v>
      </c>
      <c r="C64" s="4" t="s">
        <v>581</v>
      </c>
      <c r="D64" s="6">
        <v>1</v>
      </c>
      <c r="E64" s="7">
        <v>2715.2732432432431</v>
      </c>
      <c r="F64" s="4">
        <v>0</v>
      </c>
      <c r="G64" s="9">
        <v>2715.2732432432431</v>
      </c>
      <c r="H64" s="4" t="s">
        <v>39</v>
      </c>
      <c r="I64" s="4" t="s">
        <v>15</v>
      </c>
      <c r="J64" s="8">
        <v>2147.75</v>
      </c>
    </row>
    <row r="65" spans="1:10" x14ac:dyDescent="0.3">
      <c r="A65" s="4">
        <v>1064</v>
      </c>
      <c r="B65" s="4" t="s">
        <v>113</v>
      </c>
      <c r="C65" s="4" t="s">
        <v>583</v>
      </c>
      <c r="D65" s="6">
        <v>1.675</v>
      </c>
      <c r="E65" s="7">
        <v>2952.3559374999995</v>
      </c>
      <c r="F65" s="4">
        <v>1.3</v>
      </c>
      <c r="G65" s="9">
        <v>-1483.5588585937501</v>
      </c>
      <c r="H65" s="4" t="s">
        <v>39</v>
      </c>
      <c r="I65" s="4" t="s">
        <v>15</v>
      </c>
      <c r="J65" s="8">
        <v>-901.74</v>
      </c>
    </row>
    <row r="66" spans="1:10" x14ac:dyDescent="0.3">
      <c r="A66" s="4">
        <v>1065</v>
      </c>
      <c r="B66" s="4" t="s">
        <v>114</v>
      </c>
      <c r="C66" s="4" t="s">
        <v>570</v>
      </c>
      <c r="D66" s="6">
        <v>5</v>
      </c>
      <c r="E66" s="7">
        <v>2592.8782222222212</v>
      </c>
      <c r="F66" s="4">
        <v>0</v>
      </c>
      <c r="G66" s="9">
        <v>12964.391111111107</v>
      </c>
      <c r="H66" s="4" t="s">
        <v>39</v>
      </c>
      <c r="I66" s="4" t="s">
        <v>15</v>
      </c>
      <c r="J66" s="8">
        <v>2316.9699999999998</v>
      </c>
    </row>
    <row r="67" spans="1:10" x14ac:dyDescent="0.3">
      <c r="A67" s="4">
        <v>1066</v>
      </c>
      <c r="B67" s="4" t="s">
        <v>115</v>
      </c>
      <c r="C67" s="4" t="s">
        <v>578</v>
      </c>
      <c r="D67" s="6">
        <v>-2</v>
      </c>
      <c r="E67" s="7">
        <v>3479.44</v>
      </c>
      <c r="F67" s="4">
        <v>0</v>
      </c>
      <c r="G67" s="9">
        <v>-6958.88</v>
      </c>
      <c r="H67" s="4" t="s">
        <v>14</v>
      </c>
      <c r="I67" s="4" t="s">
        <v>15</v>
      </c>
      <c r="J67" s="8">
        <v>-252.78</v>
      </c>
    </row>
    <row r="68" spans="1:10" x14ac:dyDescent="0.3">
      <c r="A68" s="4">
        <v>1067</v>
      </c>
      <c r="B68" s="4" t="s">
        <v>116</v>
      </c>
      <c r="C68" s="4" t="s">
        <v>571</v>
      </c>
      <c r="D68" s="6">
        <v>2.0217391304347827</v>
      </c>
      <c r="E68" s="7">
        <v>3945.25</v>
      </c>
      <c r="F68" s="4">
        <v>0</v>
      </c>
      <c r="G68" s="9">
        <v>7976.2663043478269</v>
      </c>
      <c r="H68" s="4" t="s">
        <v>39</v>
      </c>
      <c r="I68" s="4" t="s">
        <v>22</v>
      </c>
      <c r="J68" s="8">
        <v>305.55</v>
      </c>
    </row>
    <row r="69" spans="1:10" x14ac:dyDescent="0.3">
      <c r="A69" s="4">
        <v>1068</v>
      </c>
      <c r="B69" s="4" t="s">
        <v>117</v>
      </c>
      <c r="C69" s="4" t="s">
        <v>577</v>
      </c>
      <c r="D69" s="6">
        <v>4</v>
      </c>
      <c r="E69" s="7">
        <v>2765.26</v>
      </c>
      <c r="F69" s="4">
        <v>0</v>
      </c>
      <c r="G69" s="9">
        <v>11061.04</v>
      </c>
      <c r="H69" s="4" t="s">
        <v>17</v>
      </c>
      <c r="I69" s="4" t="s">
        <v>15</v>
      </c>
      <c r="J69" s="8">
        <v>1719.9</v>
      </c>
    </row>
    <row r="70" spans="1:10" x14ac:dyDescent="0.3">
      <c r="A70" s="4">
        <v>1069</v>
      </c>
      <c r="B70" s="4" t="s">
        <v>118</v>
      </c>
      <c r="C70" s="4" t="s">
        <v>586</v>
      </c>
      <c r="D70" s="6">
        <v>2</v>
      </c>
      <c r="E70" s="7">
        <v>2102.02</v>
      </c>
      <c r="F70" s="4">
        <v>1.1299999999999999</v>
      </c>
      <c r="G70" s="9">
        <v>-546.52519999999959</v>
      </c>
      <c r="H70" s="4" t="s">
        <v>14</v>
      </c>
      <c r="I70" s="4" t="s">
        <v>22</v>
      </c>
      <c r="J70" s="8">
        <v>-992.61</v>
      </c>
    </row>
    <row r="71" spans="1:10" x14ac:dyDescent="0.3">
      <c r="A71" s="4">
        <v>1070</v>
      </c>
      <c r="B71" s="4" t="s">
        <v>120</v>
      </c>
      <c r="C71" s="4" t="s">
        <v>587</v>
      </c>
      <c r="D71" s="6">
        <v>5</v>
      </c>
      <c r="E71" s="7">
        <v>2952.3559374999995</v>
      </c>
      <c r="F71" s="4">
        <v>0</v>
      </c>
      <c r="G71" s="9">
        <v>14761.779687499999</v>
      </c>
      <c r="H71" s="4" t="s">
        <v>552</v>
      </c>
      <c r="I71" s="4" t="s">
        <v>22</v>
      </c>
      <c r="J71" s="8">
        <v>1383.48</v>
      </c>
    </row>
    <row r="72" spans="1:10" x14ac:dyDescent="0.3">
      <c r="A72" s="4">
        <v>1071</v>
      </c>
      <c r="B72" s="4" t="s">
        <v>122</v>
      </c>
      <c r="C72" s="4" t="s">
        <v>572</v>
      </c>
      <c r="D72" s="6">
        <v>2.5249999999999999</v>
      </c>
      <c r="E72" s="7">
        <v>1000.76</v>
      </c>
      <c r="F72" s="4">
        <v>0</v>
      </c>
      <c r="G72" s="9">
        <v>2526.9189999999999</v>
      </c>
      <c r="H72" s="4" t="s">
        <v>14</v>
      </c>
      <c r="I72" s="4" t="s">
        <v>22</v>
      </c>
      <c r="J72" s="8">
        <v>2131.4299999999998</v>
      </c>
    </row>
    <row r="73" spans="1:10" x14ac:dyDescent="0.3">
      <c r="A73" s="4">
        <v>1072</v>
      </c>
      <c r="B73" s="4" t="s">
        <v>123</v>
      </c>
      <c r="C73" s="4" t="s">
        <v>576</v>
      </c>
      <c r="D73" s="6">
        <v>2.0217391304347827</v>
      </c>
      <c r="E73" s="7">
        <v>2878.0747619047615</v>
      </c>
      <c r="F73" s="4">
        <v>0</v>
      </c>
      <c r="G73" s="9">
        <v>5818.7163664596264</v>
      </c>
      <c r="H73" s="4" t="s">
        <v>39</v>
      </c>
      <c r="I73" s="4" t="s">
        <v>15</v>
      </c>
      <c r="J73" s="8">
        <v>2878.09</v>
      </c>
    </row>
    <row r="74" spans="1:10" x14ac:dyDescent="0.3">
      <c r="A74" s="4">
        <v>1073</v>
      </c>
      <c r="B74" s="4" t="s">
        <v>124</v>
      </c>
      <c r="C74" s="4" t="s">
        <v>574</v>
      </c>
      <c r="D74" s="6">
        <v>-2</v>
      </c>
      <c r="E74" s="7">
        <v>2592.8782222222212</v>
      </c>
      <c r="F74" s="4">
        <v>0.18</v>
      </c>
      <c r="G74" s="9">
        <v>-4252.3202844444431</v>
      </c>
      <c r="H74" s="4" t="s">
        <v>45</v>
      </c>
      <c r="I74" s="4" t="s">
        <v>15</v>
      </c>
      <c r="J74" s="8">
        <v>368.69</v>
      </c>
    </row>
    <row r="75" spans="1:10" x14ac:dyDescent="0.3">
      <c r="A75" s="4">
        <v>1074</v>
      </c>
      <c r="B75" s="4" t="s">
        <v>125</v>
      </c>
      <c r="C75" s="4" t="s">
        <v>571</v>
      </c>
      <c r="D75" s="6">
        <v>-2</v>
      </c>
      <c r="E75" s="7">
        <v>2878.0747619047615</v>
      </c>
      <c r="F75" s="4">
        <v>1.06</v>
      </c>
      <c r="G75" s="9">
        <v>345.36897142857168</v>
      </c>
      <c r="H75" s="4" t="s">
        <v>552</v>
      </c>
      <c r="I75" s="4" t="s">
        <v>15</v>
      </c>
      <c r="J75" s="8">
        <v>192.91</v>
      </c>
    </row>
    <row r="76" spans="1:10" x14ac:dyDescent="0.3">
      <c r="A76" s="4">
        <v>1075</v>
      </c>
      <c r="B76" s="4" t="s">
        <v>126</v>
      </c>
      <c r="C76" s="4" t="s">
        <v>569</v>
      </c>
      <c r="D76" s="6">
        <v>1.5813953488372092</v>
      </c>
      <c r="E76" s="7">
        <v>795.85</v>
      </c>
      <c r="F76" s="4">
        <v>0</v>
      </c>
      <c r="G76" s="9">
        <v>1258.5534883720929</v>
      </c>
      <c r="H76" s="4" t="s">
        <v>45</v>
      </c>
      <c r="I76" s="4" t="s">
        <v>22</v>
      </c>
      <c r="J76" s="8">
        <v>2418.8000000000002</v>
      </c>
    </row>
    <row r="77" spans="1:10" x14ac:dyDescent="0.3">
      <c r="A77" s="4">
        <v>1076</v>
      </c>
      <c r="B77" s="4" t="s">
        <v>127</v>
      </c>
      <c r="C77" s="4" t="s">
        <v>573</v>
      </c>
      <c r="D77" s="6">
        <v>2</v>
      </c>
      <c r="E77" s="7">
        <v>2715.2732432432431</v>
      </c>
      <c r="F77" s="4">
        <v>0</v>
      </c>
      <c r="G77" s="9">
        <v>5430.5464864864862</v>
      </c>
      <c r="H77" s="4" t="s">
        <v>39</v>
      </c>
      <c r="I77" s="4" t="s">
        <v>15</v>
      </c>
      <c r="J77" s="8">
        <v>1408.61</v>
      </c>
    </row>
    <row r="78" spans="1:10" x14ac:dyDescent="0.3">
      <c r="A78" s="4">
        <v>1077</v>
      </c>
      <c r="B78" s="4" t="s">
        <v>128</v>
      </c>
      <c r="C78" s="4" t="s">
        <v>573</v>
      </c>
      <c r="D78" s="6">
        <v>2</v>
      </c>
      <c r="E78" s="7">
        <v>2715.2732432432431</v>
      </c>
      <c r="F78" s="4">
        <v>0</v>
      </c>
      <c r="G78" s="9">
        <v>5430.5464864864862</v>
      </c>
      <c r="H78" s="4" t="s">
        <v>552</v>
      </c>
      <c r="I78" s="4" t="s">
        <v>22</v>
      </c>
      <c r="J78" s="8">
        <v>902.52</v>
      </c>
    </row>
    <row r="79" spans="1:10" x14ac:dyDescent="0.3">
      <c r="A79" s="4">
        <v>1078</v>
      </c>
      <c r="B79" s="4" t="s">
        <v>129</v>
      </c>
      <c r="C79" s="4" t="s">
        <v>587</v>
      </c>
      <c r="D79" s="6">
        <v>1.675</v>
      </c>
      <c r="E79" s="7">
        <v>4059.56</v>
      </c>
      <c r="F79" s="4">
        <v>0</v>
      </c>
      <c r="G79" s="9">
        <v>6799.7629999999999</v>
      </c>
      <c r="H79" s="4" t="s">
        <v>45</v>
      </c>
      <c r="I79" s="4" t="s">
        <v>15</v>
      </c>
      <c r="J79" s="8">
        <v>-819.94</v>
      </c>
    </row>
    <row r="80" spans="1:10" x14ac:dyDescent="0.3">
      <c r="A80" s="4">
        <v>1079</v>
      </c>
      <c r="B80" s="4" t="s">
        <v>130</v>
      </c>
      <c r="C80" s="4" t="s">
        <v>579</v>
      </c>
      <c r="D80" s="6">
        <v>1.5813953488372092</v>
      </c>
      <c r="E80" s="7">
        <v>2715.2732432432431</v>
      </c>
      <c r="F80" s="4">
        <v>0</v>
      </c>
      <c r="G80" s="9">
        <v>4293.9204776869892</v>
      </c>
      <c r="H80" s="4" t="s">
        <v>552</v>
      </c>
      <c r="I80" s="4" t="s">
        <v>22</v>
      </c>
      <c r="J80" s="8">
        <v>-22.55</v>
      </c>
    </row>
    <row r="81" spans="1:10" x14ac:dyDescent="0.3">
      <c r="A81" s="4">
        <v>1080</v>
      </c>
      <c r="B81" s="4" t="s">
        <v>131</v>
      </c>
      <c r="C81" s="4" t="s">
        <v>569</v>
      </c>
      <c r="D81" s="6">
        <v>1.5813953488372092</v>
      </c>
      <c r="E81" s="7">
        <v>3872.22</v>
      </c>
      <c r="F81" s="4">
        <v>1.1499999999999999</v>
      </c>
      <c r="G81" s="9">
        <v>-918.52660465116219</v>
      </c>
      <c r="H81" s="4" t="s">
        <v>21</v>
      </c>
      <c r="I81" s="4" t="s">
        <v>15</v>
      </c>
      <c r="J81" s="8">
        <v>-302.97000000000003</v>
      </c>
    </row>
    <row r="82" spans="1:10" x14ac:dyDescent="0.3">
      <c r="A82" s="4">
        <v>1081</v>
      </c>
      <c r="B82" s="4" t="s">
        <v>132</v>
      </c>
      <c r="C82" s="4" t="s">
        <v>570</v>
      </c>
      <c r="D82" s="6">
        <v>6</v>
      </c>
      <c r="E82" s="7">
        <v>4798.0600000000004</v>
      </c>
      <c r="F82" s="4">
        <v>0.81</v>
      </c>
      <c r="G82" s="9">
        <v>5469.7883999999985</v>
      </c>
      <c r="H82" s="4" t="s">
        <v>552</v>
      </c>
      <c r="I82" s="4" t="s">
        <v>22</v>
      </c>
      <c r="J82" s="8">
        <v>-361.78</v>
      </c>
    </row>
    <row r="83" spans="1:10" x14ac:dyDescent="0.3">
      <c r="A83" s="4">
        <v>1082</v>
      </c>
      <c r="B83" s="4" t="s">
        <v>133</v>
      </c>
      <c r="C83" s="4" t="s">
        <v>584</v>
      </c>
      <c r="D83" s="6">
        <v>0</v>
      </c>
      <c r="E83" s="7">
        <v>2878.0747619047615</v>
      </c>
      <c r="F83" s="4">
        <v>0</v>
      </c>
      <c r="G83" s="9">
        <v>0</v>
      </c>
      <c r="H83" s="4" t="s">
        <v>39</v>
      </c>
      <c r="I83" s="4" t="s">
        <v>22</v>
      </c>
      <c r="J83" s="8">
        <v>712.91</v>
      </c>
    </row>
    <row r="84" spans="1:10" x14ac:dyDescent="0.3">
      <c r="A84" s="4">
        <v>1083</v>
      </c>
      <c r="B84" s="4" t="s">
        <v>134</v>
      </c>
      <c r="C84" s="4" t="s">
        <v>580</v>
      </c>
      <c r="D84" s="6">
        <v>1</v>
      </c>
      <c r="E84" s="7">
        <v>2952.3559374999995</v>
      </c>
      <c r="F84" s="4">
        <v>1.28</v>
      </c>
      <c r="G84" s="9">
        <v>-826.65966249999997</v>
      </c>
      <c r="H84" s="4" t="s">
        <v>45</v>
      </c>
      <c r="I84" s="4" t="s">
        <v>22</v>
      </c>
      <c r="J84" s="8">
        <v>-612.62</v>
      </c>
    </row>
    <row r="85" spans="1:10" x14ac:dyDescent="0.3">
      <c r="A85" s="4">
        <v>1084</v>
      </c>
      <c r="B85" s="4" t="s">
        <v>135</v>
      </c>
      <c r="C85" s="4" t="s">
        <v>567</v>
      </c>
      <c r="D85" s="6">
        <v>1.5517241379310345</v>
      </c>
      <c r="E85" s="7">
        <v>2676.5783333333325</v>
      </c>
      <c r="F85" s="4">
        <v>0.53</v>
      </c>
      <c r="G85" s="9">
        <v>1952.0562672413785</v>
      </c>
      <c r="H85" s="4" t="s">
        <v>45</v>
      </c>
      <c r="I85" s="4" t="s">
        <v>22</v>
      </c>
      <c r="J85" s="8">
        <v>2458.0700000000002</v>
      </c>
    </row>
    <row r="86" spans="1:10" x14ac:dyDescent="0.3">
      <c r="A86" s="4">
        <v>1085</v>
      </c>
      <c r="B86" s="4" t="s">
        <v>136</v>
      </c>
      <c r="C86" s="4" t="s">
        <v>578</v>
      </c>
      <c r="D86" s="6">
        <v>1.5517241379310345</v>
      </c>
      <c r="E86" s="7">
        <v>2676.5783333333325</v>
      </c>
      <c r="F86" s="4">
        <v>0.02</v>
      </c>
      <c r="G86" s="9">
        <v>4070.2449827586192</v>
      </c>
      <c r="H86" s="4" t="s">
        <v>45</v>
      </c>
      <c r="I86" s="4" t="s">
        <v>22</v>
      </c>
      <c r="J86" s="8">
        <v>264.73</v>
      </c>
    </row>
    <row r="87" spans="1:10" x14ac:dyDescent="0.3">
      <c r="A87" s="4">
        <v>1086</v>
      </c>
      <c r="B87" s="4" t="s">
        <v>137</v>
      </c>
      <c r="C87" s="4" t="s">
        <v>572</v>
      </c>
      <c r="D87" s="6">
        <v>2.5249999999999999</v>
      </c>
      <c r="E87" s="7">
        <v>948.33</v>
      </c>
      <c r="F87" s="4">
        <v>0.46</v>
      </c>
      <c r="G87" s="9">
        <v>1293.047955</v>
      </c>
      <c r="H87" s="4" t="s">
        <v>39</v>
      </c>
      <c r="I87" s="4" t="s">
        <v>15</v>
      </c>
      <c r="J87" s="8">
        <v>-865.22</v>
      </c>
    </row>
    <row r="88" spans="1:10" x14ac:dyDescent="0.3">
      <c r="A88" s="4">
        <v>1087</v>
      </c>
      <c r="B88" s="4" t="s">
        <v>138</v>
      </c>
      <c r="C88" s="4" t="s">
        <v>585</v>
      </c>
      <c r="D88" s="6">
        <v>2</v>
      </c>
      <c r="E88" s="7">
        <v>1976.75</v>
      </c>
      <c r="F88" s="4">
        <v>0.81</v>
      </c>
      <c r="G88" s="9">
        <v>751.16499999999974</v>
      </c>
      <c r="H88" s="4" t="s">
        <v>21</v>
      </c>
      <c r="I88" s="4" t="s">
        <v>15</v>
      </c>
      <c r="J88" s="8">
        <v>2790.95</v>
      </c>
    </row>
    <row r="89" spans="1:10" x14ac:dyDescent="0.3">
      <c r="A89" s="4">
        <v>1088</v>
      </c>
      <c r="B89" s="4" t="s">
        <v>139</v>
      </c>
      <c r="C89" s="4" t="s">
        <v>588</v>
      </c>
      <c r="D89" s="6">
        <v>2.5249999999999999</v>
      </c>
      <c r="E89" s="7">
        <v>3891.14</v>
      </c>
      <c r="F89" s="4">
        <v>0</v>
      </c>
      <c r="G89" s="9">
        <v>9825.1284999999989</v>
      </c>
      <c r="H89" s="4" t="s">
        <v>45</v>
      </c>
      <c r="I89" s="4" t="s">
        <v>15</v>
      </c>
      <c r="J89" s="8">
        <v>1374.27</v>
      </c>
    </row>
    <row r="90" spans="1:10" x14ac:dyDescent="0.3">
      <c r="A90" s="4">
        <v>1089</v>
      </c>
      <c r="B90" s="4" t="s">
        <v>141</v>
      </c>
      <c r="C90" s="4" t="s">
        <v>578</v>
      </c>
      <c r="D90" s="6">
        <v>1.5517241379310345</v>
      </c>
      <c r="E90" s="7">
        <v>1412.17</v>
      </c>
      <c r="F90" s="4">
        <v>0.88</v>
      </c>
      <c r="G90" s="9">
        <v>262.95579310344829</v>
      </c>
      <c r="H90" s="4" t="s">
        <v>21</v>
      </c>
      <c r="I90" s="4" t="s">
        <v>15</v>
      </c>
      <c r="J90" s="8">
        <v>-355.26</v>
      </c>
    </row>
    <row r="91" spans="1:10" x14ac:dyDescent="0.3">
      <c r="A91" s="4">
        <v>1090</v>
      </c>
      <c r="B91" s="4" t="s">
        <v>142</v>
      </c>
      <c r="C91" s="4" t="s">
        <v>578</v>
      </c>
      <c r="D91" s="6">
        <v>5</v>
      </c>
      <c r="E91" s="7">
        <v>2477.8200000000002</v>
      </c>
      <c r="F91" s="4">
        <v>0</v>
      </c>
      <c r="G91" s="9">
        <v>12389.1</v>
      </c>
      <c r="H91" s="4" t="s">
        <v>17</v>
      </c>
      <c r="I91" s="4" t="s">
        <v>15</v>
      </c>
      <c r="J91" s="8">
        <v>-888.86</v>
      </c>
    </row>
    <row r="92" spans="1:10" x14ac:dyDescent="0.3">
      <c r="A92" s="4">
        <v>1091</v>
      </c>
      <c r="B92" s="4" t="s">
        <v>143</v>
      </c>
      <c r="C92" s="4" t="s">
        <v>568</v>
      </c>
      <c r="D92" s="6">
        <v>1</v>
      </c>
      <c r="E92" s="7">
        <v>2755.6936585365856</v>
      </c>
      <c r="F92" s="4">
        <v>0</v>
      </c>
      <c r="G92" s="9">
        <v>2755.6936585365856</v>
      </c>
      <c r="H92" s="4" t="s">
        <v>14</v>
      </c>
      <c r="I92" s="4" t="s">
        <v>15</v>
      </c>
      <c r="J92" s="8">
        <v>156.43</v>
      </c>
    </row>
    <row r="93" spans="1:10" x14ac:dyDescent="0.3">
      <c r="A93" s="4">
        <v>1092</v>
      </c>
      <c r="B93" s="4" t="s">
        <v>144</v>
      </c>
      <c r="C93" s="4" t="s">
        <v>584</v>
      </c>
      <c r="D93" s="6">
        <v>2.0217391304347827</v>
      </c>
      <c r="E93" s="7">
        <v>2878.0747619047615</v>
      </c>
      <c r="F93" s="4">
        <v>0</v>
      </c>
      <c r="G93" s="9">
        <v>5818.7163664596264</v>
      </c>
      <c r="H93" s="4" t="s">
        <v>45</v>
      </c>
      <c r="I93" s="4" t="s">
        <v>15</v>
      </c>
      <c r="J93" s="8">
        <v>1122.6600000000001</v>
      </c>
    </row>
    <row r="94" spans="1:10" x14ac:dyDescent="0.3">
      <c r="A94" s="4">
        <v>1093</v>
      </c>
      <c r="B94" s="4" t="s">
        <v>145</v>
      </c>
      <c r="C94" s="4" t="s">
        <v>584</v>
      </c>
      <c r="D94" s="6">
        <v>-2</v>
      </c>
      <c r="E94" s="7">
        <v>2878.0747619047615</v>
      </c>
      <c r="F94" s="4">
        <v>0</v>
      </c>
      <c r="G94" s="9">
        <v>-5756.1495238095231</v>
      </c>
      <c r="H94" s="4" t="s">
        <v>39</v>
      </c>
      <c r="I94" s="4" t="s">
        <v>22</v>
      </c>
      <c r="J94" s="8">
        <v>2966.76</v>
      </c>
    </row>
    <row r="95" spans="1:10" x14ac:dyDescent="0.3">
      <c r="A95" s="4">
        <v>1094</v>
      </c>
      <c r="B95" s="4" t="s">
        <v>146</v>
      </c>
      <c r="C95" s="4" t="s">
        <v>583</v>
      </c>
      <c r="D95" s="6">
        <v>-1</v>
      </c>
      <c r="E95" s="7">
        <v>4741.41</v>
      </c>
      <c r="F95" s="4">
        <v>0</v>
      </c>
      <c r="G95" s="9">
        <v>-4741.41</v>
      </c>
      <c r="H95" s="4" t="s">
        <v>21</v>
      </c>
      <c r="I95" s="4" t="s">
        <v>15</v>
      </c>
      <c r="J95" s="8">
        <v>1901.7</v>
      </c>
    </row>
    <row r="96" spans="1:10" x14ac:dyDescent="0.3">
      <c r="A96" s="4">
        <v>1097</v>
      </c>
      <c r="B96" s="4" t="s">
        <v>149</v>
      </c>
      <c r="C96" s="4" t="s">
        <v>572</v>
      </c>
      <c r="D96" s="6">
        <v>0</v>
      </c>
      <c r="E96" s="7">
        <v>2755.6936585365856</v>
      </c>
      <c r="F96" s="4">
        <v>0</v>
      </c>
      <c r="G96" s="9">
        <v>0</v>
      </c>
      <c r="H96" s="4" t="s">
        <v>21</v>
      </c>
      <c r="I96" s="4" t="s">
        <v>15</v>
      </c>
      <c r="J96" s="8">
        <v>1141.1500000000001</v>
      </c>
    </row>
    <row r="97" spans="1:10" x14ac:dyDescent="0.3">
      <c r="A97" s="4">
        <v>1098</v>
      </c>
      <c r="B97" s="4" t="s">
        <v>150</v>
      </c>
      <c r="C97" s="4" t="s">
        <v>588</v>
      </c>
      <c r="D97" s="6">
        <v>0</v>
      </c>
      <c r="E97" s="7">
        <v>4752.04</v>
      </c>
      <c r="F97" s="4">
        <v>0</v>
      </c>
      <c r="G97" s="9">
        <v>0</v>
      </c>
      <c r="H97" s="4" t="s">
        <v>17</v>
      </c>
      <c r="I97" s="4" t="s">
        <v>15</v>
      </c>
      <c r="J97" s="8">
        <v>129.37</v>
      </c>
    </row>
    <row r="98" spans="1:10" x14ac:dyDescent="0.3">
      <c r="A98" s="4">
        <v>1099</v>
      </c>
      <c r="B98" s="4" t="s">
        <v>151</v>
      </c>
      <c r="C98" s="4" t="s">
        <v>567</v>
      </c>
      <c r="D98" s="6">
        <v>1.5517241379310345</v>
      </c>
      <c r="E98" s="7">
        <v>2676.5783333333325</v>
      </c>
      <c r="F98" s="4">
        <v>0</v>
      </c>
      <c r="G98" s="9">
        <v>4153.3112068965502</v>
      </c>
      <c r="H98" s="4" t="s">
        <v>45</v>
      </c>
      <c r="I98" s="4" t="s">
        <v>22</v>
      </c>
      <c r="J98" s="8">
        <v>300.02</v>
      </c>
    </row>
    <row r="99" spans="1:10" x14ac:dyDescent="0.3">
      <c r="A99" s="4">
        <v>1100</v>
      </c>
      <c r="B99" s="4" t="s">
        <v>152</v>
      </c>
      <c r="C99" s="4" t="s">
        <v>582</v>
      </c>
      <c r="D99" s="6">
        <v>2</v>
      </c>
      <c r="E99" s="7">
        <v>2011.73</v>
      </c>
      <c r="F99" s="4">
        <v>0</v>
      </c>
      <c r="G99" s="9">
        <v>4023.46</v>
      </c>
      <c r="H99" s="4" t="s">
        <v>552</v>
      </c>
      <c r="I99" s="4" t="s">
        <v>15</v>
      </c>
      <c r="J99" s="8">
        <v>2493.5</v>
      </c>
    </row>
    <row r="100" spans="1:10" x14ac:dyDescent="0.3">
      <c r="A100" s="4">
        <v>1101</v>
      </c>
      <c r="B100" s="4" t="s">
        <v>153</v>
      </c>
      <c r="C100" s="4" t="s">
        <v>570</v>
      </c>
      <c r="D100" s="6">
        <v>2</v>
      </c>
      <c r="E100" s="7">
        <v>2592.8782222222212</v>
      </c>
      <c r="F100" s="4">
        <v>0.22</v>
      </c>
      <c r="G100" s="9">
        <v>4044.8900266666651</v>
      </c>
      <c r="H100" s="4" t="s">
        <v>45</v>
      </c>
      <c r="I100" s="4" t="s">
        <v>15</v>
      </c>
      <c r="J100" s="8">
        <v>2962.73</v>
      </c>
    </row>
    <row r="101" spans="1:10" x14ac:dyDescent="0.3">
      <c r="A101" s="4">
        <v>1102</v>
      </c>
      <c r="B101" s="4" t="s">
        <v>154</v>
      </c>
      <c r="C101" s="4" t="s">
        <v>570</v>
      </c>
      <c r="D101" s="6">
        <v>5</v>
      </c>
      <c r="E101" s="7">
        <v>2592.8782222222212</v>
      </c>
      <c r="F101" s="4">
        <v>0</v>
      </c>
      <c r="G101" s="9">
        <v>12964.391111111107</v>
      </c>
      <c r="H101" s="4" t="s">
        <v>552</v>
      </c>
      <c r="I101" s="4" t="s">
        <v>15</v>
      </c>
      <c r="J101" s="8">
        <v>2776.7</v>
      </c>
    </row>
    <row r="102" spans="1:10" x14ac:dyDescent="0.3">
      <c r="A102" s="4">
        <v>1103</v>
      </c>
      <c r="B102" s="4" t="s">
        <v>155</v>
      </c>
      <c r="C102" s="4" t="s">
        <v>584</v>
      </c>
      <c r="D102" s="6">
        <v>5</v>
      </c>
      <c r="E102" s="7">
        <v>1521.46</v>
      </c>
      <c r="F102" s="4">
        <v>0</v>
      </c>
      <c r="G102" s="9">
        <v>7607.3</v>
      </c>
      <c r="H102" s="4" t="s">
        <v>39</v>
      </c>
      <c r="I102" s="4" t="s">
        <v>22</v>
      </c>
      <c r="J102" s="8">
        <v>1713.47</v>
      </c>
    </row>
    <row r="103" spans="1:10" x14ac:dyDescent="0.3">
      <c r="A103" s="4">
        <v>1104</v>
      </c>
      <c r="B103" s="4" t="s">
        <v>156</v>
      </c>
      <c r="C103" s="4" t="s">
        <v>576</v>
      </c>
      <c r="D103" s="6">
        <v>3</v>
      </c>
      <c r="E103" s="7">
        <v>2752.71</v>
      </c>
      <c r="F103" s="4">
        <v>0</v>
      </c>
      <c r="G103" s="9">
        <v>8258.130000000001</v>
      </c>
      <c r="H103" s="4" t="s">
        <v>17</v>
      </c>
      <c r="I103" s="4" t="s">
        <v>22</v>
      </c>
      <c r="J103" s="8">
        <v>1660.01</v>
      </c>
    </row>
    <row r="104" spans="1:10" x14ac:dyDescent="0.3">
      <c r="A104" s="4">
        <v>1105</v>
      </c>
      <c r="B104" s="4" t="s">
        <v>157</v>
      </c>
      <c r="C104" s="4" t="s">
        <v>576</v>
      </c>
      <c r="D104" s="6">
        <v>-2</v>
      </c>
      <c r="E104" s="7">
        <v>2878.0747619047615</v>
      </c>
      <c r="F104" s="4">
        <v>0</v>
      </c>
      <c r="G104" s="9">
        <v>-5756.1495238095231</v>
      </c>
      <c r="H104" s="4" t="s">
        <v>17</v>
      </c>
      <c r="I104" s="4" t="s">
        <v>22</v>
      </c>
      <c r="J104" s="8">
        <v>616.04</v>
      </c>
    </row>
    <row r="105" spans="1:10" x14ac:dyDescent="0.3">
      <c r="A105" s="4">
        <v>1106</v>
      </c>
      <c r="B105" s="4" t="s">
        <v>158</v>
      </c>
      <c r="C105" s="4" t="s">
        <v>570</v>
      </c>
      <c r="D105" s="6">
        <v>3</v>
      </c>
      <c r="E105" s="7">
        <v>2592.8782222222212</v>
      </c>
      <c r="F105" s="4">
        <v>0</v>
      </c>
      <c r="G105" s="9">
        <v>7778.6346666666632</v>
      </c>
      <c r="H105" s="4" t="s">
        <v>45</v>
      </c>
      <c r="I105" s="4" t="s">
        <v>15</v>
      </c>
      <c r="J105" s="8">
        <v>53.28</v>
      </c>
    </row>
    <row r="106" spans="1:10" x14ac:dyDescent="0.3">
      <c r="A106" s="4">
        <v>1107</v>
      </c>
      <c r="B106" s="4" t="s">
        <v>159</v>
      </c>
      <c r="C106" s="4" t="s">
        <v>574</v>
      </c>
      <c r="D106" s="6">
        <v>2</v>
      </c>
      <c r="E106" s="7">
        <v>4948</v>
      </c>
      <c r="F106" s="4">
        <v>0</v>
      </c>
      <c r="G106" s="9">
        <v>9896</v>
      </c>
      <c r="H106" s="4" t="s">
        <v>14</v>
      </c>
      <c r="I106" s="4" t="s">
        <v>15</v>
      </c>
      <c r="J106" s="8">
        <v>1064.8599999999999</v>
      </c>
    </row>
    <row r="107" spans="1:10" x14ac:dyDescent="0.3">
      <c r="A107" s="4">
        <v>1109</v>
      </c>
      <c r="B107" s="4" t="s">
        <v>161</v>
      </c>
      <c r="C107" s="4" t="s">
        <v>585</v>
      </c>
      <c r="D107" s="6">
        <v>2</v>
      </c>
      <c r="E107" s="7">
        <v>2592.8782222222212</v>
      </c>
      <c r="F107" s="4">
        <v>0</v>
      </c>
      <c r="G107" s="9">
        <v>5185.7564444444424</v>
      </c>
      <c r="H107" s="4" t="s">
        <v>552</v>
      </c>
      <c r="I107" s="4" t="s">
        <v>15</v>
      </c>
      <c r="J107" s="8">
        <v>2133.58</v>
      </c>
    </row>
    <row r="108" spans="1:10" x14ac:dyDescent="0.3">
      <c r="A108" s="4">
        <v>1110</v>
      </c>
      <c r="B108" s="4" t="s">
        <v>162</v>
      </c>
      <c r="C108" s="4" t="s">
        <v>565</v>
      </c>
      <c r="D108" s="6">
        <v>4</v>
      </c>
      <c r="E108" s="7">
        <v>2592.8782222222212</v>
      </c>
      <c r="F108" s="4">
        <v>0</v>
      </c>
      <c r="G108" s="9">
        <v>10371.512888888885</v>
      </c>
      <c r="H108" s="4" t="s">
        <v>21</v>
      </c>
      <c r="I108" s="4" t="s">
        <v>15</v>
      </c>
      <c r="J108" s="8">
        <v>2155.6799999999998</v>
      </c>
    </row>
    <row r="109" spans="1:10" x14ac:dyDescent="0.3">
      <c r="A109" s="4">
        <v>1111</v>
      </c>
      <c r="B109" s="4" t="s">
        <v>163</v>
      </c>
      <c r="C109" s="4" t="s">
        <v>579</v>
      </c>
      <c r="D109" s="6">
        <v>1.5813953488372092</v>
      </c>
      <c r="E109" s="7">
        <v>2715.2732432432431</v>
      </c>
      <c r="F109" s="4">
        <v>0</v>
      </c>
      <c r="G109" s="9">
        <v>4293.9204776869892</v>
      </c>
      <c r="H109" s="4" t="s">
        <v>17</v>
      </c>
      <c r="I109" s="4" t="s">
        <v>15</v>
      </c>
      <c r="J109" s="8">
        <v>748.93</v>
      </c>
    </row>
    <row r="110" spans="1:10" x14ac:dyDescent="0.3">
      <c r="A110" s="4">
        <v>1112</v>
      </c>
      <c r="B110" s="4" t="s">
        <v>164</v>
      </c>
      <c r="C110" s="4" t="s">
        <v>571</v>
      </c>
      <c r="D110" s="6">
        <v>2.0217391304347827</v>
      </c>
      <c r="E110" s="7">
        <v>1027.56</v>
      </c>
      <c r="F110" s="4">
        <v>0</v>
      </c>
      <c r="G110" s="9">
        <v>2077.458260869565</v>
      </c>
      <c r="H110" s="4" t="s">
        <v>21</v>
      </c>
      <c r="I110" s="4" t="s">
        <v>15</v>
      </c>
      <c r="J110" s="8">
        <v>1160.17</v>
      </c>
    </row>
    <row r="111" spans="1:10" x14ac:dyDescent="0.3">
      <c r="A111" s="4">
        <v>1113</v>
      </c>
      <c r="B111" s="4" t="s">
        <v>165</v>
      </c>
      <c r="C111" s="4" t="s">
        <v>566</v>
      </c>
      <c r="D111" s="6">
        <v>1.675</v>
      </c>
      <c r="E111" s="7">
        <v>3864.5</v>
      </c>
      <c r="F111" s="4">
        <v>0</v>
      </c>
      <c r="G111" s="9">
        <v>6473.0375000000004</v>
      </c>
      <c r="H111" s="4" t="s">
        <v>17</v>
      </c>
      <c r="I111" s="4" t="s">
        <v>15</v>
      </c>
      <c r="J111" s="8">
        <v>-763.23</v>
      </c>
    </row>
    <row r="112" spans="1:10" x14ac:dyDescent="0.3">
      <c r="A112" s="4">
        <v>1114</v>
      </c>
      <c r="B112" s="4" t="s">
        <v>166</v>
      </c>
      <c r="C112" s="4" t="s">
        <v>584</v>
      </c>
      <c r="D112" s="6">
        <v>6</v>
      </c>
      <c r="E112" s="7">
        <v>568.61</v>
      </c>
      <c r="F112" s="4">
        <v>0.2</v>
      </c>
      <c r="G112" s="9">
        <v>2729.328</v>
      </c>
      <c r="H112" s="4" t="s">
        <v>14</v>
      </c>
      <c r="I112" s="4" t="s">
        <v>15</v>
      </c>
      <c r="J112" s="8">
        <v>-689.16</v>
      </c>
    </row>
    <row r="113" spans="1:10" x14ac:dyDescent="0.3">
      <c r="A113" s="4">
        <v>1115</v>
      </c>
      <c r="B113" s="4" t="s">
        <v>167</v>
      </c>
      <c r="C113" s="4" t="s">
        <v>568</v>
      </c>
      <c r="D113" s="6">
        <v>2.5249999999999999</v>
      </c>
      <c r="E113" s="7">
        <v>2755.6936585365856</v>
      </c>
      <c r="F113" s="4">
        <v>0</v>
      </c>
      <c r="G113" s="9">
        <v>6958.1264878048787</v>
      </c>
      <c r="H113" s="4" t="s">
        <v>17</v>
      </c>
      <c r="I113" s="4" t="s">
        <v>15</v>
      </c>
      <c r="J113" s="8">
        <v>-624.26</v>
      </c>
    </row>
    <row r="114" spans="1:10" x14ac:dyDescent="0.3">
      <c r="A114" s="4">
        <v>1116</v>
      </c>
      <c r="B114" s="4" t="s">
        <v>168</v>
      </c>
      <c r="C114" s="4" t="s">
        <v>580</v>
      </c>
      <c r="D114" s="6">
        <v>1</v>
      </c>
      <c r="E114" s="7">
        <v>2952.3559374999995</v>
      </c>
      <c r="F114" s="4">
        <v>0</v>
      </c>
      <c r="G114" s="9">
        <v>2952.3559374999995</v>
      </c>
      <c r="H114" s="4" t="s">
        <v>14</v>
      </c>
      <c r="I114" s="4" t="s">
        <v>15</v>
      </c>
      <c r="J114" s="8">
        <v>1733.04</v>
      </c>
    </row>
    <row r="115" spans="1:10" x14ac:dyDescent="0.3">
      <c r="A115" s="4">
        <v>1117</v>
      </c>
      <c r="B115" s="4" t="s">
        <v>169</v>
      </c>
      <c r="C115" s="4" t="s">
        <v>566</v>
      </c>
      <c r="D115" s="6">
        <v>1.675</v>
      </c>
      <c r="E115" s="7">
        <v>3567.55</v>
      </c>
      <c r="F115" s="4">
        <v>0</v>
      </c>
      <c r="G115" s="9">
        <v>5975.6462500000007</v>
      </c>
      <c r="H115" s="4" t="s">
        <v>39</v>
      </c>
      <c r="I115" s="4" t="s">
        <v>15</v>
      </c>
      <c r="J115" s="8">
        <v>-455.6</v>
      </c>
    </row>
    <row r="116" spans="1:10" x14ac:dyDescent="0.3">
      <c r="A116" s="4">
        <v>1118</v>
      </c>
      <c r="B116" s="4" t="s">
        <v>170</v>
      </c>
      <c r="C116" s="4" t="s">
        <v>568</v>
      </c>
      <c r="D116" s="6">
        <v>2.5249999999999999</v>
      </c>
      <c r="E116" s="7">
        <v>2755.6936585365856</v>
      </c>
      <c r="F116" s="4">
        <v>0</v>
      </c>
      <c r="G116" s="9">
        <v>6958.1264878048787</v>
      </c>
      <c r="H116" s="4" t="s">
        <v>39</v>
      </c>
      <c r="I116" s="4" t="s">
        <v>15</v>
      </c>
      <c r="J116" s="8">
        <v>1039.53</v>
      </c>
    </row>
    <row r="117" spans="1:10" x14ac:dyDescent="0.3">
      <c r="A117" s="4">
        <v>1119</v>
      </c>
      <c r="B117" s="4" t="s">
        <v>171</v>
      </c>
      <c r="C117" s="4" t="s">
        <v>585</v>
      </c>
      <c r="D117" s="6">
        <v>2</v>
      </c>
      <c r="E117" s="7">
        <v>2592.8782222222212</v>
      </c>
      <c r="F117" s="4">
        <v>0</v>
      </c>
      <c r="G117" s="9">
        <v>5185.7564444444424</v>
      </c>
      <c r="H117" s="4" t="s">
        <v>21</v>
      </c>
      <c r="I117" s="4" t="s">
        <v>15</v>
      </c>
      <c r="J117" s="8">
        <v>142.69</v>
      </c>
    </row>
    <row r="118" spans="1:10" x14ac:dyDescent="0.3">
      <c r="A118" s="4">
        <v>1120</v>
      </c>
      <c r="B118" s="4" t="s">
        <v>172</v>
      </c>
      <c r="C118" s="4" t="s">
        <v>566</v>
      </c>
      <c r="D118" s="6">
        <v>1.675</v>
      </c>
      <c r="E118" s="7">
        <v>4709</v>
      </c>
      <c r="F118" s="4">
        <v>0</v>
      </c>
      <c r="G118" s="9">
        <v>7887.5749999999998</v>
      </c>
      <c r="H118" s="4" t="s">
        <v>17</v>
      </c>
      <c r="I118" s="4" t="s">
        <v>15</v>
      </c>
      <c r="J118" s="8">
        <v>828.98</v>
      </c>
    </row>
    <row r="119" spans="1:10" x14ac:dyDescent="0.3">
      <c r="A119" s="4">
        <v>1121</v>
      </c>
      <c r="B119" s="4" t="s">
        <v>173</v>
      </c>
      <c r="C119" s="4" t="s">
        <v>582</v>
      </c>
      <c r="D119" s="6">
        <v>1.5517241379310345</v>
      </c>
      <c r="E119" s="7">
        <v>4109.6000000000004</v>
      </c>
      <c r="F119" s="4">
        <v>0.42</v>
      </c>
      <c r="G119" s="9">
        <v>3698.6400000000008</v>
      </c>
      <c r="H119" s="4" t="s">
        <v>45</v>
      </c>
      <c r="I119" s="4" t="s">
        <v>15</v>
      </c>
      <c r="J119" s="8">
        <v>1422.36</v>
      </c>
    </row>
    <row r="120" spans="1:10" x14ac:dyDescent="0.3">
      <c r="A120" s="4">
        <v>1122</v>
      </c>
      <c r="B120" s="4" t="s">
        <v>174</v>
      </c>
      <c r="C120" s="4" t="s">
        <v>580</v>
      </c>
      <c r="D120" s="6">
        <v>0</v>
      </c>
      <c r="E120" s="7">
        <v>4745.03</v>
      </c>
      <c r="F120" s="4">
        <v>0.4</v>
      </c>
      <c r="G120" s="9">
        <v>0</v>
      </c>
      <c r="H120" s="4" t="s">
        <v>21</v>
      </c>
      <c r="I120" s="4" t="s">
        <v>15</v>
      </c>
      <c r="J120" s="8">
        <v>2658.02</v>
      </c>
    </row>
    <row r="121" spans="1:10" x14ac:dyDescent="0.3">
      <c r="A121" s="4">
        <v>1123</v>
      </c>
      <c r="B121" s="4" t="s">
        <v>175</v>
      </c>
      <c r="C121" s="4" t="s">
        <v>588</v>
      </c>
      <c r="D121" s="6">
        <v>5</v>
      </c>
      <c r="E121" s="7">
        <v>3978.76</v>
      </c>
      <c r="F121" s="4">
        <v>0</v>
      </c>
      <c r="G121" s="9">
        <v>19893.800000000003</v>
      </c>
      <c r="H121" s="4" t="s">
        <v>17</v>
      </c>
      <c r="I121" s="4" t="s">
        <v>15</v>
      </c>
      <c r="J121" s="8">
        <v>1494.78</v>
      </c>
    </row>
    <row r="122" spans="1:10" x14ac:dyDescent="0.3">
      <c r="A122" s="4">
        <v>1125</v>
      </c>
      <c r="B122" s="4" t="s">
        <v>177</v>
      </c>
      <c r="C122" s="4" t="s">
        <v>582</v>
      </c>
      <c r="D122" s="6">
        <v>-2</v>
      </c>
      <c r="E122" s="7">
        <v>2676.5783333333325</v>
      </c>
      <c r="F122" s="4">
        <v>0</v>
      </c>
      <c r="G122" s="9">
        <v>-5353.1566666666649</v>
      </c>
      <c r="H122" s="4" t="s">
        <v>14</v>
      </c>
      <c r="I122" s="4" t="s">
        <v>15</v>
      </c>
      <c r="J122" s="8">
        <v>-754.58</v>
      </c>
    </row>
    <row r="123" spans="1:10" x14ac:dyDescent="0.3">
      <c r="A123" s="4">
        <v>1126</v>
      </c>
      <c r="B123" s="4" t="s">
        <v>178</v>
      </c>
      <c r="C123" s="4" t="s">
        <v>570</v>
      </c>
      <c r="D123" s="6">
        <v>2</v>
      </c>
      <c r="E123" s="7">
        <v>2592.8782222222212</v>
      </c>
      <c r="F123" s="4">
        <v>0.59</v>
      </c>
      <c r="G123" s="9">
        <v>2126.1601422222216</v>
      </c>
      <c r="H123" s="4" t="s">
        <v>45</v>
      </c>
      <c r="I123" s="4" t="s">
        <v>15</v>
      </c>
      <c r="J123" s="8">
        <v>1820.2</v>
      </c>
    </row>
    <row r="124" spans="1:10" x14ac:dyDescent="0.3">
      <c r="A124" s="4">
        <v>1127</v>
      </c>
      <c r="B124" s="4" t="s">
        <v>179</v>
      </c>
      <c r="C124" s="4" t="s">
        <v>584</v>
      </c>
      <c r="D124" s="6">
        <v>3</v>
      </c>
      <c r="E124" s="7">
        <v>4843.4399999999996</v>
      </c>
      <c r="F124" s="4">
        <v>7.0000000000000007E-2</v>
      </c>
      <c r="G124" s="9">
        <v>13513.1976</v>
      </c>
      <c r="H124" s="4" t="s">
        <v>17</v>
      </c>
      <c r="I124" s="4" t="s">
        <v>22</v>
      </c>
      <c r="J124" s="8">
        <v>2881.91</v>
      </c>
    </row>
    <row r="125" spans="1:10" x14ac:dyDescent="0.3">
      <c r="A125" s="4">
        <v>1128</v>
      </c>
      <c r="B125" s="4" t="s">
        <v>180</v>
      </c>
      <c r="C125" s="4" t="s">
        <v>573</v>
      </c>
      <c r="D125" s="6">
        <v>1.5813953488372092</v>
      </c>
      <c r="E125" s="7">
        <v>2715.2732432432431</v>
      </c>
      <c r="F125" s="4">
        <v>0.43</v>
      </c>
      <c r="G125" s="9">
        <v>2447.5346722815843</v>
      </c>
      <c r="H125" s="4" t="s">
        <v>552</v>
      </c>
      <c r="I125" s="4" t="s">
        <v>15</v>
      </c>
      <c r="J125" s="8">
        <v>-68.489999999999995</v>
      </c>
    </row>
    <row r="126" spans="1:10" x14ac:dyDescent="0.3">
      <c r="A126" s="4">
        <v>1129</v>
      </c>
      <c r="B126" s="4" t="s">
        <v>181</v>
      </c>
      <c r="C126" s="4" t="s">
        <v>570</v>
      </c>
      <c r="D126" s="6">
        <v>-2</v>
      </c>
      <c r="E126" s="7">
        <v>2412.36</v>
      </c>
      <c r="F126" s="4">
        <v>0.23</v>
      </c>
      <c r="G126" s="9">
        <v>-3715.0344000000005</v>
      </c>
      <c r="H126" s="4" t="s">
        <v>21</v>
      </c>
      <c r="I126" s="4" t="s">
        <v>15</v>
      </c>
      <c r="J126" s="8">
        <v>-668.36</v>
      </c>
    </row>
    <row r="127" spans="1:10" x14ac:dyDescent="0.3">
      <c r="A127" s="4">
        <v>1130</v>
      </c>
      <c r="B127" s="4" t="s">
        <v>31</v>
      </c>
      <c r="C127" s="4" t="s">
        <v>572</v>
      </c>
      <c r="D127" s="6">
        <v>2.5249999999999999</v>
      </c>
      <c r="E127" s="7">
        <v>2755.6936585365856</v>
      </c>
      <c r="F127" s="4">
        <v>0</v>
      </c>
      <c r="G127" s="9">
        <v>6958.1264878048787</v>
      </c>
      <c r="H127" s="4" t="s">
        <v>14</v>
      </c>
      <c r="I127" s="4" t="s">
        <v>22</v>
      </c>
      <c r="J127" s="8">
        <v>2782.45</v>
      </c>
    </row>
    <row r="128" spans="1:10" x14ac:dyDescent="0.3">
      <c r="A128" s="4">
        <v>1131</v>
      </c>
      <c r="B128" s="4" t="s">
        <v>182</v>
      </c>
      <c r="C128" s="4" t="s">
        <v>579</v>
      </c>
      <c r="D128" s="6">
        <v>5</v>
      </c>
      <c r="E128" s="7">
        <v>2715.2732432432431</v>
      </c>
      <c r="F128" s="4">
        <v>0.99</v>
      </c>
      <c r="G128" s="9">
        <v>135.76366216216226</v>
      </c>
      <c r="H128" s="4" t="s">
        <v>14</v>
      </c>
      <c r="I128" s="4" t="s">
        <v>15</v>
      </c>
      <c r="J128" s="8">
        <v>-941.56</v>
      </c>
    </row>
    <row r="129" spans="1:10" x14ac:dyDescent="0.3">
      <c r="A129" s="4">
        <v>1132</v>
      </c>
      <c r="B129" s="4" t="s">
        <v>183</v>
      </c>
      <c r="C129" s="4" t="s">
        <v>580</v>
      </c>
      <c r="D129" s="6">
        <v>1.675</v>
      </c>
      <c r="E129" s="7">
        <v>2952.3559374999995</v>
      </c>
      <c r="F129" s="4">
        <v>0.57999999999999996</v>
      </c>
      <c r="G129" s="9">
        <v>2076.9824020312499</v>
      </c>
      <c r="H129" s="4" t="s">
        <v>14</v>
      </c>
      <c r="I129" s="4" t="s">
        <v>22</v>
      </c>
      <c r="J129" s="8">
        <v>2043.57</v>
      </c>
    </row>
    <row r="130" spans="1:10" x14ac:dyDescent="0.3">
      <c r="A130" s="4">
        <v>1133</v>
      </c>
      <c r="B130" s="4" t="s">
        <v>184</v>
      </c>
      <c r="C130" s="4" t="s">
        <v>571</v>
      </c>
      <c r="D130" s="6">
        <v>2.0217391304347827</v>
      </c>
      <c r="E130" s="7">
        <v>2878.0747619047615</v>
      </c>
      <c r="F130" s="4">
        <v>0.6</v>
      </c>
      <c r="G130" s="9">
        <v>2327.4865465838507</v>
      </c>
      <c r="H130" s="4" t="s">
        <v>17</v>
      </c>
      <c r="I130" s="4" t="s">
        <v>15</v>
      </c>
      <c r="J130" s="8">
        <v>806.19</v>
      </c>
    </row>
    <row r="131" spans="1:10" x14ac:dyDescent="0.3">
      <c r="A131" s="4">
        <v>1134</v>
      </c>
      <c r="B131" s="4" t="s">
        <v>185</v>
      </c>
      <c r="C131" s="4" t="s">
        <v>577</v>
      </c>
      <c r="D131" s="6">
        <v>3</v>
      </c>
      <c r="E131" s="7">
        <v>2878.0747619047615</v>
      </c>
      <c r="F131" s="4">
        <v>0</v>
      </c>
      <c r="G131" s="9">
        <v>8634.2242857142846</v>
      </c>
      <c r="H131" s="4" t="s">
        <v>14</v>
      </c>
      <c r="I131" s="4" t="s">
        <v>15</v>
      </c>
      <c r="J131" s="8">
        <v>1101.19</v>
      </c>
    </row>
    <row r="132" spans="1:10" x14ac:dyDescent="0.3">
      <c r="A132" s="4">
        <v>1135</v>
      </c>
      <c r="B132" s="4" t="s">
        <v>186</v>
      </c>
      <c r="C132" s="4" t="s">
        <v>575</v>
      </c>
      <c r="D132" s="6">
        <v>4</v>
      </c>
      <c r="E132" s="7">
        <v>1556.96</v>
      </c>
      <c r="F132" s="4">
        <v>0.84</v>
      </c>
      <c r="G132" s="9">
        <v>996.45440000000019</v>
      </c>
      <c r="H132" s="4" t="s">
        <v>21</v>
      </c>
      <c r="I132" s="4" t="s">
        <v>22</v>
      </c>
      <c r="J132" s="8">
        <v>1432.84</v>
      </c>
    </row>
    <row r="133" spans="1:10" x14ac:dyDescent="0.3">
      <c r="A133" s="4">
        <v>1136</v>
      </c>
      <c r="B133" s="4" t="s">
        <v>187</v>
      </c>
      <c r="C133" s="4" t="s">
        <v>574</v>
      </c>
      <c r="D133" s="6">
        <v>2</v>
      </c>
      <c r="E133" s="7">
        <v>3658.42</v>
      </c>
      <c r="F133" s="4">
        <v>0.47</v>
      </c>
      <c r="G133" s="9">
        <v>3877.9252000000001</v>
      </c>
      <c r="H133" s="4" t="s">
        <v>21</v>
      </c>
      <c r="I133" s="4" t="s">
        <v>15</v>
      </c>
      <c r="J133" s="8">
        <v>1897.33</v>
      </c>
    </row>
    <row r="134" spans="1:10" x14ac:dyDescent="0.3">
      <c r="A134" s="4">
        <v>1137</v>
      </c>
      <c r="B134" s="4" t="s">
        <v>188</v>
      </c>
      <c r="C134" s="4" t="s">
        <v>575</v>
      </c>
      <c r="D134" s="6">
        <v>1.5517241379310345</v>
      </c>
      <c r="E134" s="7">
        <v>4206.0600000000004</v>
      </c>
      <c r="F134" s="4">
        <v>0</v>
      </c>
      <c r="G134" s="9">
        <v>6526.6448275862076</v>
      </c>
      <c r="H134" s="4" t="s">
        <v>14</v>
      </c>
      <c r="I134" s="4" t="s">
        <v>22</v>
      </c>
      <c r="J134" s="8">
        <v>1161.76</v>
      </c>
    </row>
    <row r="135" spans="1:10" x14ac:dyDescent="0.3">
      <c r="A135" s="4">
        <v>1138</v>
      </c>
      <c r="B135" s="4" t="s">
        <v>189</v>
      </c>
      <c r="C135" s="4" t="s">
        <v>584</v>
      </c>
      <c r="D135" s="6">
        <v>2.0217391304347827</v>
      </c>
      <c r="E135" s="7">
        <v>2878.0747619047615</v>
      </c>
      <c r="F135" s="4">
        <v>0.26</v>
      </c>
      <c r="G135" s="9">
        <v>4305.8501111801233</v>
      </c>
      <c r="H135" s="4" t="s">
        <v>552</v>
      </c>
      <c r="I135" s="4" t="s">
        <v>15</v>
      </c>
      <c r="J135" s="8">
        <v>-658.58</v>
      </c>
    </row>
    <row r="136" spans="1:10" x14ac:dyDescent="0.3">
      <c r="A136" s="4">
        <v>1139</v>
      </c>
      <c r="B136" s="4" t="s">
        <v>190</v>
      </c>
      <c r="C136" s="4" t="s">
        <v>581</v>
      </c>
      <c r="D136" s="6">
        <v>1.5813953488372092</v>
      </c>
      <c r="E136" s="7">
        <v>2715.2732432432431</v>
      </c>
      <c r="F136" s="4">
        <v>0.21</v>
      </c>
      <c r="G136" s="9">
        <v>3392.1971773727219</v>
      </c>
      <c r="H136" s="4" t="s">
        <v>39</v>
      </c>
      <c r="I136" s="4" t="s">
        <v>15</v>
      </c>
      <c r="J136" s="8">
        <v>-832.45</v>
      </c>
    </row>
    <row r="137" spans="1:10" x14ac:dyDescent="0.3">
      <c r="A137" s="4">
        <v>1140</v>
      </c>
      <c r="B137" s="4" t="s">
        <v>191</v>
      </c>
      <c r="C137" s="4" t="s">
        <v>568</v>
      </c>
      <c r="D137" s="6">
        <v>4</v>
      </c>
      <c r="E137" s="7">
        <v>2755.6936585365856</v>
      </c>
      <c r="F137" s="4">
        <v>0</v>
      </c>
      <c r="G137" s="9">
        <v>11022.774634146343</v>
      </c>
      <c r="H137" s="4" t="s">
        <v>552</v>
      </c>
      <c r="I137" s="4" t="s">
        <v>22</v>
      </c>
      <c r="J137" s="8">
        <v>-127.91</v>
      </c>
    </row>
    <row r="138" spans="1:10" x14ac:dyDescent="0.3">
      <c r="A138" s="4">
        <v>1141</v>
      </c>
      <c r="B138" s="4" t="s">
        <v>192</v>
      </c>
      <c r="C138" s="4" t="s">
        <v>581</v>
      </c>
      <c r="D138" s="6">
        <v>1.5813953488372092</v>
      </c>
      <c r="E138" s="7">
        <v>2715.2732432432431</v>
      </c>
      <c r="F138" s="4">
        <v>1.1499999999999999</v>
      </c>
      <c r="G138" s="9">
        <v>-644.08807165304802</v>
      </c>
      <c r="H138" s="4" t="s">
        <v>14</v>
      </c>
      <c r="I138" s="4" t="s">
        <v>15</v>
      </c>
      <c r="J138" s="8">
        <v>429.67</v>
      </c>
    </row>
    <row r="139" spans="1:10" x14ac:dyDescent="0.3">
      <c r="A139" s="4">
        <v>1142</v>
      </c>
      <c r="B139" s="4" t="s">
        <v>193</v>
      </c>
      <c r="C139" s="4" t="s">
        <v>584</v>
      </c>
      <c r="D139" s="6">
        <v>6</v>
      </c>
      <c r="E139" s="7">
        <v>3004.58</v>
      </c>
      <c r="F139" s="4">
        <v>0</v>
      </c>
      <c r="G139" s="9">
        <v>18027.48</v>
      </c>
      <c r="H139" s="4" t="s">
        <v>552</v>
      </c>
      <c r="I139" s="4" t="s">
        <v>15</v>
      </c>
      <c r="J139" s="8">
        <v>-509.67</v>
      </c>
    </row>
    <row r="140" spans="1:10" x14ac:dyDescent="0.3">
      <c r="A140" s="4">
        <v>1143</v>
      </c>
      <c r="B140" s="4" t="s">
        <v>194</v>
      </c>
      <c r="C140" s="4" t="s">
        <v>583</v>
      </c>
      <c r="D140" s="6">
        <v>1.675</v>
      </c>
      <c r="E140" s="7">
        <v>2952.3559374999995</v>
      </c>
      <c r="F140" s="4">
        <v>0</v>
      </c>
      <c r="G140" s="9">
        <v>4945.1961953124992</v>
      </c>
      <c r="H140" s="4" t="s">
        <v>39</v>
      </c>
      <c r="I140" s="4" t="s">
        <v>15</v>
      </c>
      <c r="J140" s="8">
        <v>816.49</v>
      </c>
    </row>
    <row r="141" spans="1:10" x14ac:dyDescent="0.3">
      <c r="A141" s="4">
        <v>1144</v>
      </c>
      <c r="B141" s="4" t="s">
        <v>559</v>
      </c>
      <c r="C141" s="4" t="s">
        <v>565</v>
      </c>
      <c r="D141" s="6">
        <v>2</v>
      </c>
      <c r="E141" s="7">
        <v>2592.8782222222212</v>
      </c>
      <c r="F141" s="4">
        <v>0.19</v>
      </c>
      <c r="G141" s="9">
        <v>4200.4627199999986</v>
      </c>
      <c r="H141" s="4" t="s">
        <v>21</v>
      </c>
      <c r="I141" s="4" t="s">
        <v>15</v>
      </c>
      <c r="J141" s="8">
        <v>2966.21</v>
      </c>
    </row>
    <row r="142" spans="1:10" x14ac:dyDescent="0.3">
      <c r="A142" s="4">
        <v>1145</v>
      </c>
      <c r="B142" s="4" t="s">
        <v>196</v>
      </c>
      <c r="C142" s="4" t="s">
        <v>581</v>
      </c>
      <c r="D142" s="6">
        <v>-2</v>
      </c>
      <c r="E142" s="7">
        <v>3607.9</v>
      </c>
      <c r="F142" s="4">
        <v>0.94</v>
      </c>
      <c r="G142" s="9">
        <v>-432.94800000000038</v>
      </c>
      <c r="H142" s="4" t="s">
        <v>552</v>
      </c>
      <c r="I142" s="4" t="s">
        <v>22</v>
      </c>
      <c r="J142" s="8">
        <v>-171.58</v>
      </c>
    </row>
    <row r="143" spans="1:10" x14ac:dyDescent="0.3">
      <c r="A143" s="4">
        <v>1146</v>
      </c>
      <c r="B143" s="4" t="s">
        <v>197</v>
      </c>
      <c r="C143" s="4" t="s">
        <v>568</v>
      </c>
      <c r="D143" s="6">
        <v>2.5249999999999999</v>
      </c>
      <c r="E143" s="7">
        <v>2755.6936585365856</v>
      </c>
      <c r="F143" s="4">
        <v>1.0900000000000001</v>
      </c>
      <c r="G143" s="9">
        <v>-626.23138390243969</v>
      </c>
      <c r="H143" s="4" t="s">
        <v>45</v>
      </c>
      <c r="I143" s="4" t="s">
        <v>15</v>
      </c>
      <c r="J143" s="8">
        <v>-431.7</v>
      </c>
    </row>
    <row r="144" spans="1:10" x14ac:dyDescent="0.3">
      <c r="A144" s="4">
        <v>1147</v>
      </c>
      <c r="B144" s="4" t="s">
        <v>198</v>
      </c>
      <c r="C144" s="4" t="s">
        <v>571</v>
      </c>
      <c r="D144" s="6">
        <v>2.0217391304347827</v>
      </c>
      <c r="E144" s="7">
        <v>2875.46</v>
      </c>
      <c r="F144" s="4">
        <v>0</v>
      </c>
      <c r="G144" s="9">
        <v>5813.43</v>
      </c>
      <c r="H144" s="4" t="s">
        <v>14</v>
      </c>
      <c r="I144" s="4" t="s">
        <v>22</v>
      </c>
      <c r="J144" s="8">
        <v>-794.99</v>
      </c>
    </row>
    <row r="145" spans="1:10" x14ac:dyDescent="0.3">
      <c r="A145" s="4">
        <v>1148</v>
      </c>
      <c r="B145" s="4" t="s">
        <v>199</v>
      </c>
      <c r="C145" s="4" t="s">
        <v>568</v>
      </c>
      <c r="D145" s="6">
        <v>2.5249999999999999</v>
      </c>
      <c r="E145" s="7">
        <v>2471.48</v>
      </c>
      <c r="F145" s="4">
        <v>1.1100000000000001</v>
      </c>
      <c r="G145" s="9">
        <v>-686.45357000000058</v>
      </c>
      <c r="H145" s="4" t="s">
        <v>21</v>
      </c>
      <c r="I145" s="4" t="s">
        <v>15</v>
      </c>
      <c r="J145" s="8">
        <v>2247.9</v>
      </c>
    </row>
    <row r="146" spans="1:10" x14ac:dyDescent="0.3">
      <c r="A146" s="4">
        <v>1149</v>
      </c>
      <c r="B146" s="4" t="s">
        <v>200</v>
      </c>
      <c r="C146" s="4" t="s">
        <v>584</v>
      </c>
      <c r="D146" s="6">
        <v>2</v>
      </c>
      <c r="E146" s="7">
        <v>2878.0747619047615</v>
      </c>
      <c r="F146" s="4">
        <v>0</v>
      </c>
      <c r="G146" s="9">
        <v>5756.1495238095231</v>
      </c>
      <c r="H146" s="4" t="s">
        <v>552</v>
      </c>
      <c r="I146" s="4" t="s">
        <v>22</v>
      </c>
      <c r="J146" s="8">
        <v>562.69000000000005</v>
      </c>
    </row>
    <row r="147" spans="1:10" x14ac:dyDescent="0.3">
      <c r="A147" s="4">
        <v>1150</v>
      </c>
      <c r="B147" s="4" t="s">
        <v>201</v>
      </c>
      <c r="C147" s="4" t="s">
        <v>572</v>
      </c>
      <c r="D147" s="6">
        <v>2.5249999999999999</v>
      </c>
      <c r="E147" s="7">
        <v>1554.9</v>
      </c>
      <c r="F147" s="4">
        <v>0</v>
      </c>
      <c r="G147" s="9">
        <v>3926.1224999999999</v>
      </c>
      <c r="H147" s="4" t="s">
        <v>17</v>
      </c>
      <c r="I147" s="4" t="s">
        <v>15</v>
      </c>
      <c r="J147" s="8">
        <v>457.65</v>
      </c>
    </row>
    <row r="148" spans="1:10" x14ac:dyDescent="0.3">
      <c r="A148" s="4">
        <v>1151</v>
      </c>
      <c r="B148" s="4" t="s">
        <v>202</v>
      </c>
      <c r="C148" s="4" t="s">
        <v>574</v>
      </c>
      <c r="D148" s="6">
        <v>4</v>
      </c>
      <c r="E148" s="7">
        <v>2266.44</v>
      </c>
      <c r="F148" s="4">
        <v>0.33</v>
      </c>
      <c r="G148" s="9">
        <v>6074.0591999999997</v>
      </c>
      <c r="H148" s="4" t="s">
        <v>45</v>
      </c>
      <c r="I148" s="4" t="s">
        <v>15</v>
      </c>
      <c r="J148" s="8">
        <v>-655.45</v>
      </c>
    </row>
    <row r="149" spans="1:10" x14ac:dyDescent="0.3">
      <c r="A149" s="4">
        <v>1152</v>
      </c>
      <c r="B149" s="4" t="s">
        <v>203</v>
      </c>
      <c r="C149" s="4" t="s">
        <v>578</v>
      </c>
      <c r="D149" s="6">
        <v>1</v>
      </c>
      <c r="E149" s="7">
        <v>2676.5783333333325</v>
      </c>
      <c r="F149" s="4">
        <v>1.26</v>
      </c>
      <c r="G149" s="9">
        <v>-695.9103666666665</v>
      </c>
      <c r="H149" s="4" t="s">
        <v>45</v>
      </c>
      <c r="I149" s="4" t="s">
        <v>15</v>
      </c>
      <c r="J149" s="8">
        <v>454.45</v>
      </c>
    </row>
    <row r="150" spans="1:10" x14ac:dyDescent="0.3">
      <c r="A150" s="4">
        <v>1153</v>
      </c>
      <c r="B150" s="4" t="s">
        <v>204</v>
      </c>
      <c r="C150" s="4" t="s">
        <v>568</v>
      </c>
      <c r="D150" s="6">
        <v>1</v>
      </c>
      <c r="E150" s="7">
        <v>478.59</v>
      </c>
      <c r="F150" s="4">
        <v>0</v>
      </c>
      <c r="G150" s="9">
        <v>478.59</v>
      </c>
      <c r="H150" s="4" t="s">
        <v>14</v>
      </c>
      <c r="I150" s="4" t="s">
        <v>22</v>
      </c>
      <c r="J150" s="8">
        <v>-681.2</v>
      </c>
    </row>
    <row r="151" spans="1:10" x14ac:dyDescent="0.3">
      <c r="A151" s="4">
        <v>1154</v>
      </c>
      <c r="B151" s="4" t="s">
        <v>205</v>
      </c>
      <c r="C151" s="4" t="s">
        <v>586</v>
      </c>
      <c r="D151" s="6">
        <v>2.5249999999999999</v>
      </c>
      <c r="E151" s="7">
        <v>2755.6936585365856</v>
      </c>
      <c r="F151" s="4">
        <v>0</v>
      </c>
      <c r="G151" s="9">
        <v>6958.1264878048787</v>
      </c>
      <c r="H151" s="4" t="s">
        <v>39</v>
      </c>
      <c r="I151" s="4" t="s">
        <v>15</v>
      </c>
      <c r="J151" s="8">
        <v>52.85</v>
      </c>
    </row>
    <row r="152" spans="1:10" x14ac:dyDescent="0.3">
      <c r="A152" s="4">
        <v>1155</v>
      </c>
      <c r="B152" s="4" t="s">
        <v>206</v>
      </c>
      <c r="C152" s="4" t="s">
        <v>578</v>
      </c>
      <c r="D152" s="6">
        <v>1.5517241379310345</v>
      </c>
      <c r="E152" s="7">
        <v>2676.5783333333325</v>
      </c>
      <c r="F152" s="4">
        <v>0.64</v>
      </c>
      <c r="G152" s="9">
        <v>1495.1920344827581</v>
      </c>
      <c r="H152" s="4" t="s">
        <v>21</v>
      </c>
      <c r="I152" s="4" t="s">
        <v>15</v>
      </c>
      <c r="J152" s="8">
        <v>2493.12</v>
      </c>
    </row>
    <row r="153" spans="1:10" x14ac:dyDescent="0.3">
      <c r="A153" s="4">
        <v>1156</v>
      </c>
      <c r="B153" s="4" t="s">
        <v>207</v>
      </c>
      <c r="C153" s="4" t="s">
        <v>577</v>
      </c>
      <c r="D153" s="6">
        <v>3</v>
      </c>
      <c r="E153" s="7">
        <v>2878.0747619047615</v>
      </c>
      <c r="F153" s="4">
        <v>0.93</v>
      </c>
      <c r="G153" s="9">
        <v>604.39569999999947</v>
      </c>
      <c r="H153" s="4" t="s">
        <v>14</v>
      </c>
      <c r="I153" s="4" t="s">
        <v>15</v>
      </c>
      <c r="J153" s="8">
        <v>1699.17</v>
      </c>
    </row>
    <row r="154" spans="1:10" x14ac:dyDescent="0.3">
      <c r="A154" s="4">
        <v>1157</v>
      </c>
      <c r="B154" s="4" t="s">
        <v>208</v>
      </c>
      <c r="C154" s="4" t="s">
        <v>585</v>
      </c>
      <c r="D154" s="6">
        <v>6</v>
      </c>
      <c r="E154" s="7">
        <v>645.03</v>
      </c>
      <c r="F154" s="4">
        <v>0</v>
      </c>
      <c r="G154" s="9">
        <v>3870.18</v>
      </c>
      <c r="H154" s="4" t="s">
        <v>17</v>
      </c>
      <c r="I154" s="4" t="s">
        <v>15</v>
      </c>
      <c r="J154" s="8">
        <v>2724.92</v>
      </c>
    </row>
    <row r="155" spans="1:10" x14ac:dyDescent="0.3">
      <c r="A155" s="4">
        <v>1158</v>
      </c>
      <c r="B155" s="4" t="s">
        <v>209</v>
      </c>
      <c r="C155" s="4" t="s">
        <v>577</v>
      </c>
      <c r="D155" s="6">
        <v>2.0217391304347827</v>
      </c>
      <c r="E155" s="7">
        <v>4516.08</v>
      </c>
      <c r="F155" s="4">
        <v>0</v>
      </c>
      <c r="G155" s="9">
        <v>9130.3356521739133</v>
      </c>
      <c r="H155" s="4" t="s">
        <v>14</v>
      </c>
      <c r="I155" s="4" t="s">
        <v>22</v>
      </c>
      <c r="J155" s="8">
        <v>2164.9499999999998</v>
      </c>
    </row>
    <row r="156" spans="1:10" x14ac:dyDescent="0.3">
      <c r="A156" s="4">
        <v>1159</v>
      </c>
      <c r="B156" s="4" t="s">
        <v>210</v>
      </c>
      <c r="C156" s="4" t="s">
        <v>575</v>
      </c>
      <c r="D156" s="6">
        <v>1.5517241379310345</v>
      </c>
      <c r="E156" s="7">
        <v>3335.18</v>
      </c>
      <c r="F156" s="4">
        <v>0.09</v>
      </c>
      <c r="G156" s="9">
        <v>4709.5041724137936</v>
      </c>
      <c r="H156" s="4" t="s">
        <v>17</v>
      </c>
      <c r="I156" s="4" t="s">
        <v>15</v>
      </c>
      <c r="J156" s="8">
        <v>235.11</v>
      </c>
    </row>
    <row r="157" spans="1:10" x14ac:dyDescent="0.3">
      <c r="A157" s="4">
        <v>1160</v>
      </c>
      <c r="B157" s="4" t="s">
        <v>211</v>
      </c>
      <c r="C157" s="4" t="s">
        <v>571</v>
      </c>
      <c r="D157" s="6">
        <v>0</v>
      </c>
      <c r="E157" s="7">
        <v>2878.0747619047615</v>
      </c>
      <c r="F157" s="4">
        <v>0.77</v>
      </c>
      <c r="G157" s="9">
        <v>0</v>
      </c>
      <c r="H157" s="4" t="s">
        <v>552</v>
      </c>
      <c r="I157" s="4" t="s">
        <v>15</v>
      </c>
      <c r="J157" s="8">
        <v>-711.19</v>
      </c>
    </row>
    <row r="158" spans="1:10" x14ac:dyDescent="0.3">
      <c r="A158" s="4">
        <v>1161</v>
      </c>
      <c r="B158" s="4" t="s">
        <v>212</v>
      </c>
      <c r="C158" s="4" t="s">
        <v>579</v>
      </c>
      <c r="D158" s="6">
        <v>1.5813953488372092</v>
      </c>
      <c r="E158" s="7">
        <v>1801.91</v>
      </c>
      <c r="F158" s="4">
        <v>0</v>
      </c>
      <c r="G158" s="9">
        <v>2849.5320930232556</v>
      </c>
      <c r="H158" s="4" t="s">
        <v>21</v>
      </c>
      <c r="I158" s="4" t="s">
        <v>15</v>
      </c>
      <c r="J158" s="8">
        <v>502.86</v>
      </c>
    </row>
    <row r="159" spans="1:10" x14ac:dyDescent="0.3">
      <c r="A159" s="4">
        <v>1162</v>
      </c>
      <c r="B159" s="4" t="s">
        <v>213</v>
      </c>
      <c r="C159" s="4" t="s">
        <v>582</v>
      </c>
      <c r="D159" s="6">
        <v>4</v>
      </c>
      <c r="E159" s="7">
        <v>2676.5783333333325</v>
      </c>
      <c r="F159" s="4">
        <v>0.14000000000000001</v>
      </c>
      <c r="G159" s="9">
        <v>9207.4294666666628</v>
      </c>
      <c r="H159" s="4" t="s">
        <v>21</v>
      </c>
      <c r="I159" s="4" t="s">
        <v>15</v>
      </c>
      <c r="J159" s="8">
        <v>2566.0500000000002</v>
      </c>
    </row>
    <row r="160" spans="1:10" x14ac:dyDescent="0.3">
      <c r="A160" s="4">
        <v>1163</v>
      </c>
      <c r="B160" s="4" t="s">
        <v>214</v>
      </c>
      <c r="C160" s="4" t="s">
        <v>572</v>
      </c>
      <c r="D160" s="6">
        <v>2.5249999999999999</v>
      </c>
      <c r="E160" s="7">
        <v>1033.58</v>
      </c>
      <c r="F160" s="4">
        <v>0.68</v>
      </c>
      <c r="G160" s="9">
        <v>835.13263999999981</v>
      </c>
      <c r="H160" s="4" t="s">
        <v>39</v>
      </c>
      <c r="I160" s="4" t="s">
        <v>15</v>
      </c>
      <c r="J160" s="8">
        <v>-441.46</v>
      </c>
    </row>
    <row r="161" spans="1:10" x14ac:dyDescent="0.3">
      <c r="A161" s="4">
        <v>1164</v>
      </c>
      <c r="B161" s="4" t="s">
        <v>215</v>
      </c>
      <c r="C161" s="4" t="s">
        <v>572</v>
      </c>
      <c r="D161" s="6">
        <v>5</v>
      </c>
      <c r="E161" s="7">
        <v>2755.6936585365856</v>
      </c>
      <c r="F161" s="4">
        <v>0</v>
      </c>
      <c r="G161" s="9">
        <v>13778.468292682928</v>
      </c>
      <c r="H161" s="4" t="s">
        <v>552</v>
      </c>
      <c r="I161" s="4" t="s">
        <v>22</v>
      </c>
      <c r="J161" s="8">
        <v>598.79</v>
      </c>
    </row>
    <row r="162" spans="1:10" x14ac:dyDescent="0.3">
      <c r="A162" s="4">
        <v>1165</v>
      </c>
      <c r="B162" s="4" t="s">
        <v>216</v>
      </c>
      <c r="C162" s="4" t="s">
        <v>579</v>
      </c>
      <c r="D162" s="6">
        <v>2</v>
      </c>
      <c r="E162" s="7">
        <v>2715.2732432432431</v>
      </c>
      <c r="F162" s="4">
        <v>0.08</v>
      </c>
      <c r="G162" s="9">
        <v>4996.1027675675678</v>
      </c>
      <c r="H162" s="4" t="s">
        <v>39</v>
      </c>
      <c r="I162" s="4" t="s">
        <v>22</v>
      </c>
      <c r="J162" s="8">
        <v>-102.32</v>
      </c>
    </row>
    <row r="163" spans="1:10" x14ac:dyDescent="0.3">
      <c r="A163" s="4">
        <v>1166</v>
      </c>
      <c r="B163" s="4" t="s">
        <v>217</v>
      </c>
      <c r="C163" s="4" t="s">
        <v>580</v>
      </c>
      <c r="D163" s="6">
        <v>1.675</v>
      </c>
      <c r="E163" s="7">
        <v>2952.3559374999995</v>
      </c>
      <c r="F163" s="4">
        <v>0.91</v>
      </c>
      <c r="G163" s="9">
        <v>445.06765757812479</v>
      </c>
      <c r="H163" s="4" t="s">
        <v>17</v>
      </c>
      <c r="I163" s="4" t="s">
        <v>15</v>
      </c>
      <c r="J163" s="8">
        <v>285.44</v>
      </c>
    </row>
    <row r="164" spans="1:10" x14ac:dyDescent="0.3">
      <c r="A164" s="4">
        <v>1167</v>
      </c>
      <c r="B164" s="4" t="s">
        <v>218</v>
      </c>
      <c r="C164" s="4" t="s">
        <v>573</v>
      </c>
      <c r="D164" s="6">
        <v>0</v>
      </c>
      <c r="E164" s="7">
        <v>4595.8999999999996</v>
      </c>
      <c r="F164" s="4">
        <v>0.09</v>
      </c>
      <c r="G164" s="9">
        <v>0</v>
      </c>
      <c r="H164" s="4" t="s">
        <v>39</v>
      </c>
      <c r="I164" s="4" t="s">
        <v>15</v>
      </c>
      <c r="J164" s="8">
        <v>-653.79999999999995</v>
      </c>
    </row>
    <row r="165" spans="1:10" x14ac:dyDescent="0.3">
      <c r="A165" s="4">
        <v>1168</v>
      </c>
      <c r="B165" s="4" t="s">
        <v>219</v>
      </c>
      <c r="C165" s="4" t="s">
        <v>572</v>
      </c>
      <c r="D165" s="6">
        <v>0</v>
      </c>
      <c r="E165" s="7">
        <v>3655.71</v>
      </c>
      <c r="F165" s="4">
        <v>0.48</v>
      </c>
      <c r="G165" s="9">
        <v>0</v>
      </c>
      <c r="H165" s="4" t="s">
        <v>552</v>
      </c>
      <c r="I165" s="4" t="s">
        <v>15</v>
      </c>
      <c r="J165" s="8">
        <v>2024.15</v>
      </c>
    </row>
    <row r="166" spans="1:10" x14ac:dyDescent="0.3">
      <c r="A166" s="4">
        <v>1169</v>
      </c>
      <c r="B166" s="4" t="s">
        <v>220</v>
      </c>
      <c r="C166" s="4" t="s">
        <v>579</v>
      </c>
      <c r="D166" s="6">
        <v>-1</v>
      </c>
      <c r="E166" s="7">
        <v>2948.26</v>
      </c>
      <c r="F166" s="4">
        <v>0.9</v>
      </c>
      <c r="G166" s="9">
        <v>-294.82599999999996</v>
      </c>
      <c r="H166" s="4" t="s">
        <v>45</v>
      </c>
      <c r="I166" s="4" t="s">
        <v>15</v>
      </c>
      <c r="J166" s="8">
        <v>1285.1500000000001</v>
      </c>
    </row>
    <row r="167" spans="1:10" x14ac:dyDescent="0.3">
      <c r="A167" s="4">
        <v>1170</v>
      </c>
      <c r="B167" s="4" t="s">
        <v>221</v>
      </c>
      <c r="C167" s="4" t="s">
        <v>574</v>
      </c>
      <c r="D167" s="6">
        <v>0</v>
      </c>
      <c r="E167" s="7">
        <v>2592.8782222222212</v>
      </c>
      <c r="F167" s="4">
        <v>0.76</v>
      </c>
      <c r="G167" s="9">
        <v>0</v>
      </c>
      <c r="H167" s="4" t="s">
        <v>14</v>
      </c>
      <c r="I167" s="4" t="s">
        <v>15</v>
      </c>
      <c r="J167" s="8">
        <v>-528.70000000000005</v>
      </c>
    </row>
    <row r="168" spans="1:10" x14ac:dyDescent="0.3">
      <c r="A168" s="4">
        <v>1171</v>
      </c>
      <c r="B168" s="4" t="s">
        <v>222</v>
      </c>
      <c r="C168" s="4" t="s">
        <v>574</v>
      </c>
      <c r="D168" s="6">
        <v>1</v>
      </c>
      <c r="E168" s="7">
        <v>2592.8782222222212</v>
      </c>
      <c r="F168" s="4">
        <v>0</v>
      </c>
      <c r="G168" s="9">
        <v>2592.8782222222212</v>
      </c>
      <c r="H168" s="4" t="s">
        <v>45</v>
      </c>
      <c r="I168" s="4" t="s">
        <v>22</v>
      </c>
      <c r="J168" s="8">
        <v>2475.83</v>
      </c>
    </row>
    <row r="169" spans="1:10" x14ac:dyDescent="0.3">
      <c r="A169" s="4">
        <v>1172</v>
      </c>
      <c r="B169" s="4" t="s">
        <v>223</v>
      </c>
      <c r="C169" s="4" t="s">
        <v>566</v>
      </c>
      <c r="D169" s="6">
        <v>-2</v>
      </c>
      <c r="E169" s="7">
        <v>2719.32</v>
      </c>
      <c r="F169" s="4">
        <v>0</v>
      </c>
      <c r="G169" s="9">
        <v>-5438.64</v>
      </c>
      <c r="H169" s="4" t="s">
        <v>552</v>
      </c>
      <c r="I169" s="4" t="s">
        <v>15</v>
      </c>
      <c r="J169" s="8">
        <v>655.1</v>
      </c>
    </row>
    <row r="170" spans="1:10" x14ac:dyDescent="0.3">
      <c r="A170" s="4">
        <v>1173</v>
      </c>
      <c r="B170" s="4" t="s">
        <v>224</v>
      </c>
      <c r="C170" s="4" t="s">
        <v>570</v>
      </c>
      <c r="D170" s="6">
        <v>2</v>
      </c>
      <c r="E170" s="7">
        <v>4063.39</v>
      </c>
      <c r="F170" s="4">
        <v>0</v>
      </c>
      <c r="G170" s="9">
        <v>8126.78</v>
      </c>
      <c r="H170" s="4" t="s">
        <v>39</v>
      </c>
      <c r="I170" s="4" t="s">
        <v>15</v>
      </c>
      <c r="J170" s="8">
        <v>2034.39</v>
      </c>
    </row>
    <row r="171" spans="1:10" x14ac:dyDescent="0.3">
      <c r="A171" s="4">
        <v>1174</v>
      </c>
      <c r="B171" s="4" t="s">
        <v>225</v>
      </c>
      <c r="C171" s="4" t="s">
        <v>587</v>
      </c>
      <c r="D171" s="6">
        <v>6</v>
      </c>
      <c r="E171" s="7">
        <v>4984.6499999999996</v>
      </c>
      <c r="F171" s="4">
        <v>0.42</v>
      </c>
      <c r="G171" s="9">
        <v>17346.582000000002</v>
      </c>
      <c r="H171" s="4" t="s">
        <v>39</v>
      </c>
      <c r="I171" s="4" t="s">
        <v>15</v>
      </c>
      <c r="J171" s="8">
        <v>2931.32</v>
      </c>
    </row>
    <row r="172" spans="1:10" x14ac:dyDescent="0.3">
      <c r="A172" s="4">
        <v>1175</v>
      </c>
      <c r="B172" s="4" t="s">
        <v>226</v>
      </c>
      <c r="C172" s="4" t="s">
        <v>571</v>
      </c>
      <c r="D172" s="6">
        <v>3</v>
      </c>
      <c r="E172" s="7">
        <v>2878.0747619047615</v>
      </c>
      <c r="F172" s="4">
        <v>0</v>
      </c>
      <c r="G172" s="9">
        <v>8634.2242857142846</v>
      </c>
      <c r="H172" s="4" t="s">
        <v>17</v>
      </c>
      <c r="I172" s="4" t="s">
        <v>15</v>
      </c>
      <c r="J172" s="8">
        <v>728.61</v>
      </c>
    </row>
    <row r="173" spans="1:10" x14ac:dyDescent="0.3">
      <c r="A173" s="4">
        <v>1176</v>
      </c>
      <c r="B173" s="4" t="s">
        <v>227</v>
      </c>
      <c r="C173" s="4" t="s">
        <v>570</v>
      </c>
      <c r="D173" s="6">
        <v>6</v>
      </c>
      <c r="E173" s="7">
        <v>2592.8782222222212</v>
      </c>
      <c r="F173" s="4">
        <v>0.87</v>
      </c>
      <c r="G173" s="9">
        <v>2022.4450133333326</v>
      </c>
      <c r="H173" s="4" t="s">
        <v>21</v>
      </c>
      <c r="I173" s="4" t="s">
        <v>22</v>
      </c>
      <c r="J173" s="8">
        <v>-879.15</v>
      </c>
    </row>
    <row r="174" spans="1:10" x14ac:dyDescent="0.3">
      <c r="A174" s="4">
        <v>1177</v>
      </c>
      <c r="B174" s="4" t="s">
        <v>228</v>
      </c>
      <c r="C174" s="4" t="s">
        <v>574</v>
      </c>
      <c r="D174" s="6">
        <v>2</v>
      </c>
      <c r="E174" s="7">
        <v>2426.13</v>
      </c>
      <c r="F174" s="4">
        <v>0</v>
      </c>
      <c r="G174" s="9">
        <v>4852.26</v>
      </c>
      <c r="H174" s="4" t="s">
        <v>17</v>
      </c>
      <c r="I174" s="4" t="s">
        <v>15</v>
      </c>
      <c r="J174" s="8">
        <v>353.91</v>
      </c>
    </row>
    <row r="175" spans="1:10" x14ac:dyDescent="0.3">
      <c r="A175" s="4">
        <v>1178</v>
      </c>
      <c r="B175" s="4" t="s">
        <v>229</v>
      </c>
      <c r="C175" s="4" t="s">
        <v>569</v>
      </c>
      <c r="D175" s="6">
        <v>4</v>
      </c>
      <c r="E175" s="7">
        <v>1204.5899999999999</v>
      </c>
      <c r="F175" s="4">
        <v>0</v>
      </c>
      <c r="G175" s="9">
        <v>4818.3599999999997</v>
      </c>
      <c r="H175" s="4" t="s">
        <v>552</v>
      </c>
      <c r="I175" s="4" t="s">
        <v>15</v>
      </c>
      <c r="J175" s="8">
        <v>2161.64</v>
      </c>
    </row>
    <row r="176" spans="1:10" x14ac:dyDescent="0.3">
      <c r="A176" s="4">
        <v>1179</v>
      </c>
      <c r="B176" s="4" t="s">
        <v>230</v>
      </c>
      <c r="C176" s="4" t="s">
        <v>580</v>
      </c>
      <c r="D176" s="6">
        <v>0</v>
      </c>
      <c r="E176" s="7">
        <v>2952.3559374999995</v>
      </c>
      <c r="F176" s="4">
        <v>0</v>
      </c>
      <c r="G176" s="9">
        <v>0</v>
      </c>
      <c r="H176" s="4" t="s">
        <v>21</v>
      </c>
      <c r="I176" s="4" t="s">
        <v>15</v>
      </c>
      <c r="J176" s="8">
        <v>510.53</v>
      </c>
    </row>
    <row r="177" spans="1:10" x14ac:dyDescent="0.3">
      <c r="A177" s="4">
        <v>1180</v>
      </c>
      <c r="B177" s="4" t="s">
        <v>231</v>
      </c>
      <c r="C177" s="4" t="s">
        <v>584</v>
      </c>
      <c r="D177" s="6">
        <v>6</v>
      </c>
      <c r="E177" s="7">
        <v>2495.96</v>
      </c>
      <c r="F177" s="4">
        <v>0</v>
      </c>
      <c r="G177" s="9">
        <v>14975.76</v>
      </c>
      <c r="H177" s="4" t="s">
        <v>552</v>
      </c>
      <c r="I177" s="4" t="s">
        <v>15</v>
      </c>
      <c r="J177" s="8">
        <v>835.4</v>
      </c>
    </row>
    <row r="178" spans="1:10" x14ac:dyDescent="0.3">
      <c r="A178" s="4">
        <v>1181</v>
      </c>
      <c r="B178" s="4" t="s">
        <v>232</v>
      </c>
      <c r="C178" s="4" t="s">
        <v>580</v>
      </c>
      <c r="D178" s="6">
        <v>1.675</v>
      </c>
      <c r="E178" s="7">
        <v>2952.3559374999995</v>
      </c>
      <c r="F178" s="4">
        <v>0</v>
      </c>
      <c r="G178" s="9">
        <v>4945.1961953124992</v>
      </c>
      <c r="H178" s="4" t="s">
        <v>21</v>
      </c>
      <c r="I178" s="4" t="s">
        <v>22</v>
      </c>
      <c r="J178" s="8">
        <v>2564.06</v>
      </c>
    </row>
    <row r="179" spans="1:10" x14ac:dyDescent="0.3">
      <c r="A179" s="4">
        <v>1182</v>
      </c>
      <c r="B179" s="4" t="s">
        <v>233</v>
      </c>
      <c r="C179" s="4" t="s">
        <v>565</v>
      </c>
      <c r="D179" s="6">
        <v>-1</v>
      </c>
      <c r="E179" s="7">
        <v>2592.8782222222212</v>
      </c>
      <c r="F179" s="4">
        <v>0</v>
      </c>
      <c r="G179" s="9">
        <v>-2592.8782222222212</v>
      </c>
      <c r="H179" s="4" t="s">
        <v>45</v>
      </c>
      <c r="I179" s="4" t="s">
        <v>15</v>
      </c>
      <c r="J179" s="8">
        <v>-747.25</v>
      </c>
    </row>
    <row r="180" spans="1:10" x14ac:dyDescent="0.3">
      <c r="A180" s="4">
        <v>1183</v>
      </c>
      <c r="B180" s="4" t="s">
        <v>234</v>
      </c>
      <c r="C180" s="4" t="s">
        <v>586</v>
      </c>
      <c r="D180" s="6">
        <v>6</v>
      </c>
      <c r="E180" s="7">
        <v>2372.3000000000002</v>
      </c>
      <c r="F180" s="4">
        <v>0</v>
      </c>
      <c r="G180" s="9">
        <v>14233.800000000001</v>
      </c>
      <c r="H180" s="4" t="s">
        <v>14</v>
      </c>
      <c r="I180" s="4" t="s">
        <v>15</v>
      </c>
      <c r="J180" s="8">
        <v>1888.87</v>
      </c>
    </row>
    <row r="181" spans="1:10" x14ac:dyDescent="0.3">
      <c r="A181" s="4">
        <v>1184</v>
      </c>
      <c r="B181" s="4" t="s">
        <v>235</v>
      </c>
      <c r="C181" s="4" t="s">
        <v>585</v>
      </c>
      <c r="D181" s="6">
        <v>0</v>
      </c>
      <c r="E181" s="7">
        <v>2697.1</v>
      </c>
      <c r="F181" s="4">
        <v>0</v>
      </c>
      <c r="G181" s="9">
        <v>0</v>
      </c>
      <c r="H181" s="4" t="s">
        <v>14</v>
      </c>
      <c r="I181" s="4" t="s">
        <v>22</v>
      </c>
      <c r="J181" s="8">
        <v>1518.99</v>
      </c>
    </row>
    <row r="182" spans="1:10" x14ac:dyDescent="0.3">
      <c r="A182" s="4">
        <v>1185</v>
      </c>
      <c r="B182" s="4" t="s">
        <v>236</v>
      </c>
      <c r="C182" s="4" t="s">
        <v>568</v>
      </c>
      <c r="D182" s="6">
        <v>2.5249999999999999</v>
      </c>
      <c r="E182" s="7">
        <v>2755.6936585365856</v>
      </c>
      <c r="F182" s="4">
        <v>0</v>
      </c>
      <c r="G182" s="9">
        <v>6958.1264878048787</v>
      </c>
      <c r="H182" s="4" t="s">
        <v>14</v>
      </c>
      <c r="I182" s="4" t="s">
        <v>15</v>
      </c>
      <c r="J182" s="8">
        <v>-445.19</v>
      </c>
    </row>
    <row r="183" spans="1:10" x14ac:dyDescent="0.3">
      <c r="A183" s="4">
        <v>1186</v>
      </c>
      <c r="B183" s="4" t="s">
        <v>237</v>
      </c>
      <c r="C183" s="4" t="s">
        <v>570</v>
      </c>
      <c r="D183" s="6">
        <v>6</v>
      </c>
      <c r="E183" s="7">
        <v>2592.8782222222212</v>
      </c>
      <c r="F183" s="4">
        <v>0.71</v>
      </c>
      <c r="G183" s="9">
        <v>4511.6081066666648</v>
      </c>
      <c r="H183" s="4" t="s">
        <v>39</v>
      </c>
      <c r="I183" s="4" t="s">
        <v>22</v>
      </c>
      <c r="J183" s="8">
        <v>-40.479999999999997</v>
      </c>
    </row>
    <row r="184" spans="1:10" x14ac:dyDescent="0.3">
      <c r="A184" s="4">
        <v>1187</v>
      </c>
      <c r="B184" s="4" t="s">
        <v>238</v>
      </c>
      <c r="C184" s="4" t="s">
        <v>568</v>
      </c>
      <c r="D184" s="6">
        <v>3</v>
      </c>
      <c r="E184" s="7">
        <v>3810.89</v>
      </c>
      <c r="F184" s="4">
        <v>0</v>
      </c>
      <c r="G184" s="9">
        <v>11432.67</v>
      </c>
      <c r="H184" s="4" t="s">
        <v>21</v>
      </c>
      <c r="I184" s="4" t="s">
        <v>15</v>
      </c>
      <c r="J184" s="8">
        <v>1153.72</v>
      </c>
    </row>
    <row r="185" spans="1:10" x14ac:dyDescent="0.3">
      <c r="A185" s="4">
        <v>1188</v>
      </c>
      <c r="B185" s="4" t="s">
        <v>239</v>
      </c>
      <c r="C185" s="4" t="s">
        <v>568</v>
      </c>
      <c r="D185" s="6">
        <v>6</v>
      </c>
      <c r="E185" s="7">
        <v>4910.28</v>
      </c>
      <c r="F185" s="4">
        <v>0.12</v>
      </c>
      <c r="G185" s="9">
        <v>25926.278399999999</v>
      </c>
      <c r="H185" s="4" t="s">
        <v>39</v>
      </c>
      <c r="I185" s="4" t="s">
        <v>15</v>
      </c>
      <c r="J185" s="8">
        <v>2089.25</v>
      </c>
    </row>
    <row r="186" spans="1:10" x14ac:dyDescent="0.3">
      <c r="A186" s="4">
        <v>1189</v>
      </c>
      <c r="B186" s="4" t="s">
        <v>240</v>
      </c>
      <c r="C186" s="4" t="s">
        <v>573</v>
      </c>
      <c r="D186" s="6">
        <v>1.5813953488372092</v>
      </c>
      <c r="E186" s="7">
        <v>4808.1000000000004</v>
      </c>
      <c r="F186" s="4">
        <v>0</v>
      </c>
      <c r="G186" s="9">
        <v>7603.5069767441864</v>
      </c>
      <c r="H186" s="4" t="s">
        <v>17</v>
      </c>
      <c r="I186" s="4" t="s">
        <v>15</v>
      </c>
      <c r="J186" s="8">
        <v>392.87</v>
      </c>
    </row>
    <row r="187" spans="1:10" x14ac:dyDescent="0.3">
      <c r="A187" s="4">
        <v>1190</v>
      </c>
      <c r="B187" s="4" t="s">
        <v>241</v>
      </c>
      <c r="C187" s="4" t="s">
        <v>566</v>
      </c>
      <c r="D187" s="6">
        <v>1.675</v>
      </c>
      <c r="E187" s="7">
        <v>2952.3559374999995</v>
      </c>
      <c r="F187" s="4">
        <v>0.63</v>
      </c>
      <c r="G187" s="9">
        <v>1829.7225922656246</v>
      </c>
      <c r="H187" s="4" t="s">
        <v>45</v>
      </c>
      <c r="I187" s="4" t="s">
        <v>22</v>
      </c>
      <c r="J187" s="8">
        <v>75.040000000000006</v>
      </c>
    </row>
    <row r="188" spans="1:10" x14ac:dyDescent="0.3">
      <c r="A188" s="4">
        <v>1191</v>
      </c>
      <c r="B188" s="4" t="s">
        <v>242</v>
      </c>
      <c r="C188" s="4" t="s">
        <v>568</v>
      </c>
      <c r="D188" s="6">
        <v>2.5249999999999999</v>
      </c>
      <c r="E188" s="7">
        <v>2469.87</v>
      </c>
      <c r="F188" s="4">
        <v>0.56000000000000005</v>
      </c>
      <c r="G188" s="9">
        <v>2744.0255699999993</v>
      </c>
      <c r="H188" s="4" t="s">
        <v>21</v>
      </c>
      <c r="I188" s="4" t="s">
        <v>15</v>
      </c>
      <c r="J188" s="8">
        <v>2860.2</v>
      </c>
    </row>
    <row r="189" spans="1:10" x14ac:dyDescent="0.3">
      <c r="A189" s="4">
        <v>1193</v>
      </c>
      <c r="B189" s="4" t="s">
        <v>244</v>
      </c>
      <c r="C189" s="4" t="s">
        <v>571</v>
      </c>
      <c r="D189" s="6">
        <v>2.0217391304347827</v>
      </c>
      <c r="E189" s="7">
        <v>3031.06</v>
      </c>
      <c r="F189" s="4">
        <v>0</v>
      </c>
      <c r="G189" s="9">
        <v>6128.0126086956525</v>
      </c>
      <c r="H189" s="4" t="s">
        <v>45</v>
      </c>
      <c r="I189" s="4" t="s">
        <v>22</v>
      </c>
      <c r="J189" s="8">
        <v>-682.74</v>
      </c>
    </row>
    <row r="190" spans="1:10" x14ac:dyDescent="0.3">
      <c r="A190" s="4">
        <v>1195</v>
      </c>
      <c r="B190" s="4" t="s">
        <v>246</v>
      </c>
      <c r="C190" s="4" t="s">
        <v>577</v>
      </c>
      <c r="D190" s="6">
        <v>2.0217391304347827</v>
      </c>
      <c r="E190" s="7">
        <v>2878.0747619047615</v>
      </c>
      <c r="F190" s="4">
        <v>1.2</v>
      </c>
      <c r="G190" s="9">
        <v>-1163.7432732919251</v>
      </c>
      <c r="H190" s="4" t="s">
        <v>21</v>
      </c>
      <c r="I190" s="4" t="s">
        <v>15</v>
      </c>
      <c r="J190" s="8">
        <v>1059.17</v>
      </c>
    </row>
    <row r="191" spans="1:10" x14ac:dyDescent="0.3">
      <c r="A191" s="4">
        <v>1196</v>
      </c>
      <c r="B191" s="4" t="s">
        <v>247</v>
      </c>
      <c r="C191" s="4" t="s">
        <v>565</v>
      </c>
      <c r="D191" s="6">
        <v>2</v>
      </c>
      <c r="E191" s="7">
        <v>3959.06</v>
      </c>
      <c r="F191" s="4">
        <v>0.37</v>
      </c>
      <c r="G191" s="9">
        <v>4988.4156000000003</v>
      </c>
      <c r="H191" s="4" t="s">
        <v>552</v>
      </c>
      <c r="I191" s="4" t="s">
        <v>22</v>
      </c>
      <c r="J191" s="8">
        <v>1539.5</v>
      </c>
    </row>
    <row r="192" spans="1:10" x14ac:dyDescent="0.3">
      <c r="A192" s="4">
        <v>1197</v>
      </c>
      <c r="B192" s="4" t="s">
        <v>248</v>
      </c>
      <c r="C192" s="4" t="s">
        <v>583</v>
      </c>
      <c r="D192" s="6">
        <v>1</v>
      </c>
      <c r="E192" s="7">
        <v>2952.3559374999995</v>
      </c>
      <c r="F192" s="4">
        <v>0</v>
      </c>
      <c r="G192" s="9">
        <v>2952.3559374999995</v>
      </c>
      <c r="H192" s="4" t="s">
        <v>552</v>
      </c>
      <c r="I192" s="4" t="s">
        <v>22</v>
      </c>
      <c r="J192" s="8">
        <v>650.97</v>
      </c>
    </row>
    <row r="193" spans="1:10" x14ac:dyDescent="0.3">
      <c r="A193" s="4">
        <v>1198</v>
      </c>
      <c r="B193" s="4" t="s">
        <v>249</v>
      </c>
      <c r="C193" s="4" t="s">
        <v>572</v>
      </c>
      <c r="D193" s="6">
        <v>3</v>
      </c>
      <c r="E193" s="7">
        <v>3594.97</v>
      </c>
      <c r="F193" s="4">
        <v>0</v>
      </c>
      <c r="G193" s="9">
        <v>10784.91</v>
      </c>
      <c r="H193" s="4" t="s">
        <v>14</v>
      </c>
      <c r="I193" s="4" t="s">
        <v>15</v>
      </c>
      <c r="J193" s="8">
        <v>2422.27</v>
      </c>
    </row>
    <row r="194" spans="1:10" x14ac:dyDescent="0.3">
      <c r="A194" s="4">
        <v>1199</v>
      </c>
      <c r="B194" s="4" t="s">
        <v>250</v>
      </c>
      <c r="C194" s="4" t="s">
        <v>582</v>
      </c>
      <c r="D194" s="6">
        <v>1.5517241379310345</v>
      </c>
      <c r="E194" s="7">
        <v>2317.1</v>
      </c>
      <c r="F194" s="4">
        <v>0</v>
      </c>
      <c r="G194" s="9">
        <v>3595.5</v>
      </c>
      <c r="H194" s="4" t="s">
        <v>39</v>
      </c>
      <c r="I194" s="4" t="s">
        <v>15</v>
      </c>
      <c r="J194" s="8">
        <v>2637.77</v>
      </c>
    </row>
    <row r="195" spans="1:10" x14ac:dyDescent="0.3">
      <c r="A195" s="4">
        <v>1200</v>
      </c>
      <c r="B195" s="4" t="s">
        <v>251</v>
      </c>
      <c r="C195" s="4" t="s">
        <v>575</v>
      </c>
      <c r="D195" s="6">
        <v>4</v>
      </c>
      <c r="E195" s="7">
        <v>2676.5783333333325</v>
      </c>
      <c r="F195" s="4">
        <v>0</v>
      </c>
      <c r="G195" s="9">
        <v>10706.31333333333</v>
      </c>
      <c r="H195" s="4" t="s">
        <v>552</v>
      </c>
      <c r="I195" s="4" t="s">
        <v>15</v>
      </c>
      <c r="J195" s="8">
        <v>2782.21</v>
      </c>
    </row>
    <row r="196" spans="1:10" x14ac:dyDescent="0.3">
      <c r="A196" s="4">
        <v>1201</v>
      </c>
      <c r="B196" s="4" t="s">
        <v>252</v>
      </c>
      <c r="C196" s="4" t="s">
        <v>580</v>
      </c>
      <c r="D196" s="6">
        <v>2</v>
      </c>
      <c r="E196" s="7">
        <v>3507.85</v>
      </c>
      <c r="F196" s="4">
        <v>0</v>
      </c>
      <c r="G196" s="9">
        <v>7015.7</v>
      </c>
      <c r="H196" s="4" t="s">
        <v>45</v>
      </c>
      <c r="I196" s="4" t="s">
        <v>22</v>
      </c>
      <c r="J196" s="8">
        <v>1023.04</v>
      </c>
    </row>
    <row r="197" spans="1:10" x14ac:dyDescent="0.3">
      <c r="A197" s="4">
        <v>1202</v>
      </c>
      <c r="B197" s="4" t="s">
        <v>253</v>
      </c>
      <c r="C197" s="4" t="s">
        <v>572</v>
      </c>
      <c r="D197" s="6">
        <v>2.5249999999999999</v>
      </c>
      <c r="E197" s="7">
        <v>2755.6936585365856</v>
      </c>
      <c r="F197" s="4">
        <v>0</v>
      </c>
      <c r="G197" s="9">
        <v>6958.1264878048787</v>
      </c>
      <c r="H197" s="4" t="s">
        <v>39</v>
      </c>
      <c r="I197" s="4" t="s">
        <v>15</v>
      </c>
      <c r="J197" s="8">
        <v>-207.53</v>
      </c>
    </row>
    <row r="198" spans="1:10" x14ac:dyDescent="0.3">
      <c r="A198" s="4">
        <v>1203</v>
      </c>
      <c r="B198" s="4" t="s">
        <v>254</v>
      </c>
      <c r="C198" s="4" t="s">
        <v>569</v>
      </c>
      <c r="D198" s="6">
        <v>5</v>
      </c>
      <c r="E198" s="7">
        <v>2715.2732432432431</v>
      </c>
      <c r="F198" s="4">
        <v>0</v>
      </c>
      <c r="G198" s="9">
        <v>13576.366216216215</v>
      </c>
      <c r="H198" s="4" t="s">
        <v>552</v>
      </c>
      <c r="I198" s="4" t="s">
        <v>15</v>
      </c>
      <c r="J198" s="8">
        <v>657.59</v>
      </c>
    </row>
    <row r="199" spans="1:10" x14ac:dyDescent="0.3">
      <c r="A199" s="4">
        <v>1204</v>
      </c>
      <c r="B199" s="4" t="s">
        <v>255</v>
      </c>
      <c r="C199" s="4" t="s">
        <v>578</v>
      </c>
      <c r="D199" s="6">
        <v>1.5517241379310345</v>
      </c>
      <c r="E199" s="7">
        <v>4213.3999999999996</v>
      </c>
      <c r="F199" s="4">
        <v>0</v>
      </c>
      <c r="G199" s="9">
        <v>6538.0344827586205</v>
      </c>
      <c r="H199" s="4" t="s">
        <v>45</v>
      </c>
      <c r="I199" s="4" t="s">
        <v>22</v>
      </c>
      <c r="J199" s="8">
        <v>1867.53</v>
      </c>
    </row>
    <row r="200" spans="1:10" x14ac:dyDescent="0.3">
      <c r="A200" s="4">
        <v>1205</v>
      </c>
      <c r="B200" s="4" t="s">
        <v>256</v>
      </c>
      <c r="C200" s="4" t="s">
        <v>565</v>
      </c>
      <c r="D200" s="6">
        <v>2</v>
      </c>
      <c r="E200" s="7">
        <v>696.49</v>
      </c>
      <c r="F200" s="4">
        <v>0</v>
      </c>
      <c r="G200" s="9">
        <v>1392.98</v>
      </c>
      <c r="H200" s="4" t="s">
        <v>14</v>
      </c>
      <c r="I200" s="4" t="s">
        <v>15</v>
      </c>
      <c r="J200" s="8">
        <v>-24.51</v>
      </c>
    </row>
    <row r="201" spans="1:10" x14ac:dyDescent="0.3">
      <c r="A201" s="4">
        <v>1206</v>
      </c>
      <c r="B201" s="4" t="s">
        <v>257</v>
      </c>
      <c r="C201" s="4" t="s">
        <v>579</v>
      </c>
      <c r="D201" s="6">
        <v>0</v>
      </c>
      <c r="E201" s="7">
        <v>2715.2732432432431</v>
      </c>
      <c r="F201" s="4">
        <v>0</v>
      </c>
      <c r="G201" s="9">
        <v>0</v>
      </c>
      <c r="H201" s="4" t="s">
        <v>552</v>
      </c>
      <c r="I201" s="4" t="s">
        <v>15</v>
      </c>
      <c r="J201" s="8">
        <v>2472.2399999999998</v>
      </c>
    </row>
    <row r="202" spans="1:10" x14ac:dyDescent="0.3">
      <c r="A202" s="4">
        <v>1207</v>
      </c>
      <c r="B202" s="4" t="s">
        <v>258</v>
      </c>
      <c r="C202" s="4" t="s">
        <v>574</v>
      </c>
      <c r="D202" s="6">
        <v>2</v>
      </c>
      <c r="E202" s="7">
        <v>563.14</v>
      </c>
      <c r="F202" s="4">
        <v>0.33</v>
      </c>
      <c r="G202" s="9">
        <v>754.60759999999993</v>
      </c>
      <c r="H202" s="4" t="s">
        <v>17</v>
      </c>
      <c r="I202" s="4" t="s">
        <v>22</v>
      </c>
      <c r="J202" s="8">
        <v>945.7</v>
      </c>
    </row>
    <row r="203" spans="1:10" x14ac:dyDescent="0.3">
      <c r="A203" s="4">
        <v>1208</v>
      </c>
      <c r="B203" s="4" t="s">
        <v>259</v>
      </c>
      <c r="C203" s="4" t="s">
        <v>583</v>
      </c>
      <c r="D203" s="6">
        <v>1</v>
      </c>
      <c r="E203" s="7">
        <v>2952.3559374999995</v>
      </c>
      <c r="F203" s="4">
        <v>0</v>
      </c>
      <c r="G203" s="9">
        <v>2952.3559374999995</v>
      </c>
      <c r="H203" s="4" t="s">
        <v>21</v>
      </c>
      <c r="I203" s="4" t="s">
        <v>15</v>
      </c>
      <c r="J203" s="8">
        <v>648.73</v>
      </c>
    </row>
    <row r="204" spans="1:10" x14ac:dyDescent="0.3">
      <c r="A204" s="4">
        <v>1209</v>
      </c>
      <c r="B204" s="4" t="s">
        <v>260</v>
      </c>
      <c r="C204" s="4" t="s">
        <v>586</v>
      </c>
      <c r="D204" s="6">
        <v>2.5249999999999999</v>
      </c>
      <c r="E204" s="7">
        <v>4029.87</v>
      </c>
      <c r="F204" s="4">
        <v>0</v>
      </c>
      <c r="G204" s="9">
        <v>10175.42175</v>
      </c>
      <c r="H204" s="4" t="s">
        <v>17</v>
      </c>
      <c r="I204" s="4" t="s">
        <v>15</v>
      </c>
      <c r="J204" s="8">
        <v>1447.79</v>
      </c>
    </row>
    <row r="205" spans="1:10" x14ac:dyDescent="0.3">
      <c r="A205" s="4">
        <v>1210</v>
      </c>
      <c r="B205" s="4" t="s">
        <v>261</v>
      </c>
      <c r="C205" s="4" t="s">
        <v>586</v>
      </c>
      <c r="D205" s="6">
        <v>4</v>
      </c>
      <c r="E205" s="7">
        <v>2755.6936585365856</v>
      </c>
      <c r="F205" s="4">
        <v>1.1599999999999999</v>
      </c>
      <c r="G205" s="9">
        <v>-1763.643941463414</v>
      </c>
      <c r="H205" s="4" t="s">
        <v>14</v>
      </c>
      <c r="I205" s="4" t="s">
        <v>15</v>
      </c>
      <c r="J205" s="8">
        <v>2179.54</v>
      </c>
    </row>
    <row r="206" spans="1:10" x14ac:dyDescent="0.3">
      <c r="A206" s="4">
        <v>1211</v>
      </c>
      <c r="B206" s="4" t="s">
        <v>262</v>
      </c>
      <c r="C206" s="4" t="s">
        <v>585</v>
      </c>
      <c r="D206" s="6">
        <v>2</v>
      </c>
      <c r="E206" s="7">
        <v>1560.37</v>
      </c>
      <c r="F206" s="4">
        <v>0</v>
      </c>
      <c r="G206" s="9">
        <v>3120.74</v>
      </c>
      <c r="H206" s="4" t="s">
        <v>17</v>
      </c>
      <c r="I206" s="4" t="s">
        <v>15</v>
      </c>
      <c r="J206" s="8">
        <v>2783.91</v>
      </c>
    </row>
    <row r="207" spans="1:10" x14ac:dyDescent="0.3">
      <c r="A207" s="4">
        <v>1212</v>
      </c>
      <c r="B207" s="4" t="s">
        <v>263</v>
      </c>
      <c r="C207" s="4" t="s">
        <v>578</v>
      </c>
      <c r="D207" s="6">
        <v>-1</v>
      </c>
      <c r="E207" s="7">
        <v>4098.12</v>
      </c>
      <c r="F207" s="4">
        <v>0</v>
      </c>
      <c r="G207" s="9">
        <v>-4098.12</v>
      </c>
      <c r="H207" s="4" t="s">
        <v>552</v>
      </c>
      <c r="I207" s="4" t="s">
        <v>15</v>
      </c>
      <c r="J207" s="8">
        <v>-656.35</v>
      </c>
    </row>
    <row r="208" spans="1:10" x14ac:dyDescent="0.3">
      <c r="A208" s="4">
        <v>1213</v>
      </c>
      <c r="B208" s="4" t="s">
        <v>264</v>
      </c>
      <c r="C208" s="4" t="s">
        <v>579</v>
      </c>
      <c r="D208" s="6">
        <v>1.5813953488372092</v>
      </c>
      <c r="E208" s="7">
        <v>2715.2732432432431</v>
      </c>
      <c r="F208" s="4">
        <v>0</v>
      </c>
      <c r="G208" s="9">
        <v>4293.9204776869892</v>
      </c>
      <c r="H208" s="4" t="s">
        <v>17</v>
      </c>
      <c r="I208" s="4" t="s">
        <v>15</v>
      </c>
      <c r="J208" s="8">
        <v>1093.98</v>
      </c>
    </row>
    <row r="209" spans="1:10" x14ac:dyDescent="0.3">
      <c r="A209" s="4">
        <v>1214</v>
      </c>
      <c r="B209" s="4" t="s">
        <v>265</v>
      </c>
      <c r="C209" s="4" t="s">
        <v>587</v>
      </c>
      <c r="D209" s="6">
        <v>4</v>
      </c>
      <c r="E209" s="7">
        <v>1273.5999999999999</v>
      </c>
      <c r="F209" s="4">
        <v>0</v>
      </c>
      <c r="G209" s="9">
        <v>5094.3999999999996</v>
      </c>
      <c r="H209" s="4" t="s">
        <v>552</v>
      </c>
      <c r="I209" s="4" t="s">
        <v>15</v>
      </c>
      <c r="J209" s="8">
        <v>1851.89</v>
      </c>
    </row>
    <row r="210" spans="1:10" x14ac:dyDescent="0.3">
      <c r="A210" s="4">
        <v>1215</v>
      </c>
      <c r="B210" s="4" t="s">
        <v>266</v>
      </c>
      <c r="C210" s="4" t="s">
        <v>579</v>
      </c>
      <c r="D210" s="6">
        <v>6</v>
      </c>
      <c r="E210" s="7">
        <v>3802.27</v>
      </c>
      <c r="F210" s="4">
        <v>0</v>
      </c>
      <c r="G210" s="9">
        <v>22813.62</v>
      </c>
      <c r="H210" s="4" t="s">
        <v>17</v>
      </c>
      <c r="I210" s="4" t="s">
        <v>15</v>
      </c>
      <c r="J210" s="8">
        <v>-266.99</v>
      </c>
    </row>
    <row r="211" spans="1:10" x14ac:dyDescent="0.3">
      <c r="A211" s="4">
        <v>1216</v>
      </c>
      <c r="B211" s="4" t="s">
        <v>267</v>
      </c>
      <c r="C211" s="4" t="s">
        <v>579</v>
      </c>
      <c r="D211" s="6">
        <v>6</v>
      </c>
      <c r="E211" s="7">
        <v>2715.2732432432431</v>
      </c>
      <c r="F211" s="4">
        <v>1.17</v>
      </c>
      <c r="G211" s="9">
        <v>-2769.5787081081066</v>
      </c>
      <c r="H211" s="4" t="s">
        <v>14</v>
      </c>
      <c r="I211" s="4" t="s">
        <v>22</v>
      </c>
      <c r="J211" s="8">
        <v>2986.8</v>
      </c>
    </row>
    <row r="212" spans="1:10" x14ac:dyDescent="0.3">
      <c r="A212" s="4">
        <v>1217</v>
      </c>
      <c r="B212" s="4" t="s">
        <v>268</v>
      </c>
      <c r="C212" s="4" t="s">
        <v>583</v>
      </c>
      <c r="D212" s="6">
        <v>3</v>
      </c>
      <c r="E212" s="7">
        <v>2850.38</v>
      </c>
      <c r="F212" s="4">
        <v>0</v>
      </c>
      <c r="G212" s="9">
        <v>8551.14</v>
      </c>
      <c r="H212" s="4" t="s">
        <v>14</v>
      </c>
      <c r="I212" s="4" t="s">
        <v>15</v>
      </c>
      <c r="J212" s="8">
        <v>17.309999999999999</v>
      </c>
    </row>
    <row r="213" spans="1:10" x14ac:dyDescent="0.3">
      <c r="A213" s="4">
        <v>1218</v>
      </c>
      <c r="B213" s="4" t="s">
        <v>269</v>
      </c>
      <c r="C213" s="4" t="s">
        <v>577</v>
      </c>
      <c r="D213" s="6">
        <v>3</v>
      </c>
      <c r="E213" s="7">
        <v>1544.45</v>
      </c>
      <c r="F213" s="4">
        <v>0.33</v>
      </c>
      <c r="G213" s="9">
        <v>3104.3444999999997</v>
      </c>
      <c r="H213" s="4" t="s">
        <v>552</v>
      </c>
      <c r="I213" s="4" t="s">
        <v>22</v>
      </c>
      <c r="J213" s="8">
        <v>707.56</v>
      </c>
    </row>
    <row r="214" spans="1:10" x14ac:dyDescent="0.3">
      <c r="A214" s="4">
        <v>1219</v>
      </c>
      <c r="B214" s="4" t="s">
        <v>270</v>
      </c>
      <c r="C214" s="4" t="s">
        <v>574</v>
      </c>
      <c r="D214" s="6">
        <v>2</v>
      </c>
      <c r="E214" s="7">
        <v>2592.8782222222212</v>
      </c>
      <c r="F214" s="4">
        <v>0</v>
      </c>
      <c r="G214" s="9">
        <v>5185.7564444444424</v>
      </c>
      <c r="H214" s="4" t="s">
        <v>39</v>
      </c>
      <c r="I214" s="4" t="s">
        <v>15</v>
      </c>
      <c r="J214" s="8">
        <v>2206</v>
      </c>
    </row>
    <row r="215" spans="1:10" x14ac:dyDescent="0.3">
      <c r="A215" s="4">
        <v>1220</v>
      </c>
      <c r="B215" s="4" t="s">
        <v>271</v>
      </c>
      <c r="C215" s="4" t="s">
        <v>573</v>
      </c>
      <c r="D215" s="6">
        <v>1.5813953488372092</v>
      </c>
      <c r="E215" s="7">
        <v>2715.2732432432431</v>
      </c>
      <c r="F215" s="4">
        <v>0</v>
      </c>
      <c r="G215" s="9">
        <v>4293.9204776869892</v>
      </c>
      <c r="H215" s="4" t="s">
        <v>39</v>
      </c>
      <c r="I215" s="4" t="s">
        <v>15</v>
      </c>
      <c r="J215" s="8">
        <v>1598.22</v>
      </c>
    </row>
    <row r="216" spans="1:10" x14ac:dyDescent="0.3">
      <c r="A216" s="4">
        <v>1221</v>
      </c>
      <c r="B216" s="4" t="s">
        <v>272</v>
      </c>
      <c r="C216" s="4" t="s">
        <v>568</v>
      </c>
      <c r="D216" s="6">
        <v>3</v>
      </c>
      <c r="E216" s="7">
        <v>2755.6936585365856</v>
      </c>
      <c r="F216" s="4">
        <v>0</v>
      </c>
      <c r="G216" s="9">
        <v>8267.0809756097569</v>
      </c>
      <c r="H216" s="4" t="s">
        <v>21</v>
      </c>
      <c r="I216" s="4" t="s">
        <v>22</v>
      </c>
      <c r="J216" s="8">
        <v>898.67</v>
      </c>
    </row>
    <row r="217" spans="1:10" x14ac:dyDescent="0.3">
      <c r="A217" s="4">
        <v>1222</v>
      </c>
      <c r="B217" s="4" t="s">
        <v>273</v>
      </c>
      <c r="C217" s="4" t="s">
        <v>579</v>
      </c>
      <c r="D217" s="6">
        <v>1.5813953488372092</v>
      </c>
      <c r="E217" s="7">
        <v>683.85</v>
      </c>
      <c r="F217" s="4">
        <v>0</v>
      </c>
      <c r="G217" s="9">
        <v>1081.4372093023255</v>
      </c>
      <c r="H217" s="4" t="s">
        <v>45</v>
      </c>
      <c r="I217" s="4" t="s">
        <v>15</v>
      </c>
      <c r="J217" s="8">
        <v>1489.45</v>
      </c>
    </row>
    <row r="218" spans="1:10" x14ac:dyDescent="0.3">
      <c r="A218" s="4">
        <v>1223</v>
      </c>
      <c r="B218" s="4" t="s">
        <v>274</v>
      </c>
      <c r="C218" s="4" t="s">
        <v>569</v>
      </c>
      <c r="D218" s="6">
        <v>1.5813953488372092</v>
      </c>
      <c r="E218" s="7">
        <v>2715.2732432432431</v>
      </c>
      <c r="F218" s="4">
        <v>0</v>
      </c>
      <c r="G218" s="9">
        <v>4293.9204776869892</v>
      </c>
      <c r="H218" s="4" t="s">
        <v>552</v>
      </c>
      <c r="I218" s="4" t="s">
        <v>22</v>
      </c>
      <c r="J218" s="8">
        <v>-531.04999999999995</v>
      </c>
    </row>
    <row r="219" spans="1:10" x14ac:dyDescent="0.3">
      <c r="A219" s="4">
        <v>1224</v>
      </c>
      <c r="B219" s="4" t="s">
        <v>275</v>
      </c>
      <c r="C219" s="4" t="s">
        <v>577</v>
      </c>
      <c r="D219" s="6">
        <v>2.0217391304347827</v>
      </c>
      <c r="E219" s="7">
        <v>2878.0747619047615</v>
      </c>
      <c r="F219" s="4">
        <v>0</v>
      </c>
      <c r="G219" s="9">
        <v>5818.7163664596264</v>
      </c>
      <c r="H219" s="4" t="s">
        <v>17</v>
      </c>
      <c r="I219" s="4" t="s">
        <v>15</v>
      </c>
      <c r="J219" s="8">
        <v>2219.56</v>
      </c>
    </row>
    <row r="220" spans="1:10" x14ac:dyDescent="0.3">
      <c r="A220" s="4">
        <v>1225</v>
      </c>
      <c r="B220" s="4" t="s">
        <v>276</v>
      </c>
      <c r="C220" s="4" t="s">
        <v>567</v>
      </c>
      <c r="D220" s="6">
        <v>-1</v>
      </c>
      <c r="E220" s="7">
        <v>1406.32</v>
      </c>
      <c r="F220" s="4">
        <v>1.05</v>
      </c>
      <c r="G220" s="9">
        <v>70.316000000000059</v>
      </c>
      <c r="H220" s="4" t="s">
        <v>39</v>
      </c>
      <c r="I220" s="4" t="s">
        <v>15</v>
      </c>
      <c r="J220" s="8">
        <v>1937.71</v>
      </c>
    </row>
    <row r="221" spans="1:10" x14ac:dyDescent="0.3">
      <c r="A221" s="4">
        <v>1226</v>
      </c>
      <c r="B221" s="4" t="s">
        <v>277</v>
      </c>
      <c r="C221" s="4" t="s">
        <v>584</v>
      </c>
      <c r="D221" s="6">
        <v>1</v>
      </c>
      <c r="E221" s="7">
        <v>2878.0747619047615</v>
      </c>
      <c r="F221" s="4">
        <v>1.1499999999999999</v>
      </c>
      <c r="G221" s="9">
        <v>-431.71121428571399</v>
      </c>
      <c r="H221" s="4" t="s">
        <v>17</v>
      </c>
      <c r="I221" s="4" t="s">
        <v>22</v>
      </c>
      <c r="J221" s="8">
        <v>2806.56</v>
      </c>
    </row>
    <row r="222" spans="1:10" x14ac:dyDescent="0.3">
      <c r="A222" s="4">
        <v>1227</v>
      </c>
      <c r="B222" s="4" t="s">
        <v>278</v>
      </c>
      <c r="C222" s="4" t="s">
        <v>572</v>
      </c>
      <c r="D222" s="6">
        <v>2</v>
      </c>
      <c r="E222" s="7">
        <v>2755.6936585365856</v>
      </c>
      <c r="F222" s="4">
        <v>0.25</v>
      </c>
      <c r="G222" s="9">
        <v>4133.5404878048785</v>
      </c>
      <c r="H222" s="4" t="s">
        <v>552</v>
      </c>
      <c r="I222" s="4" t="s">
        <v>15</v>
      </c>
      <c r="J222" s="8">
        <v>2096.6799999999998</v>
      </c>
    </row>
    <row r="223" spans="1:10" x14ac:dyDescent="0.3">
      <c r="A223" s="4">
        <v>1229</v>
      </c>
      <c r="B223" s="4" t="s">
        <v>280</v>
      </c>
      <c r="C223" s="4" t="s">
        <v>584</v>
      </c>
      <c r="D223" s="6">
        <v>2.0217391304347827</v>
      </c>
      <c r="E223" s="7">
        <v>2878.0747619047615</v>
      </c>
      <c r="F223" s="4">
        <v>0</v>
      </c>
      <c r="G223" s="9">
        <v>5818.7163664596264</v>
      </c>
      <c r="H223" s="4" t="s">
        <v>14</v>
      </c>
      <c r="I223" s="4" t="s">
        <v>15</v>
      </c>
      <c r="J223" s="8">
        <v>925.22</v>
      </c>
    </row>
    <row r="224" spans="1:10" x14ac:dyDescent="0.3">
      <c r="A224" s="4">
        <v>1230</v>
      </c>
      <c r="B224" s="4" t="s">
        <v>281</v>
      </c>
      <c r="C224" s="4" t="s">
        <v>586</v>
      </c>
      <c r="D224" s="6">
        <v>3</v>
      </c>
      <c r="E224" s="7">
        <v>2755.6936585365856</v>
      </c>
      <c r="F224" s="4">
        <v>1.2</v>
      </c>
      <c r="G224" s="9">
        <v>-1653.416195121951</v>
      </c>
      <c r="H224" s="4" t="s">
        <v>552</v>
      </c>
      <c r="I224" s="4" t="s">
        <v>15</v>
      </c>
      <c r="J224" s="8">
        <v>2725.11</v>
      </c>
    </row>
    <row r="225" spans="1:10" x14ac:dyDescent="0.3">
      <c r="A225" s="4">
        <v>1231</v>
      </c>
      <c r="B225" s="4" t="s">
        <v>282</v>
      </c>
      <c r="C225" s="4" t="s">
        <v>578</v>
      </c>
      <c r="D225" s="6">
        <v>1</v>
      </c>
      <c r="E225" s="7">
        <v>1744.73</v>
      </c>
      <c r="F225" s="4">
        <v>0</v>
      </c>
      <c r="G225" s="9">
        <v>1744.73</v>
      </c>
      <c r="H225" s="4" t="s">
        <v>45</v>
      </c>
      <c r="I225" s="4" t="s">
        <v>22</v>
      </c>
      <c r="J225" s="8">
        <v>1393.69</v>
      </c>
    </row>
    <row r="226" spans="1:10" x14ac:dyDescent="0.3">
      <c r="A226" s="4">
        <v>1232</v>
      </c>
      <c r="B226" s="4" t="s">
        <v>283</v>
      </c>
      <c r="C226" s="4" t="s">
        <v>575</v>
      </c>
      <c r="D226" s="6">
        <v>2</v>
      </c>
      <c r="E226" s="7">
        <v>2526.77</v>
      </c>
      <c r="F226" s="4">
        <v>0</v>
      </c>
      <c r="G226" s="9">
        <v>5053.54</v>
      </c>
      <c r="H226" s="4" t="s">
        <v>21</v>
      </c>
      <c r="I226" s="4" t="s">
        <v>15</v>
      </c>
      <c r="J226" s="8">
        <v>1494.67</v>
      </c>
    </row>
    <row r="227" spans="1:10" x14ac:dyDescent="0.3">
      <c r="A227" s="4">
        <v>1233</v>
      </c>
      <c r="B227" s="4" t="s">
        <v>284</v>
      </c>
      <c r="C227" s="4" t="s">
        <v>566</v>
      </c>
      <c r="D227" s="6">
        <v>-1</v>
      </c>
      <c r="E227" s="7">
        <v>2952.3559374999995</v>
      </c>
      <c r="F227" s="4">
        <v>7.0000000000000007E-2</v>
      </c>
      <c r="G227" s="9">
        <v>-2745.6910218749995</v>
      </c>
      <c r="H227" s="4" t="s">
        <v>39</v>
      </c>
      <c r="I227" s="4" t="s">
        <v>15</v>
      </c>
      <c r="J227" s="8">
        <v>2237.2399999999998</v>
      </c>
    </row>
    <row r="228" spans="1:10" x14ac:dyDescent="0.3">
      <c r="A228" s="4">
        <v>1234</v>
      </c>
      <c r="B228" s="4" t="s">
        <v>285</v>
      </c>
      <c r="C228" s="4" t="s">
        <v>574</v>
      </c>
      <c r="D228" s="6">
        <v>2</v>
      </c>
      <c r="E228" s="7">
        <v>1069.8800000000001</v>
      </c>
      <c r="F228" s="4">
        <v>0.05</v>
      </c>
      <c r="G228" s="9">
        <v>2032.7720000000002</v>
      </c>
      <c r="H228" s="4" t="s">
        <v>45</v>
      </c>
      <c r="I228" s="4" t="s">
        <v>22</v>
      </c>
      <c r="J228" s="8">
        <v>110.58</v>
      </c>
    </row>
    <row r="229" spans="1:10" x14ac:dyDescent="0.3">
      <c r="A229" s="4">
        <v>1235</v>
      </c>
      <c r="B229" s="4" t="s">
        <v>286</v>
      </c>
      <c r="C229" s="4" t="s">
        <v>580</v>
      </c>
      <c r="D229" s="6">
        <v>1.675</v>
      </c>
      <c r="E229" s="7">
        <v>2952.3559374999995</v>
      </c>
      <c r="F229" s="4">
        <v>0</v>
      </c>
      <c r="G229" s="9">
        <v>4945.1961953124992</v>
      </c>
      <c r="H229" s="4" t="s">
        <v>552</v>
      </c>
      <c r="I229" s="4" t="s">
        <v>22</v>
      </c>
      <c r="J229" s="8">
        <v>-403.94</v>
      </c>
    </row>
    <row r="230" spans="1:10" x14ac:dyDescent="0.3">
      <c r="A230" s="4">
        <v>1237</v>
      </c>
      <c r="B230" s="4" t="s">
        <v>288</v>
      </c>
      <c r="C230" s="4" t="s">
        <v>579</v>
      </c>
      <c r="D230" s="6">
        <v>1.5813953488372092</v>
      </c>
      <c r="E230" s="7">
        <v>2715.2732432432431</v>
      </c>
      <c r="F230" s="4">
        <v>0.28999999999999998</v>
      </c>
      <c r="G230" s="9">
        <v>3048.683539157762</v>
      </c>
      <c r="H230" s="4" t="s">
        <v>45</v>
      </c>
      <c r="I230" s="4" t="s">
        <v>15</v>
      </c>
      <c r="J230" s="8">
        <v>-465.98</v>
      </c>
    </row>
    <row r="231" spans="1:10" x14ac:dyDescent="0.3">
      <c r="A231" s="4">
        <v>1238</v>
      </c>
      <c r="B231" s="4" t="s">
        <v>289</v>
      </c>
      <c r="C231" s="4" t="s">
        <v>578</v>
      </c>
      <c r="D231" s="6">
        <v>1.5517241379310345</v>
      </c>
      <c r="E231" s="7">
        <v>2676.5783333333325</v>
      </c>
      <c r="F231" s="4">
        <v>0</v>
      </c>
      <c r="G231" s="9">
        <v>4153.3112068965502</v>
      </c>
      <c r="H231" s="4" t="s">
        <v>45</v>
      </c>
      <c r="I231" s="4" t="s">
        <v>15</v>
      </c>
      <c r="J231" s="8">
        <v>2742.61</v>
      </c>
    </row>
    <row r="232" spans="1:10" x14ac:dyDescent="0.3">
      <c r="A232" s="4">
        <v>1239</v>
      </c>
      <c r="B232" s="4" t="s">
        <v>290</v>
      </c>
      <c r="C232" s="4" t="s">
        <v>581</v>
      </c>
      <c r="D232" s="6">
        <v>4</v>
      </c>
      <c r="E232" s="7">
        <v>644.58000000000004</v>
      </c>
      <c r="F232" s="4">
        <v>0</v>
      </c>
      <c r="G232" s="9">
        <v>2578.3200000000002</v>
      </c>
      <c r="H232" s="4" t="s">
        <v>14</v>
      </c>
      <c r="I232" s="4" t="s">
        <v>22</v>
      </c>
      <c r="J232" s="8">
        <v>1097.8800000000001</v>
      </c>
    </row>
    <row r="233" spans="1:10" x14ac:dyDescent="0.3">
      <c r="A233" s="4">
        <v>1240</v>
      </c>
      <c r="B233" s="4" t="s">
        <v>291</v>
      </c>
      <c r="C233" s="4" t="s">
        <v>571</v>
      </c>
      <c r="D233" s="6">
        <v>2.0217391304347827</v>
      </c>
      <c r="E233" s="7">
        <v>4634.13</v>
      </c>
      <c r="F233" s="4">
        <v>0</v>
      </c>
      <c r="G233" s="9">
        <v>9369.001956521739</v>
      </c>
      <c r="H233" s="4" t="s">
        <v>39</v>
      </c>
      <c r="I233" s="4" t="s">
        <v>15</v>
      </c>
      <c r="J233" s="8">
        <v>2625.44</v>
      </c>
    </row>
    <row r="234" spans="1:10" x14ac:dyDescent="0.3">
      <c r="A234" s="4">
        <v>1241</v>
      </c>
      <c r="B234" s="4" t="s">
        <v>292</v>
      </c>
      <c r="C234" s="4" t="s">
        <v>565</v>
      </c>
      <c r="D234" s="6">
        <v>6</v>
      </c>
      <c r="E234" s="7">
        <v>3111.95</v>
      </c>
      <c r="F234" s="4">
        <v>0</v>
      </c>
      <c r="G234" s="9">
        <v>18671.699999999997</v>
      </c>
      <c r="H234" s="4" t="s">
        <v>39</v>
      </c>
      <c r="I234" s="4" t="s">
        <v>15</v>
      </c>
      <c r="J234" s="8">
        <v>2814.82</v>
      </c>
    </row>
    <row r="235" spans="1:10" x14ac:dyDescent="0.3">
      <c r="A235" s="4">
        <v>1242</v>
      </c>
      <c r="B235" s="4" t="s">
        <v>293</v>
      </c>
      <c r="C235" s="4" t="s">
        <v>585</v>
      </c>
      <c r="D235" s="6">
        <v>-1</v>
      </c>
      <c r="E235" s="7">
        <v>2592.8782222222212</v>
      </c>
      <c r="F235" s="4">
        <v>0</v>
      </c>
      <c r="G235" s="9">
        <v>-2592.8782222222212</v>
      </c>
      <c r="H235" s="4" t="s">
        <v>45</v>
      </c>
      <c r="I235" s="4" t="s">
        <v>22</v>
      </c>
      <c r="J235" s="8">
        <v>1576.74</v>
      </c>
    </row>
    <row r="236" spans="1:10" x14ac:dyDescent="0.3">
      <c r="A236" s="4">
        <v>1243</v>
      </c>
      <c r="B236" s="4" t="s">
        <v>294</v>
      </c>
      <c r="C236" s="4" t="s">
        <v>588</v>
      </c>
      <c r="D236" s="6">
        <v>3</v>
      </c>
      <c r="E236" s="7">
        <v>2755.6936585365856</v>
      </c>
      <c r="F236" s="4">
        <v>0.69</v>
      </c>
      <c r="G236" s="9">
        <v>2562.795102439025</v>
      </c>
      <c r="H236" s="4" t="s">
        <v>17</v>
      </c>
      <c r="I236" s="4" t="s">
        <v>15</v>
      </c>
      <c r="J236" s="8">
        <v>779.51</v>
      </c>
    </row>
    <row r="237" spans="1:10" x14ac:dyDescent="0.3">
      <c r="A237" s="4">
        <v>1244</v>
      </c>
      <c r="B237" s="4" t="s">
        <v>295</v>
      </c>
      <c r="C237" s="4" t="s">
        <v>576</v>
      </c>
      <c r="D237" s="6">
        <v>6</v>
      </c>
      <c r="E237" s="7">
        <v>2878.0747619047615</v>
      </c>
      <c r="F237" s="4">
        <v>0</v>
      </c>
      <c r="G237" s="9">
        <v>17268.448571428569</v>
      </c>
      <c r="H237" s="4" t="s">
        <v>17</v>
      </c>
      <c r="I237" s="4" t="s">
        <v>15</v>
      </c>
      <c r="J237" s="8">
        <v>2574.7600000000002</v>
      </c>
    </row>
    <row r="238" spans="1:10" x14ac:dyDescent="0.3">
      <c r="A238" s="4">
        <v>1245</v>
      </c>
      <c r="B238" s="4" t="s">
        <v>296</v>
      </c>
      <c r="C238" s="4" t="s">
        <v>579</v>
      </c>
      <c r="D238" s="6">
        <v>1.5813953488372092</v>
      </c>
      <c r="E238" s="7">
        <v>1822.9</v>
      </c>
      <c r="F238" s="4">
        <v>0</v>
      </c>
      <c r="G238" s="9">
        <v>2882.7255813953489</v>
      </c>
      <c r="H238" s="4" t="s">
        <v>14</v>
      </c>
      <c r="I238" s="4" t="s">
        <v>15</v>
      </c>
      <c r="J238" s="8">
        <v>1076.3399999999999</v>
      </c>
    </row>
    <row r="239" spans="1:10" x14ac:dyDescent="0.3">
      <c r="A239" s="4">
        <v>1246</v>
      </c>
      <c r="B239" s="4" t="s">
        <v>560</v>
      </c>
      <c r="C239" s="4" t="s">
        <v>576</v>
      </c>
      <c r="D239" s="6">
        <v>0</v>
      </c>
      <c r="E239" s="7">
        <v>2878.0747619047615</v>
      </c>
      <c r="F239" s="4">
        <v>0.03</v>
      </c>
      <c r="G239" s="9">
        <v>0</v>
      </c>
      <c r="H239" s="4" t="s">
        <v>552</v>
      </c>
      <c r="I239" s="4" t="s">
        <v>15</v>
      </c>
      <c r="J239" s="8">
        <v>733.8</v>
      </c>
    </row>
    <row r="240" spans="1:10" x14ac:dyDescent="0.3">
      <c r="A240" s="4">
        <v>1247</v>
      </c>
      <c r="B240" s="4" t="s">
        <v>298</v>
      </c>
      <c r="C240" s="4" t="s">
        <v>569</v>
      </c>
      <c r="D240" s="6">
        <v>-1</v>
      </c>
      <c r="E240" s="7">
        <v>2715.2732432432431</v>
      </c>
      <c r="F240" s="4">
        <v>0</v>
      </c>
      <c r="G240" s="9">
        <v>-2715.2732432432431</v>
      </c>
      <c r="H240" s="4" t="s">
        <v>552</v>
      </c>
      <c r="I240" s="4" t="s">
        <v>22</v>
      </c>
      <c r="J240" s="8">
        <v>1605.97</v>
      </c>
    </row>
    <row r="241" spans="1:10" x14ac:dyDescent="0.3">
      <c r="A241" s="4">
        <v>1248</v>
      </c>
      <c r="B241" s="4" t="s">
        <v>299</v>
      </c>
      <c r="C241" s="4" t="s">
        <v>586</v>
      </c>
      <c r="D241" s="6">
        <v>2.5249999999999999</v>
      </c>
      <c r="E241" s="7">
        <v>2755.6936585365856</v>
      </c>
      <c r="F241" s="4">
        <v>1.24</v>
      </c>
      <c r="G241" s="9">
        <v>-1669.9503570731708</v>
      </c>
      <c r="H241" s="4" t="s">
        <v>21</v>
      </c>
      <c r="I241" s="4" t="s">
        <v>22</v>
      </c>
      <c r="J241" s="8">
        <v>397.41</v>
      </c>
    </row>
    <row r="242" spans="1:10" x14ac:dyDescent="0.3">
      <c r="A242" s="4">
        <v>1249</v>
      </c>
      <c r="B242" s="4" t="s">
        <v>300</v>
      </c>
      <c r="C242" s="4" t="s">
        <v>588</v>
      </c>
      <c r="D242" s="6">
        <v>2.5249999999999999</v>
      </c>
      <c r="E242" s="7">
        <v>2755.6936585365856</v>
      </c>
      <c r="F242" s="4">
        <v>0.23</v>
      </c>
      <c r="G242" s="9">
        <v>5357.7573956097567</v>
      </c>
      <c r="H242" s="4" t="s">
        <v>45</v>
      </c>
      <c r="I242" s="4" t="s">
        <v>15</v>
      </c>
      <c r="J242" s="8">
        <v>809.89</v>
      </c>
    </row>
    <row r="243" spans="1:10" x14ac:dyDescent="0.3">
      <c r="A243" s="4">
        <v>1250</v>
      </c>
      <c r="B243" s="4" t="s">
        <v>301</v>
      </c>
      <c r="C243" s="4" t="s">
        <v>578</v>
      </c>
      <c r="D243" s="6">
        <v>1.5517241379310345</v>
      </c>
      <c r="E243" s="7">
        <v>2676.5783333333325</v>
      </c>
      <c r="F243" s="4">
        <v>0</v>
      </c>
      <c r="G243" s="9">
        <v>4153.3112068965502</v>
      </c>
      <c r="H243" s="4" t="s">
        <v>14</v>
      </c>
      <c r="I243" s="4" t="s">
        <v>22</v>
      </c>
      <c r="J243" s="8">
        <v>1653.07</v>
      </c>
    </row>
    <row r="244" spans="1:10" x14ac:dyDescent="0.3">
      <c r="A244" s="4">
        <v>1251</v>
      </c>
      <c r="B244" s="4" t="s">
        <v>302</v>
      </c>
      <c r="C244" s="4" t="s">
        <v>571</v>
      </c>
      <c r="D244" s="6">
        <v>2</v>
      </c>
      <c r="E244" s="7">
        <v>4841.3999999999996</v>
      </c>
      <c r="F244" s="4">
        <v>0.6</v>
      </c>
      <c r="G244" s="9">
        <v>3873.12</v>
      </c>
      <c r="H244" s="4" t="s">
        <v>45</v>
      </c>
      <c r="I244" s="4" t="s">
        <v>15</v>
      </c>
      <c r="J244" s="8">
        <v>578.37</v>
      </c>
    </row>
    <row r="245" spans="1:10" x14ac:dyDescent="0.3">
      <c r="A245" s="4">
        <v>1252</v>
      </c>
      <c r="B245" s="4" t="s">
        <v>303</v>
      </c>
      <c r="C245" s="4" t="s">
        <v>579</v>
      </c>
      <c r="D245" s="6">
        <v>6</v>
      </c>
      <c r="E245" s="7">
        <v>1638.51</v>
      </c>
      <c r="F245" s="4">
        <v>0.88</v>
      </c>
      <c r="G245" s="9">
        <v>1179.7271999999998</v>
      </c>
      <c r="H245" s="4" t="s">
        <v>21</v>
      </c>
      <c r="I245" s="4" t="s">
        <v>15</v>
      </c>
      <c r="J245" s="8">
        <v>1484.7</v>
      </c>
    </row>
    <row r="246" spans="1:10" x14ac:dyDescent="0.3">
      <c r="A246" s="4">
        <v>1253</v>
      </c>
      <c r="B246" s="4" t="s">
        <v>304</v>
      </c>
      <c r="C246" s="4" t="s">
        <v>577</v>
      </c>
      <c r="D246" s="6">
        <v>2.0217391304347827</v>
      </c>
      <c r="E246" s="7">
        <v>2878.0747619047615</v>
      </c>
      <c r="F246" s="4">
        <v>0</v>
      </c>
      <c r="G246" s="9">
        <v>5818.7163664596264</v>
      </c>
      <c r="H246" s="4" t="s">
        <v>39</v>
      </c>
      <c r="I246" s="4" t="s">
        <v>22</v>
      </c>
      <c r="J246" s="8">
        <v>2512.63</v>
      </c>
    </row>
    <row r="247" spans="1:10" x14ac:dyDescent="0.3">
      <c r="A247" s="4">
        <v>1254</v>
      </c>
      <c r="B247" s="4" t="s">
        <v>305</v>
      </c>
      <c r="C247" s="4" t="s">
        <v>578</v>
      </c>
      <c r="D247" s="6">
        <v>6</v>
      </c>
      <c r="E247" s="7">
        <v>2676.5783333333325</v>
      </c>
      <c r="F247" s="4">
        <v>0</v>
      </c>
      <c r="G247" s="9">
        <v>16059.469999999994</v>
      </c>
      <c r="H247" s="4" t="s">
        <v>21</v>
      </c>
      <c r="I247" s="4" t="s">
        <v>22</v>
      </c>
      <c r="J247" s="8">
        <v>2418.9899999999998</v>
      </c>
    </row>
    <row r="248" spans="1:10" x14ac:dyDescent="0.3">
      <c r="A248" s="4">
        <v>1255</v>
      </c>
      <c r="B248" s="4" t="s">
        <v>306</v>
      </c>
      <c r="C248" s="4" t="s">
        <v>579</v>
      </c>
      <c r="D248" s="6">
        <v>4</v>
      </c>
      <c r="E248" s="7">
        <v>1849.68</v>
      </c>
      <c r="F248" s="4">
        <v>0</v>
      </c>
      <c r="G248" s="9">
        <v>7398.72</v>
      </c>
      <c r="H248" s="4" t="s">
        <v>552</v>
      </c>
      <c r="I248" s="4" t="s">
        <v>15</v>
      </c>
      <c r="J248" s="8">
        <v>-706.09</v>
      </c>
    </row>
    <row r="249" spans="1:10" x14ac:dyDescent="0.3">
      <c r="A249" s="4">
        <v>1256</v>
      </c>
      <c r="B249" s="4" t="s">
        <v>307</v>
      </c>
      <c r="C249" s="4" t="s">
        <v>580</v>
      </c>
      <c r="D249" s="6">
        <v>1.675</v>
      </c>
      <c r="E249" s="7">
        <v>1801.38</v>
      </c>
      <c r="F249" s="4">
        <v>0</v>
      </c>
      <c r="G249" s="9">
        <v>3017.3115000000003</v>
      </c>
      <c r="H249" s="4" t="s">
        <v>39</v>
      </c>
      <c r="I249" s="4" t="s">
        <v>15</v>
      </c>
      <c r="J249" s="8">
        <v>2071.1</v>
      </c>
    </row>
    <row r="250" spans="1:10" x14ac:dyDescent="0.3">
      <c r="A250" s="4">
        <v>1257</v>
      </c>
      <c r="B250" s="4" t="s">
        <v>561</v>
      </c>
      <c r="C250" s="4" t="s">
        <v>574</v>
      </c>
      <c r="D250" s="6">
        <v>2</v>
      </c>
      <c r="E250" s="7">
        <v>1228.78</v>
      </c>
      <c r="F250" s="4">
        <v>0</v>
      </c>
      <c r="G250" s="9">
        <v>2457.56</v>
      </c>
      <c r="H250" s="4" t="s">
        <v>17</v>
      </c>
      <c r="I250" s="4" t="s">
        <v>15</v>
      </c>
      <c r="J250" s="8">
        <v>-83.19</v>
      </c>
    </row>
    <row r="251" spans="1:10" x14ac:dyDescent="0.3">
      <c r="A251" s="4">
        <v>1258</v>
      </c>
      <c r="B251" s="4" t="s">
        <v>309</v>
      </c>
      <c r="C251" s="4" t="s">
        <v>584</v>
      </c>
      <c r="D251" s="6">
        <v>-2</v>
      </c>
      <c r="E251" s="7">
        <v>4313.38</v>
      </c>
      <c r="F251" s="4">
        <v>0</v>
      </c>
      <c r="G251" s="9">
        <v>-8626.76</v>
      </c>
      <c r="H251" s="4" t="s">
        <v>14</v>
      </c>
      <c r="I251" s="4" t="s">
        <v>15</v>
      </c>
      <c r="J251" s="8">
        <v>2636.96</v>
      </c>
    </row>
    <row r="252" spans="1:10" x14ac:dyDescent="0.3">
      <c r="A252" s="4">
        <v>1259</v>
      </c>
      <c r="B252" s="4" t="s">
        <v>310</v>
      </c>
      <c r="C252" s="4" t="s">
        <v>582</v>
      </c>
      <c r="D252" s="6">
        <v>-2</v>
      </c>
      <c r="E252" s="7">
        <v>3396.92</v>
      </c>
      <c r="F252" s="4">
        <v>0</v>
      </c>
      <c r="G252" s="9">
        <v>-6793.84</v>
      </c>
      <c r="H252" s="4" t="s">
        <v>17</v>
      </c>
      <c r="I252" s="4" t="s">
        <v>15</v>
      </c>
      <c r="J252" s="8">
        <v>-830.5</v>
      </c>
    </row>
    <row r="253" spans="1:10" x14ac:dyDescent="0.3">
      <c r="A253" s="4">
        <v>1260</v>
      </c>
      <c r="B253" s="4" t="s">
        <v>311</v>
      </c>
      <c r="C253" s="4" t="s">
        <v>576</v>
      </c>
      <c r="D253" s="6">
        <v>2</v>
      </c>
      <c r="E253" s="7">
        <v>2878.0747619047615</v>
      </c>
      <c r="F253" s="4">
        <v>0</v>
      </c>
      <c r="G253" s="9">
        <v>5756.1495238095231</v>
      </c>
      <c r="H253" s="4" t="s">
        <v>14</v>
      </c>
      <c r="I253" s="4" t="s">
        <v>22</v>
      </c>
      <c r="J253" s="8">
        <v>-817.8</v>
      </c>
    </row>
    <row r="254" spans="1:10" x14ac:dyDescent="0.3">
      <c r="A254" s="4">
        <v>1262</v>
      </c>
      <c r="B254" s="4" t="s">
        <v>313</v>
      </c>
      <c r="C254" s="4" t="s">
        <v>586</v>
      </c>
      <c r="D254" s="6">
        <v>2</v>
      </c>
      <c r="E254" s="7">
        <v>2755.6936585365856</v>
      </c>
      <c r="F254" s="4">
        <v>0.52</v>
      </c>
      <c r="G254" s="9">
        <v>2645.4659121951222</v>
      </c>
      <c r="H254" s="4" t="s">
        <v>39</v>
      </c>
      <c r="I254" s="4" t="s">
        <v>22</v>
      </c>
      <c r="J254" s="8">
        <v>786.25</v>
      </c>
    </row>
    <row r="255" spans="1:10" x14ac:dyDescent="0.3">
      <c r="A255" s="4">
        <v>1263</v>
      </c>
      <c r="B255" s="4" t="s">
        <v>314</v>
      </c>
      <c r="C255" s="4" t="s">
        <v>578</v>
      </c>
      <c r="D255" s="6">
        <v>1.5517241379310345</v>
      </c>
      <c r="E255" s="7">
        <v>2542.7199999999998</v>
      </c>
      <c r="F255" s="4">
        <v>0</v>
      </c>
      <c r="G255" s="9">
        <v>3945.5999999999995</v>
      </c>
      <c r="H255" s="4" t="s">
        <v>14</v>
      </c>
      <c r="I255" s="4" t="s">
        <v>15</v>
      </c>
      <c r="J255" s="8">
        <v>-136.41</v>
      </c>
    </row>
    <row r="256" spans="1:10" x14ac:dyDescent="0.3">
      <c r="A256" s="4">
        <v>1264</v>
      </c>
      <c r="B256" s="4" t="s">
        <v>315</v>
      </c>
      <c r="C256" s="4" t="s">
        <v>581</v>
      </c>
      <c r="D256" s="6">
        <v>1.5813953488372092</v>
      </c>
      <c r="E256" s="7">
        <v>3382.08</v>
      </c>
      <c r="F256" s="4">
        <v>0</v>
      </c>
      <c r="G256" s="9">
        <v>5348.4055813953482</v>
      </c>
      <c r="H256" s="4" t="s">
        <v>14</v>
      </c>
      <c r="I256" s="4" t="s">
        <v>15</v>
      </c>
      <c r="J256" s="8">
        <v>1647.48</v>
      </c>
    </row>
    <row r="257" spans="1:10" x14ac:dyDescent="0.3">
      <c r="A257" s="4">
        <v>1265</v>
      </c>
      <c r="B257" s="4" t="s">
        <v>316</v>
      </c>
      <c r="C257" s="4" t="s">
        <v>581</v>
      </c>
      <c r="D257" s="6">
        <v>0</v>
      </c>
      <c r="E257" s="7">
        <v>721.41</v>
      </c>
      <c r="F257" s="4">
        <v>1.1599999999999999</v>
      </c>
      <c r="G257" s="9">
        <v>0</v>
      </c>
      <c r="H257" s="4" t="s">
        <v>552</v>
      </c>
      <c r="I257" s="4" t="s">
        <v>15</v>
      </c>
      <c r="J257" s="8">
        <v>1718.95</v>
      </c>
    </row>
    <row r="258" spans="1:10" x14ac:dyDescent="0.3">
      <c r="A258" s="4">
        <v>1266</v>
      </c>
      <c r="B258" s="4" t="s">
        <v>317</v>
      </c>
      <c r="C258" s="4" t="s">
        <v>578</v>
      </c>
      <c r="D258" s="6">
        <v>1.5517241379310345</v>
      </c>
      <c r="E258" s="7">
        <v>2676.5783333333325</v>
      </c>
      <c r="F258" s="4">
        <v>1.1200000000000001</v>
      </c>
      <c r="G258" s="9">
        <v>-498.39734482758644</v>
      </c>
      <c r="H258" s="4" t="s">
        <v>14</v>
      </c>
      <c r="I258" s="4" t="s">
        <v>15</v>
      </c>
      <c r="J258" s="8">
        <v>1024.8599999999999</v>
      </c>
    </row>
    <row r="259" spans="1:10" x14ac:dyDescent="0.3">
      <c r="A259" s="4">
        <v>1267</v>
      </c>
      <c r="B259" s="4" t="s">
        <v>318</v>
      </c>
      <c r="C259" s="4" t="s">
        <v>580</v>
      </c>
      <c r="D259" s="6">
        <v>3</v>
      </c>
      <c r="E259" s="7">
        <v>3255.23</v>
      </c>
      <c r="F259" s="4">
        <v>0</v>
      </c>
      <c r="G259" s="9">
        <v>9765.69</v>
      </c>
      <c r="H259" s="4" t="s">
        <v>14</v>
      </c>
      <c r="I259" s="4" t="s">
        <v>22</v>
      </c>
      <c r="J259" s="8">
        <v>650.79999999999995</v>
      </c>
    </row>
    <row r="260" spans="1:10" x14ac:dyDescent="0.3">
      <c r="A260" s="4">
        <v>1268</v>
      </c>
      <c r="B260" s="4" t="s">
        <v>319</v>
      </c>
      <c r="C260" s="4" t="s">
        <v>583</v>
      </c>
      <c r="D260" s="6">
        <v>1</v>
      </c>
      <c r="E260" s="7">
        <v>2952.3559374999995</v>
      </c>
      <c r="F260" s="4">
        <v>1.03</v>
      </c>
      <c r="G260" s="9">
        <v>-88.570678125000057</v>
      </c>
      <c r="H260" s="4" t="s">
        <v>45</v>
      </c>
      <c r="I260" s="4" t="s">
        <v>15</v>
      </c>
      <c r="J260" s="8">
        <v>2668.22</v>
      </c>
    </row>
    <row r="261" spans="1:10" x14ac:dyDescent="0.3">
      <c r="A261" s="4">
        <v>1269</v>
      </c>
      <c r="B261" s="4" t="s">
        <v>320</v>
      </c>
      <c r="C261" s="4" t="s">
        <v>581</v>
      </c>
      <c r="D261" s="6">
        <v>1.5813953488372092</v>
      </c>
      <c r="E261" s="7">
        <v>2715.2732432432431</v>
      </c>
      <c r="F261" s="4">
        <v>0</v>
      </c>
      <c r="G261" s="9">
        <v>4293.9204776869892</v>
      </c>
      <c r="H261" s="4" t="s">
        <v>21</v>
      </c>
      <c r="I261" s="4" t="s">
        <v>15</v>
      </c>
      <c r="J261" s="8">
        <v>483.01</v>
      </c>
    </row>
    <row r="262" spans="1:10" x14ac:dyDescent="0.3">
      <c r="A262" s="4">
        <v>1270</v>
      </c>
      <c r="B262" s="4" t="s">
        <v>321</v>
      </c>
      <c r="C262" s="4" t="s">
        <v>581</v>
      </c>
      <c r="D262" s="6">
        <v>0</v>
      </c>
      <c r="E262" s="7">
        <v>4446.82</v>
      </c>
      <c r="F262" s="4">
        <v>0</v>
      </c>
      <c r="G262" s="9">
        <v>0</v>
      </c>
      <c r="H262" s="4" t="s">
        <v>552</v>
      </c>
      <c r="I262" s="4" t="s">
        <v>22</v>
      </c>
      <c r="J262" s="8">
        <v>-293.05</v>
      </c>
    </row>
    <row r="263" spans="1:10" x14ac:dyDescent="0.3">
      <c r="A263" s="4">
        <v>1271</v>
      </c>
      <c r="B263" s="4" t="s">
        <v>322</v>
      </c>
      <c r="C263" s="4" t="s">
        <v>573</v>
      </c>
      <c r="D263" s="6">
        <v>1.5813953488372092</v>
      </c>
      <c r="E263" s="7">
        <v>2715.2732432432431</v>
      </c>
      <c r="F263" s="4">
        <v>0</v>
      </c>
      <c r="G263" s="9">
        <v>4293.9204776869892</v>
      </c>
      <c r="H263" s="4" t="s">
        <v>39</v>
      </c>
      <c r="I263" s="4" t="s">
        <v>22</v>
      </c>
      <c r="J263" s="8">
        <v>1295.93</v>
      </c>
    </row>
    <row r="264" spans="1:10" x14ac:dyDescent="0.3">
      <c r="A264" s="4">
        <v>1272</v>
      </c>
      <c r="B264" s="4" t="s">
        <v>323</v>
      </c>
      <c r="C264" s="4" t="s">
        <v>568</v>
      </c>
      <c r="D264" s="6">
        <v>2.5249999999999999</v>
      </c>
      <c r="E264" s="7">
        <v>1429.94</v>
      </c>
      <c r="F264" s="4">
        <v>0</v>
      </c>
      <c r="G264" s="9">
        <v>3610.5985000000001</v>
      </c>
      <c r="H264" s="4" t="s">
        <v>552</v>
      </c>
      <c r="I264" s="4" t="s">
        <v>22</v>
      </c>
      <c r="J264" s="8">
        <v>484.51</v>
      </c>
    </row>
    <row r="265" spans="1:10" x14ac:dyDescent="0.3">
      <c r="A265" s="4">
        <v>1273</v>
      </c>
      <c r="B265" s="4" t="s">
        <v>324</v>
      </c>
      <c r="C265" s="4" t="s">
        <v>573</v>
      </c>
      <c r="D265" s="6">
        <v>1.5813953488372092</v>
      </c>
      <c r="E265" s="7">
        <v>2715.2732432432431</v>
      </c>
      <c r="F265" s="4">
        <v>0</v>
      </c>
      <c r="G265" s="9">
        <v>4293.9204776869892</v>
      </c>
      <c r="H265" s="4" t="s">
        <v>552</v>
      </c>
      <c r="I265" s="4" t="s">
        <v>15</v>
      </c>
      <c r="J265" s="8">
        <v>-431.92</v>
      </c>
    </row>
    <row r="266" spans="1:10" x14ac:dyDescent="0.3">
      <c r="A266" s="4">
        <v>1274</v>
      </c>
      <c r="B266" s="4" t="s">
        <v>325</v>
      </c>
      <c r="C266" s="4" t="s">
        <v>577</v>
      </c>
      <c r="D266" s="6">
        <v>2.0217391304347827</v>
      </c>
      <c r="E266" s="7">
        <v>2878.0747619047615</v>
      </c>
      <c r="F266" s="4">
        <v>0.59</v>
      </c>
      <c r="G266" s="9">
        <v>2385.6737102484472</v>
      </c>
      <c r="H266" s="4" t="s">
        <v>17</v>
      </c>
      <c r="I266" s="4" t="s">
        <v>22</v>
      </c>
      <c r="J266" s="8">
        <v>62.98</v>
      </c>
    </row>
    <row r="267" spans="1:10" x14ac:dyDescent="0.3">
      <c r="A267" s="4">
        <v>1275</v>
      </c>
      <c r="B267" s="4" t="s">
        <v>326</v>
      </c>
      <c r="C267" s="4" t="s">
        <v>571</v>
      </c>
      <c r="D267" s="6">
        <v>3</v>
      </c>
      <c r="E267" s="7">
        <v>4132</v>
      </c>
      <c r="F267" s="4">
        <v>0</v>
      </c>
      <c r="G267" s="9">
        <v>12396</v>
      </c>
      <c r="H267" s="4" t="s">
        <v>39</v>
      </c>
      <c r="I267" s="4" t="s">
        <v>22</v>
      </c>
      <c r="J267" s="8">
        <v>2732.47</v>
      </c>
    </row>
    <row r="268" spans="1:10" x14ac:dyDescent="0.3">
      <c r="A268" s="4">
        <v>1276</v>
      </c>
      <c r="B268" s="4" t="s">
        <v>327</v>
      </c>
      <c r="C268" s="4" t="s">
        <v>582</v>
      </c>
      <c r="D268" s="6">
        <v>1.5517241379310345</v>
      </c>
      <c r="E268" s="7">
        <v>3243.45</v>
      </c>
      <c r="F268" s="4">
        <v>0.61</v>
      </c>
      <c r="G268" s="9">
        <v>1962.8464655172411</v>
      </c>
      <c r="H268" s="4" t="s">
        <v>21</v>
      </c>
      <c r="I268" s="4" t="s">
        <v>15</v>
      </c>
      <c r="J268" s="8">
        <v>-869.12</v>
      </c>
    </row>
    <row r="269" spans="1:10" x14ac:dyDescent="0.3">
      <c r="A269" s="4">
        <v>1277</v>
      </c>
      <c r="B269" s="4" t="s">
        <v>328</v>
      </c>
      <c r="C269" s="4" t="s">
        <v>572</v>
      </c>
      <c r="D269" s="6">
        <v>2</v>
      </c>
      <c r="E269" s="7">
        <v>4720.5200000000004</v>
      </c>
      <c r="F269" s="4">
        <v>0.56999999999999995</v>
      </c>
      <c r="G269" s="9">
        <v>4059.6472000000008</v>
      </c>
      <c r="H269" s="4" t="s">
        <v>14</v>
      </c>
      <c r="I269" s="4" t="s">
        <v>15</v>
      </c>
      <c r="J269" s="8">
        <v>1255.6600000000001</v>
      </c>
    </row>
    <row r="270" spans="1:10" x14ac:dyDescent="0.3">
      <c r="A270" s="4">
        <v>1278</v>
      </c>
      <c r="B270" s="4" t="s">
        <v>329</v>
      </c>
      <c r="C270" s="4" t="s">
        <v>572</v>
      </c>
      <c r="D270" s="6">
        <v>2.5249999999999999</v>
      </c>
      <c r="E270" s="7">
        <v>3550.91</v>
      </c>
      <c r="F270" s="4">
        <v>0</v>
      </c>
      <c r="G270" s="9">
        <v>8966.0477499999997</v>
      </c>
      <c r="H270" s="4" t="s">
        <v>14</v>
      </c>
      <c r="I270" s="4" t="s">
        <v>15</v>
      </c>
      <c r="J270" s="8">
        <v>466.53</v>
      </c>
    </row>
    <row r="271" spans="1:10" x14ac:dyDescent="0.3">
      <c r="A271" s="4">
        <v>1279</v>
      </c>
      <c r="B271" s="4" t="s">
        <v>330</v>
      </c>
      <c r="C271" s="4" t="s">
        <v>582</v>
      </c>
      <c r="D271" s="6">
        <v>1.5517241379310345</v>
      </c>
      <c r="E271" s="7">
        <v>2600.33</v>
      </c>
      <c r="F271" s="4">
        <v>0</v>
      </c>
      <c r="G271" s="9">
        <v>4034.9948275862066</v>
      </c>
      <c r="H271" s="4" t="s">
        <v>17</v>
      </c>
      <c r="I271" s="4" t="s">
        <v>15</v>
      </c>
      <c r="J271" s="8">
        <v>1430.67</v>
      </c>
    </row>
    <row r="272" spans="1:10" x14ac:dyDescent="0.3">
      <c r="A272" s="4">
        <v>1280</v>
      </c>
      <c r="B272" s="4" t="s">
        <v>331</v>
      </c>
      <c r="C272" s="4" t="s">
        <v>569</v>
      </c>
      <c r="D272" s="6">
        <v>3</v>
      </c>
      <c r="E272" s="7">
        <v>2715.2732432432431</v>
      </c>
      <c r="F272" s="4">
        <v>0</v>
      </c>
      <c r="G272" s="9">
        <v>8145.8197297297293</v>
      </c>
      <c r="H272" s="4" t="s">
        <v>17</v>
      </c>
      <c r="I272" s="4" t="s">
        <v>22</v>
      </c>
      <c r="J272" s="8">
        <v>263.41000000000003</v>
      </c>
    </row>
    <row r="273" spans="1:10" x14ac:dyDescent="0.3">
      <c r="A273" s="4">
        <v>1282</v>
      </c>
      <c r="B273" s="4" t="s">
        <v>333</v>
      </c>
      <c r="C273" s="4" t="s">
        <v>567</v>
      </c>
      <c r="D273" s="6">
        <v>-1</v>
      </c>
      <c r="E273" s="7">
        <v>2676.5783333333325</v>
      </c>
      <c r="F273" s="4">
        <v>0.14000000000000001</v>
      </c>
      <c r="G273" s="9">
        <v>-2301.8573666666657</v>
      </c>
      <c r="H273" s="4" t="s">
        <v>21</v>
      </c>
      <c r="I273" s="4" t="s">
        <v>22</v>
      </c>
      <c r="J273" s="8">
        <v>-909.75</v>
      </c>
    </row>
    <row r="274" spans="1:10" x14ac:dyDescent="0.3">
      <c r="A274" s="4">
        <v>1283</v>
      </c>
      <c r="B274" s="4" t="s">
        <v>334</v>
      </c>
      <c r="C274" s="4" t="s">
        <v>578</v>
      </c>
      <c r="D274" s="6">
        <v>1.5517241379310345</v>
      </c>
      <c r="E274" s="7">
        <v>2676.5783333333325</v>
      </c>
      <c r="F274" s="4">
        <v>0.08</v>
      </c>
      <c r="G274" s="9">
        <v>3821.0463103448265</v>
      </c>
      <c r="H274" s="4" t="s">
        <v>552</v>
      </c>
      <c r="I274" s="4" t="s">
        <v>22</v>
      </c>
      <c r="J274" s="8">
        <v>379.24</v>
      </c>
    </row>
    <row r="275" spans="1:10" x14ac:dyDescent="0.3">
      <c r="A275" s="4">
        <v>1284</v>
      </c>
      <c r="B275" s="4" t="s">
        <v>335</v>
      </c>
      <c r="C275" s="4" t="s">
        <v>566</v>
      </c>
      <c r="D275" s="6">
        <v>1.675</v>
      </c>
      <c r="E275" s="7">
        <v>1500.19</v>
      </c>
      <c r="F275" s="4">
        <v>0</v>
      </c>
      <c r="G275" s="9">
        <v>2512.8182500000003</v>
      </c>
      <c r="H275" s="4" t="s">
        <v>552</v>
      </c>
      <c r="I275" s="4" t="s">
        <v>15</v>
      </c>
      <c r="J275" s="8">
        <v>-348.48</v>
      </c>
    </row>
    <row r="276" spans="1:10" x14ac:dyDescent="0.3">
      <c r="A276" s="4">
        <v>1285</v>
      </c>
      <c r="B276" s="4" t="s">
        <v>336</v>
      </c>
      <c r="C276" s="4" t="s">
        <v>568</v>
      </c>
      <c r="D276" s="6">
        <v>5</v>
      </c>
      <c r="E276" s="7">
        <v>2755.6936585365856</v>
      </c>
      <c r="F276" s="4">
        <v>0</v>
      </c>
      <c r="G276" s="9">
        <v>13778.468292682928</v>
      </c>
      <c r="H276" s="4" t="s">
        <v>14</v>
      </c>
      <c r="I276" s="4" t="s">
        <v>15</v>
      </c>
      <c r="J276" s="8">
        <v>2024.84</v>
      </c>
    </row>
    <row r="277" spans="1:10" x14ac:dyDescent="0.3">
      <c r="A277" s="4">
        <v>1286</v>
      </c>
      <c r="B277" s="4" t="s">
        <v>337</v>
      </c>
      <c r="C277" s="4" t="s">
        <v>581</v>
      </c>
      <c r="D277" s="6">
        <v>1.5813953488372092</v>
      </c>
      <c r="E277" s="7">
        <v>2972.45</v>
      </c>
      <c r="F277" s="4">
        <v>0</v>
      </c>
      <c r="G277" s="9">
        <v>4700.6186046511621</v>
      </c>
      <c r="H277" s="4" t="s">
        <v>21</v>
      </c>
      <c r="I277" s="4" t="s">
        <v>15</v>
      </c>
      <c r="J277" s="8">
        <v>2562.54</v>
      </c>
    </row>
    <row r="278" spans="1:10" x14ac:dyDescent="0.3">
      <c r="A278" s="4">
        <v>1287</v>
      </c>
      <c r="B278" s="4" t="s">
        <v>338</v>
      </c>
      <c r="C278" s="4" t="s">
        <v>565</v>
      </c>
      <c r="D278" s="6">
        <v>2</v>
      </c>
      <c r="E278" s="7">
        <v>2592.8782222222212</v>
      </c>
      <c r="F278" s="4">
        <v>0</v>
      </c>
      <c r="G278" s="9">
        <v>5185.7564444444424</v>
      </c>
      <c r="H278" s="4" t="s">
        <v>39</v>
      </c>
      <c r="I278" s="4" t="s">
        <v>22</v>
      </c>
      <c r="J278" s="8">
        <v>802.66</v>
      </c>
    </row>
    <row r="279" spans="1:10" x14ac:dyDescent="0.3">
      <c r="A279" s="4">
        <v>1288</v>
      </c>
      <c r="B279" s="4" t="s">
        <v>339</v>
      </c>
      <c r="C279" s="4" t="s">
        <v>578</v>
      </c>
      <c r="D279" s="6">
        <v>4</v>
      </c>
      <c r="E279" s="7">
        <v>2676.5783333333325</v>
      </c>
      <c r="F279" s="4">
        <v>0</v>
      </c>
      <c r="G279" s="9">
        <v>10706.31333333333</v>
      </c>
      <c r="H279" s="4" t="s">
        <v>14</v>
      </c>
      <c r="I279" s="4" t="s">
        <v>22</v>
      </c>
      <c r="J279" s="8">
        <v>-492.73</v>
      </c>
    </row>
    <row r="280" spans="1:10" x14ac:dyDescent="0.3">
      <c r="A280" s="4">
        <v>1289</v>
      </c>
      <c r="B280" s="4" t="s">
        <v>340</v>
      </c>
      <c r="C280" s="4" t="s">
        <v>583</v>
      </c>
      <c r="D280" s="6">
        <v>1.675</v>
      </c>
      <c r="E280" s="7">
        <v>3590.85</v>
      </c>
      <c r="F280" s="4">
        <v>0</v>
      </c>
      <c r="G280" s="9">
        <v>6014.6737499999999</v>
      </c>
      <c r="H280" s="4" t="s">
        <v>21</v>
      </c>
      <c r="I280" s="4" t="s">
        <v>15</v>
      </c>
      <c r="J280" s="8">
        <v>2052.5700000000002</v>
      </c>
    </row>
    <row r="281" spans="1:10" x14ac:dyDescent="0.3">
      <c r="A281" s="4">
        <v>1290</v>
      </c>
      <c r="B281" s="4" t="s">
        <v>341</v>
      </c>
      <c r="C281" s="4" t="s">
        <v>565</v>
      </c>
      <c r="D281" s="6">
        <v>2</v>
      </c>
      <c r="E281" s="7">
        <v>1412.12</v>
      </c>
      <c r="F281" s="4">
        <v>1.2</v>
      </c>
      <c r="G281" s="9">
        <v>-564.84799999999984</v>
      </c>
      <c r="H281" s="4" t="s">
        <v>14</v>
      </c>
      <c r="I281" s="4" t="s">
        <v>22</v>
      </c>
      <c r="J281" s="8">
        <v>430.92</v>
      </c>
    </row>
    <row r="282" spans="1:10" x14ac:dyDescent="0.3">
      <c r="A282" s="4">
        <v>1291</v>
      </c>
      <c r="B282" s="4" t="s">
        <v>342</v>
      </c>
      <c r="C282" s="4" t="s">
        <v>566</v>
      </c>
      <c r="D282" s="6">
        <v>1.675</v>
      </c>
      <c r="E282" s="7">
        <v>2952.3559374999995</v>
      </c>
      <c r="F282" s="4">
        <v>0</v>
      </c>
      <c r="G282" s="9">
        <v>4945.1961953124992</v>
      </c>
      <c r="H282" s="4" t="s">
        <v>552</v>
      </c>
      <c r="I282" s="4" t="s">
        <v>15</v>
      </c>
      <c r="J282" s="8">
        <v>1073.44</v>
      </c>
    </row>
    <row r="283" spans="1:10" x14ac:dyDescent="0.3">
      <c r="A283" s="4">
        <v>1292</v>
      </c>
      <c r="B283" s="4" t="s">
        <v>343</v>
      </c>
      <c r="C283" s="4" t="s">
        <v>576</v>
      </c>
      <c r="D283" s="6">
        <v>3</v>
      </c>
      <c r="E283" s="7">
        <v>2878.0747619047615</v>
      </c>
      <c r="F283" s="4">
        <v>0.46</v>
      </c>
      <c r="G283" s="9">
        <v>4662.4811142857143</v>
      </c>
      <c r="H283" s="4" t="s">
        <v>21</v>
      </c>
      <c r="I283" s="4" t="s">
        <v>15</v>
      </c>
      <c r="J283" s="8">
        <v>1165.8599999999999</v>
      </c>
    </row>
    <row r="284" spans="1:10" x14ac:dyDescent="0.3">
      <c r="A284" s="4">
        <v>1293</v>
      </c>
      <c r="B284" s="4" t="s">
        <v>344</v>
      </c>
      <c r="C284" s="4" t="s">
        <v>583</v>
      </c>
      <c r="D284" s="6">
        <v>1.675</v>
      </c>
      <c r="E284" s="7">
        <v>2952.3559374999995</v>
      </c>
      <c r="F284" s="4">
        <v>0</v>
      </c>
      <c r="G284" s="9">
        <v>4945.1961953124992</v>
      </c>
      <c r="H284" s="4" t="s">
        <v>552</v>
      </c>
      <c r="I284" s="4" t="s">
        <v>22</v>
      </c>
      <c r="J284" s="8">
        <v>2073.16</v>
      </c>
    </row>
    <row r="285" spans="1:10" x14ac:dyDescent="0.3">
      <c r="A285" s="4">
        <v>1294</v>
      </c>
      <c r="B285" s="4" t="s">
        <v>345</v>
      </c>
      <c r="C285" s="4" t="s">
        <v>586</v>
      </c>
      <c r="D285" s="6">
        <v>2.5249999999999999</v>
      </c>
      <c r="E285" s="7">
        <v>2755.6936585365856</v>
      </c>
      <c r="F285" s="4">
        <v>0.56000000000000005</v>
      </c>
      <c r="G285" s="9">
        <v>3061.5756546341463</v>
      </c>
      <c r="H285" s="4" t="s">
        <v>14</v>
      </c>
      <c r="I285" s="4" t="s">
        <v>22</v>
      </c>
      <c r="J285" s="8">
        <v>898.24</v>
      </c>
    </row>
    <row r="286" spans="1:10" x14ac:dyDescent="0.3">
      <c r="A286" s="4">
        <v>1295</v>
      </c>
      <c r="B286" s="4" t="s">
        <v>346</v>
      </c>
      <c r="C286" s="4" t="s">
        <v>587</v>
      </c>
      <c r="D286" s="6">
        <v>-1</v>
      </c>
      <c r="E286" s="7">
        <v>2952.3559374999995</v>
      </c>
      <c r="F286" s="4">
        <v>0</v>
      </c>
      <c r="G286" s="9">
        <v>-2952.3559374999995</v>
      </c>
      <c r="H286" s="4" t="s">
        <v>39</v>
      </c>
      <c r="I286" s="4" t="s">
        <v>15</v>
      </c>
      <c r="J286" s="8">
        <v>2967.72</v>
      </c>
    </row>
    <row r="287" spans="1:10" x14ac:dyDescent="0.3">
      <c r="A287" s="4">
        <v>1296</v>
      </c>
      <c r="B287" s="4" t="s">
        <v>347</v>
      </c>
      <c r="C287" s="4" t="s">
        <v>565</v>
      </c>
      <c r="D287" s="6">
        <v>-2</v>
      </c>
      <c r="E287" s="7">
        <v>2795.79</v>
      </c>
      <c r="F287" s="4">
        <v>0</v>
      </c>
      <c r="G287" s="9">
        <v>-5591.58</v>
      </c>
      <c r="H287" s="4" t="s">
        <v>39</v>
      </c>
      <c r="I287" s="4" t="s">
        <v>22</v>
      </c>
      <c r="J287" s="8">
        <v>1438.47</v>
      </c>
    </row>
    <row r="288" spans="1:10" x14ac:dyDescent="0.3">
      <c r="A288" s="4">
        <v>1297</v>
      </c>
      <c r="B288" s="4" t="s">
        <v>348</v>
      </c>
      <c r="C288" s="4" t="s">
        <v>566</v>
      </c>
      <c r="D288" s="6">
        <v>1.675</v>
      </c>
      <c r="E288" s="7">
        <v>4524.2</v>
      </c>
      <c r="F288" s="4">
        <v>0</v>
      </c>
      <c r="G288" s="9">
        <v>7578.0349999999999</v>
      </c>
      <c r="H288" s="4" t="s">
        <v>14</v>
      </c>
      <c r="I288" s="4" t="s">
        <v>15</v>
      </c>
      <c r="J288" s="8">
        <v>1637.33</v>
      </c>
    </row>
    <row r="289" spans="1:10" x14ac:dyDescent="0.3">
      <c r="A289" s="4">
        <v>1298</v>
      </c>
      <c r="B289" s="4" t="s">
        <v>349</v>
      </c>
      <c r="C289" s="4" t="s">
        <v>581</v>
      </c>
      <c r="D289" s="6">
        <v>1.5813953488372092</v>
      </c>
      <c r="E289" s="7">
        <v>2715.2732432432431</v>
      </c>
      <c r="F289" s="4">
        <v>0</v>
      </c>
      <c r="G289" s="9">
        <v>4293.9204776869892</v>
      </c>
      <c r="H289" s="4" t="s">
        <v>17</v>
      </c>
      <c r="I289" s="4" t="s">
        <v>15</v>
      </c>
      <c r="J289" s="8">
        <v>2490.23</v>
      </c>
    </row>
    <row r="290" spans="1:10" x14ac:dyDescent="0.3">
      <c r="A290" s="4">
        <v>1299</v>
      </c>
      <c r="B290" s="4" t="s">
        <v>350</v>
      </c>
      <c r="C290" s="4" t="s">
        <v>583</v>
      </c>
      <c r="D290" s="6">
        <v>1</v>
      </c>
      <c r="E290" s="7">
        <v>1026.58</v>
      </c>
      <c r="F290" s="4">
        <v>0</v>
      </c>
      <c r="G290" s="9">
        <v>1026.58</v>
      </c>
      <c r="H290" s="4" t="s">
        <v>552</v>
      </c>
      <c r="I290" s="4" t="s">
        <v>15</v>
      </c>
      <c r="J290" s="8">
        <v>1178.3699999999999</v>
      </c>
    </row>
    <row r="291" spans="1:10" x14ac:dyDescent="0.3">
      <c r="A291" s="4">
        <v>1300</v>
      </c>
      <c r="B291" s="4" t="s">
        <v>351</v>
      </c>
      <c r="C291" s="4" t="s">
        <v>565</v>
      </c>
      <c r="D291" s="6">
        <v>2</v>
      </c>
      <c r="E291" s="7">
        <v>4611.8999999999996</v>
      </c>
      <c r="F291" s="4">
        <v>0</v>
      </c>
      <c r="G291" s="9">
        <v>9223.7999999999993</v>
      </c>
      <c r="H291" s="4" t="s">
        <v>14</v>
      </c>
      <c r="I291" s="4" t="s">
        <v>22</v>
      </c>
      <c r="J291" s="8">
        <v>703.48</v>
      </c>
    </row>
    <row r="292" spans="1:10" x14ac:dyDescent="0.3">
      <c r="A292" s="4">
        <v>1302</v>
      </c>
      <c r="B292" s="4" t="s">
        <v>353</v>
      </c>
      <c r="C292" s="4" t="s">
        <v>585</v>
      </c>
      <c r="D292" s="6">
        <v>5</v>
      </c>
      <c r="E292" s="7">
        <v>2592.8782222222212</v>
      </c>
      <c r="F292" s="4">
        <v>0.09</v>
      </c>
      <c r="G292" s="9">
        <v>11797.595911111108</v>
      </c>
      <c r="H292" s="4" t="s">
        <v>17</v>
      </c>
      <c r="I292" s="4" t="s">
        <v>15</v>
      </c>
      <c r="J292" s="8">
        <v>339.17</v>
      </c>
    </row>
    <row r="293" spans="1:10" x14ac:dyDescent="0.3">
      <c r="A293" s="4">
        <v>1303</v>
      </c>
      <c r="B293" s="4" t="s">
        <v>354</v>
      </c>
      <c r="C293" s="4" t="s">
        <v>574</v>
      </c>
      <c r="D293" s="6">
        <v>3</v>
      </c>
      <c r="E293" s="7">
        <v>1192.1600000000001</v>
      </c>
      <c r="F293" s="4">
        <v>0</v>
      </c>
      <c r="G293" s="9">
        <v>3576.4800000000005</v>
      </c>
      <c r="H293" s="4" t="s">
        <v>45</v>
      </c>
      <c r="I293" s="4" t="s">
        <v>22</v>
      </c>
      <c r="J293" s="8">
        <v>505.33</v>
      </c>
    </row>
    <row r="294" spans="1:10" x14ac:dyDescent="0.3">
      <c r="A294" s="4">
        <v>1305</v>
      </c>
      <c r="B294" s="4" t="s">
        <v>356</v>
      </c>
      <c r="C294" s="4" t="s">
        <v>580</v>
      </c>
      <c r="D294" s="6">
        <v>3</v>
      </c>
      <c r="E294" s="7">
        <v>2952.3559374999995</v>
      </c>
      <c r="F294" s="4">
        <v>0</v>
      </c>
      <c r="G294" s="9">
        <v>8857.0678124999977</v>
      </c>
      <c r="H294" s="4" t="s">
        <v>14</v>
      </c>
      <c r="I294" s="4" t="s">
        <v>15</v>
      </c>
      <c r="J294" s="8">
        <v>2861.3</v>
      </c>
    </row>
    <row r="295" spans="1:10" x14ac:dyDescent="0.3">
      <c r="A295" s="4">
        <v>1306</v>
      </c>
      <c r="B295" s="4" t="s">
        <v>357</v>
      </c>
      <c r="C295" s="4" t="s">
        <v>568</v>
      </c>
      <c r="D295" s="6">
        <v>4</v>
      </c>
      <c r="E295" s="7">
        <v>2755.6936585365856</v>
      </c>
      <c r="F295" s="4">
        <v>0</v>
      </c>
      <c r="G295" s="9">
        <v>11022.774634146343</v>
      </c>
      <c r="H295" s="4" t="s">
        <v>17</v>
      </c>
      <c r="I295" s="4" t="s">
        <v>15</v>
      </c>
      <c r="J295" s="8">
        <v>99.1</v>
      </c>
    </row>
    <row r="296" spans="1:10" x14ac:dyDescent="0.3">
      <c r="A296" s="4">
        <v>1307</v>
      </c>
      <c r="B296" s="4" t="s">
        <v>358</v>
      </c>
      <c r="C296" s="4" t="s">
        <v>576</v>
      </c>
      <c r="D296" s="6">
        <v>2</v>
      </c>
      <c r="E296" s="7">
        <v>2648.43</v>
      </c>
      <c r="F296" s="4">
        <v>0</v>
      </c>
      <c r="G296" s="9">
        <v>5296.86</v>
      </c>
      <c r="H296" s="4" t="s">
        <v>17</v>
      </c>
      <c r="I296" s="4" t="s">
        <v>22</v>
      </c>
      <c r="J296" s="8">
        <v>642</v>
      </c>
    </row>
    <row r="297" spans="1:10" x14ac:dyDescent="0.3">
      <c r="A297" s="4">
        <v>1308</v>
      </c>
      <c r="B297" s="4" t="s">
        <v>359</v>
      </c>
      <c r="C297" s="4" t="s">
        <v>584</v>
      </c>
      <c r="D297" s="6">
        <v>2</v>
      </c>
      <c r="E297" s="7">
        <v>4203.62</v>
      </c>
      <c r="F297" s="4">
        <v>0</v>
      </c>
      <c r="G297" s="9">
        <v>8407.24</v>
      </c>
      <c r="H297" s="4" t="s">
        <v>21</v>
      </c>
      <c r="I297" s="4" t="s">
        <v>22</v>
      </c>
      <c r="J297" s="8">
        <v>464.65</v>
      </c>
    </row>
    <row r="298" spans="1:10" x14ac:dyDescent="0.3">
      <c r="A298" s="4">
        <v>1309</v>
      </c>
      <c r="B298" s="4" t="s">
        <v>360</v>
      </c>
      <c r="C298" s="4" t="s">
        <v>588</v>
      </c>
      <c r="D298" s="6">
        <v>2.5249999999999999</v>
      </c>
      <c r="E298" s="7">
        <v>2755.6936585365856</v>
      </c>
      <c r="F298" s="4">
        <v>0</v>
      </c>
      <c r="G298" s="9">
        <v>6958.1264878048787</v>
      </c>
      <c r="H298" s="4" t="s">
        <v>45</v>
      </c>
      <c r="I298" s="4" t="s">
        <v>22</v>
      </c>
      <c r="J298" s="8">
        <v>481.45</v>
      </c>
    </row>
    <row r="299" spans="1:10" x14ac:dyDescent="0.3">
      <c r="A299" s="4">
        <v>1310</v>
      </c>
      <c r="B299" s="4" t="s">
        <v>361</v>
      </c>
      <c r="C299" s="4" t="s">
        <v>576</v>
      </c>
      <c r="D299" s="6">
        <v>2.0217391304347827</v>
      </c>
      <c r="E299" s="7">
        <v>2878.0747619047615</v>
      </c>
      <c r="F299" s="4">
        <v>0</v>
      </c>
      <c r="G299" s="9">
        <v>5818.7163664596264</v>
      </c>
      <c r="H299" s="4" t="s">
        <v>45</v>
      </c>
      <c r="I299" s="4" t="s">
        <v>22</v>
      </c>
      <c r="J299" s="8">
        <v>1516.35</v>
      </c>
    </row>
    <row r="300" spans="1:10" x14ac:dyDescent="0.3">
      <c r="A300" s="4">
        <v>1311</v>
      </c>
      <c r="B300" s="4" t="s">
        <v>362</v>
      </c>
      <c r="C300" s="4" t="s">
        <v>580</v>
      </c>
      <c r="D300" s="6">
        <v>3</v>
      </c>
      <c r="E300" s="7">
        <v>2952.3559374999995</v>
      </c>
      <c r="F300" s="4">
        <v>0.13</v>
      </c>
      <c r="G300" s="9">
        <v>7705.6489968749984</v>
      </c>
      <c r="H300" s="4" t="s">
        <v>21</v>
      </c>
      <c r="I300" s="4" t="s">
        <v>22</v>
      </c>
      <c r="J300" s="8">
        <v>-109.19</v>
      </c>
    </row>
    <row r="301" spans="1:10" x14ac:dyDescent="0.3">
      <c r="A301" s="4">
        <v>1312</v>
      </c>
      <c r="B301" s="4" t="s">
        <v>363</v>
      </c>
      <c r="C301" s="4" t="s">
        <v>572</v>
      </c>
      <c r="D301" s="6">
        <v>2.5249999999999999</v>
      </c>
      <c r="E301" s="7">
        <v>2755.6936585365856</v>
      </c>
      <c r="F301" s="4">
        <v>0</v>
      </c>
      <c r="G301" s="9">
        <v>6958.1264878048787</v>
      </c>
      <c r="H301" s="4" t="s">
        <v>45</v>
      </c>
      <c r="I301" s="4" t="s">
        <v>22</v>
      </c>
      <c r="J301" s="8">
        <v>-646.16</v>
      </c>
    </row>
    <row r="302" spans="1:10" x14ac:dyDescent="0.3">
      <c r="A302" s="4">
        <v>1313</v>
      </c>
      <c r="B302" s="4" t="s">
        <v>364</v>
      </c>
      <c r="C302" s="4" t="s">
        <v>586</v>
      </c>
      <c r="D302" s="6">
        <v>2.5249999999999999</v>
      </c>
      <c r="E302" s="7">
        <v>4763.45</v>
      </c>
      <c r="F302" s="4">
        <v>0.96</v>
      </c>
      <c r="G302" s="9">
        <v>481.10845000000035</v>
      </c>
      <c r="H302" s="4" t="s">
        <v>45</v>
      </c>
      <c r="I302" s="4" t="s">
        <v>15</v>
      </c>
      <c r="J302" s="8">
        <v>-581.35</v>
      </c>
    </row>
    <row r="303" spans="1:10" x14ac:dyDescent="0.3">
      <c r="A303" s="4">
        <v>1314</v>
      </c>
      <c r="B303" s="4" t="s">
        <v>365</v>
      </c>
      <c r="C303" s="4" t="s">
        <v>578</v>
      </c>
      <c r="D303" s="6">
        <v>-1</v>
      </c>
      <c r="E303" s="7">
        <v>2676.5783333333325</v>
      </c>
      <c r="F303" s="4">
        <v>0</v>
      </c>
      <c r="G303" s="9">
        <v>-2676.5783333333325</v>
      </c>
      <c r="H303" s="4" t="s">
        <v>552</v>
      </c>
      <c r="I303" s="4" t="s">
        <v>15</v>
      </c>
      <c r="J303" s="8">
        <v>1148.06</v>
      </c>
    </row>
    <row r="304" spans="1:10" x14ac:dyDescent="0.3">
      <c r="A304" s="4">
        <v>1315</v>
      </c>
      <c r="B304" s="4" t="s">
        <v>366</v>
      </c>
      <c r="C304" s="4" t="s">
        <v>570</v>
      </c>
      <c r="D304" s="6">
        <v>-2</v>
      </c>
      <c r="E304" s="7">
        <v>515.04</v>
      </c>
      <c r="F304" s="4">
        <v>0</v>
      </c>
      <c r="G304" s="9">
        <v>-1030.08</v>
      </c>
      <c r="H304" s="4" t="s">
        <v>39</v>
      </c>
      <c r="I304" s="4" t="s">
        <v>15</v>
      </c>
      <c r="J304" s="8">
        <v>-279.01</v>
      </c>
    </row>
    <row r="305" spans="1:10" x14ac:dyDescent="0.3">
      <c r="A305" s="4">
        <v>1316</v>
      </c>
      <c r="B305" s="4" t="s">
        <v>367</v>
      </c>
      <c r="C305" s="4" t="s">
        <v>569</v>
      </c>
      <c r="D305" s="6">
        <v>1.5813953488372092</v>
      </c>
      <c r="E305" s="7">
        <v>1345.98</v>
      </c>
      <c r="F305" s="4">
        <v>0</v>
      </c>
      <c r="G305" s="9">
        <v>2128.526511627907</v>
      </c>
      <c r="H305" s="4" t="s">
        <v>45</v>
      </c>
      <c r="I305" s="4" t="s">
        <v>15</v>
      </c>
      <c r="J305" s="8">
        <v>-177.6</v>
      </c>
    </row>
    <row r="306" spans="1:10" x14ac:dyDescent="0.3">
      <c r="A306" s="4">
        <v>1317</v>
      </c>
      <c r="B306" s="4" t="s">
        <v>368</v>
      </c>
      <c r="C306" s="4" t="s">
        <v>586</v>
      </c>
      <c r="D306" s="6">
        <v>0</v>
      </c>
      <c r="E306" s="7">
        <v>2755.6936585365856</v>
      </c>
      <c r="F306" s="4">
        <v>0</v>
      </c>
      <c r="G306" s="9">
        <v>0</v>
      </c>
      <c r="H306" s="4" t="s">
        <v>21</v>
      </c>
      <c r="I306" s="4" t="s">
        <v>22</v>
      </c>
      <c r="J306" s="8">
        <v>-476.45</v>
      </c>
    </row>
    <row r="307" spans="1:10" x14ac:dyDescent="0.3">
      <c r="A307" s="4">
        <v>1318</v>
      </c>
      <c r="B307" s="4" t="s">
        <v>369</v>
      </c>
      <c r="C307" s="4" t="s">
        <v>568</v>
      </c>
      <c r="D307" s="6">
        <v>3</v>
      </c>
      <c r="E307" s="7">
        <v>2755.6936585365856</v>
      </c>
      <c r="F307" s="4">
        <v>0</v>
      </c>
      <c r="G307" s="9">
        <v>8267.0809756097569</v>
      </c>
      <c r="H307" s="4" t="s">
        <v>45</v>
      </c>
      <c r="I307" s="4" t="s">
        <v>15</v>
      </c>
      <c r="J307" s="8">
        <v>1830.14</v>
      </c>
    </row>
    <row r="308" spans="1:10" x14ac:dyDescent="0.3">
      <c r="A308" s="4">
        <v>1319</v>
      </c>
      <c r="B308" s="4" t="s">
        <v>370</v>
      </c>
      <c r="C308" s="4" t="s">
        <v>584</v>
      </c>
      <c r="D308" s="6">
        <v>0</v>
      </c>
      <c r="E308" s="7">
        <v>2878.0747619047615</v>
      </c>
      <c r="F308" s="4">
        <v>0</v>
      </c>
      <c r="G308" s="9">
        <v>0</v>
      </c>
      <c r="H308" s="4" t="s">
        <v>17</v>
      </c>
      <c r="I308" s="4" t="s">
        <v>15</v>
      </c>
      <c r="J308" s="8">
        <v>-66.17</v>
      </c>
    </row>
    <row r="309" spans="1:10" x14ac:dyDescent="0.3">
      <c r="A309" s="4">
        <v>1320</v>
      </c>
      <c r="B309" s="4" t="s">
        <v>371</v>
      </c>
      <c r="C309" s="4" t="s">
        <v>568</v>
      </c>
      <c r="D309" s="6">
        <v>4</v>
      </c>
      <c r="E309" s="7">
        <v>2755.6936585365856</v>
      </c>
      <c r="F309" s="4">
        <v>0</v>
      </c>
      <c r="G309" s="9">
        <v>11022.774634146343</v>
      </c>
      <c r="H309" s="4" t="s">
        <v>14</v>
      </c>
      <c r="I309" s="4" t="s">
        <v>22</v>
      </c>
      <c r="J309" s="8">
        <v>2011.4</v>
      </c>
    </row>
    <row r="310" spans="1:10" x14ac:dyDescent="0.3">
      <c r="A310" s="4">
        <v>1321</v>
      </c>
      <c r="B310" s="4" t="s">
        <v>372</v>
      </c>
      <c r="C310" s="4" t="s">
        <v>587</v>
      </c>
      <c r="D310" s="6">
        <v>3</v>
      </c>
      <c r="E310" s="7">
        <v>2952.3559374999995</v>
      </c>
      <c r="F310" s="4">
        <v>1.02</v>
      </c>
      <c r="G310" s="9">
        <v>-177.14135625000011</v>
      </c>
      <c r="H310" s="4" t="s">
        <v>14</v>
      </c>
      <c r="I310" s="4" t="s">
        <v>15</v>
      </c>
      <c r="J310" s="8">
        <v>632.23</v>
      </c>
    </row>
    <row r="311" spans="1:10" x14ac:dyDescent="0.3">
      <c r="A311" s="4">
        <v>1322</v>
      </c>
      <c r="B311" s="4" t="s">
        <v>373</v>
      </c>
      <c r="C311" s="4" t="s">
        <v>579</v>
      </c>
      <c r="D311" s="6">
        <v>1.5813953488372092</v>
      </c>
      <c r="E311" s="7">
        <v>2387.61</v>
      </c>
      <c r="F311" s="4">
        <v>0</v>
      </c>
      <c r="G311" s="9">
        <v>3775.7553488372091</v>
      </c>
      <c r="H311" s="4" t="s">
        <v>14</v>
      </c>
      <c r="I311" s="4" t="s">
        <v>15</v>
      </c>
      <c r="J311" s="8">
        <v>822.46</v>
      </c>
    </row>
    <row r="312" spans="1:10" x14ac:dyDescent="0.3">
      <c r="A312" s="4">
        <v>1323</v>
      </c>
      <c r="B312" s="4" t="s">
        <v>374</v>
      </c>
      <c r="C312" s="4" t="s">
        <v>566</v>
      </c>
      <c r="D312" s="6">
        <v>1.675</v>
      </c>
      <c r="E312" s="7">
        <v>2952.3559374999995</v>
      </c>
      <c r="F312" s="4">
        <v>1.1200000000000001</v>
      </c>
      <c r="G312" s="9">
        <v>-593.42354343750048</v>
      </c>
      <c r="H312" s="4" t="s">
        <v>45</v>
      </c>
      <c r="I312" s="4" t="s">
        <v>15</v>
      </c>
      <c r="J312" s="8">
        <v>-96.6</v>
      </c>
    </row>
    <row r="313" spans="1:10" x14ac:dyDescent="0.3">
      <c r="A313" s="4">
        <v>1324</v>
      </c>
      <c r="B313" s="4" t="s">
        <v>375</v>
      </c>
      <c r="C313" s="4" t="s">
        <v>580</v>
      </c>
      <c r="D313" s="6">
        <v>1.675</v>
      </c>
      <c r="E313" s="7">
        <v>2952.3559374999995</v>
      </c>
      <c r="F313" s="4">
        <v>0</v>
      </c>
      <c r="G313" s="9">
        <v>4945.1961953124992</v>
      </c>
      <c r="H313" s="4" t="s">
        <v>21</v>
      </c>
      <c r="I313" s="4" t="s">
        <v>15</v>
      </c>
      <c r="J313" s="8">
        <v>-610.52</v>
      </c>
    </row>
    <row r="314" spans="1:10" x14ac:dyDescent="0.3">
      <c r="A314" s="4">
        <v>1325</v>
      </c>
      <c r="B314" s="4" t="s">
        <v>376</v>
      </c>
      <c r="C314" s="4" t="s">
        <v>585</v>
      </c>
      <c r="D314" s="6">
        <v>2</v>
      </c>
      <c r="E314" s="7">
        <v>1315.93</v>
      </c>
      <c r="F314" s="4">
        <v>0</v>
      </c>
      <c r="G314" s="9">
        <v>2631.86</v>
      </c>
      <c r="H314" s="4" t="s">
        <v>39</v>
      </c>
      <c r="I314" s="4" t="s">
        <v>15</v>
      </c>
      <c r="J314" s="8">
        <v>1435.03</v>
      </c>
    </row>
    <row r="315" spans="1:10" x14ac:dyDescent="0.3">
      <c r="A315" s="4">
        <v>1326</v>
      </c>
      <c r="B315" s="4" t="s">
        <v>377</v>
      </c>
      <c r="C315" s="4" t="s">
        <v>571</v>
      </c>
      <c r="D315" s="6">
        <v>2.0217391304347827</v>
      </c>
      <c r="E315" s="7">
        <v>4104.3599999999997</v>
      </c>
      <c r="F315" s="4">
        <v>1.1100000000000001</v>
      </c>
      <c r="G315" s="9">
        <v>-912.77397391304419</v>
      </c>
      <c r="H315" s="4" t="s">
        <v>21</v>
      </c>
      <c r="I315" s="4" t="s">
        <v>15</v>
      </c>
      <c r="J315" s="8">
        <v>1404.45</v>
      </c>
    </row>
    <row r="316" spans="1:10" x14ac:dyDescent="0.3">
      <c r="A316" s="4">
        <v>1327</v>
      </c>
      <c r="B316" s="4" t="s">
        <v>378</v>
      </c>
      <c r="C316" s="4" t="s">
        <v>578</v>
      </c>
      <c r="D316" s="6">
        <v>1.5517241379310345</v>
      </c>
      <c r="E316" s="7">
        <v>2964.44</v>
      </c>
      <c r="F316" s="4">
        <v>0</v>
      </c>
      <c r="G316" s="9">
        <v>4599.9931034482761</v>
      </c>
      <c r="H316" s="4" t="s">
        <v>21</v>
      </c>
      <c r="I316" s="4" t="s">
        <v>15</v>
      </c>
      <c r="J316" s="8">
        <v>2021.54</v>
      </c>
    </row>
    <row r="317" spans="1:10" x14ac:dyDescent="0.3">
      <c r="A317" s="4">
        <v>1328</v>
      </c>
      <c r="B317" s="4" t="s">
        <v>379</v>
      </c>
      <c r="C317" s="4" t="s">
        <v>582</v>
      </c>
      <c r="D317" s="6">
        <v>4</v>
      </c>
      <c r="E317" s="7">
        <v>3250.24</v>
      </c>
      <c r="F317" s="4">
        <v>0.56000000000000005</v>
      </c>
      <c r="G317" s="9">
        <v>5720.4223999999986</v>
      </c>
      <c r="H317" s="4" t="s">
        <v>45</v>
      </c>
      <c r="I317" s="4" t="s">
        <v>22</v>
      </c>
      <c r="J317" s="8">
        <v>2269.54</v>
      </c>
    </row>
    <row r="318" spans="1:10" x14ac:dyDescent="0.3">
      <c r="A318" s="4">
        <v>1329</v>
      </c>
      <c r="B318" s="4" t="s">
        <v>380</v>
      </c>
      <c r="C318" s="4" t="s">
        <v>581</v>
      </c>
      <c r="D318" s="6">
        <v>1</v>
      </c>
      <c r="E318" s="7">
        <v>2587.7800000000002</v>
      </c>
      <c r="F318" s="4">
        <v>0</v>
      </c>
      <c r="G318" s="9">
        <v>2587.7800000000002</v>
      </c>
      <c r="H318" s="4" t="s">
        <v>552</v>
      </c>
      <c r="I318" s="4" t="s">
        <v>15</v>
      </c>
      <c r="J318" s="8">
        <v>1667.02</v>
      </c>
    </row>
    <row r="319" spans="1:10" x14ac:dyDescent="0.3">
      <c r="A319" s="4">
        <v>1330</v>
      </c>
      <c r="B319" s="4" t="s">
        <v>381</v>
      </c>
      <c r="C319" s="4" t="s">
        <v>576</v>
      </c>
      <c r="D319" s="6">
        <v>-2</v>
      </c>
      <c r="E319" s="7">
        <v>2878.0747619047615</v>
      </c>
      <c r="F319" s="4">
        <v>0</v>
      </c>
      <c r="G319" s="9">
        <v>-5756.1495238095231</v>
      </c>
      <c r="H319" s="4" t="s">
        <v>17</v>
      </c>
      <c r="I319" s="4" t="s">
        <v>15</v>
      </c>
      <c r="J319" s="8">
        <v>-587.38</v>
      </c>
    </row>
    <row r="320" spans="1:10" x14ac:dyDescent="0.3">
      <c r="A320" s="4">
        <v>1331</v>
      </c>
      <c r="B320" s="4" t="s">
        <v>382</v>
      </c>
      <c r="C320" s="4" t="s">
        <v>568</v>
      </c>
      <c r="D320" s="6">
        <v>6</v>
      </c>
      <c r="E320" s="7">
        <v>2755.6936585365856</v>
      </c>
      <c r="F320" s="4">
        <v>0</v>
      </c>
      <c r="G320" s="9">
        <v>16534.161951219514</v>
      </c>
      <c r="H320" s="4" t="s">
        <v>39</v>
      </c>
      <c r="I320" s="4" t="s">
        <v>15</v>
      </c>
      <c r="J320" s="8">
        <v>1301.18</v>
      </c>
    </row>
    <row r="321" spans="1:10" x14ac:dyDescent="0.3">
      <c r="A321" s="4">
        <v>1332</v>
      </c>
      <c r="B321" s="4" t="s">
        <v>383</v>
      </c>
      <c r="C321" s="4" t="s">
        <v>581</v>
      </c>
      <c r="D321" s="6">
        <v>1.5813953488372092</v>
      </c>
      <c r="E321" s="7">
        <v>2715.2732432432431</v>
      </c>
      <c r="F321" s="4">
        <v>0</v>
      </c>
      <c r="G321" s="9">
        <v>4293.9204776869892</v>
      </c>
      <c r="H321" s="4" t="s">
        <v>21</v>
      </c>
      <c r="I321" s="4" t="s">
        <v>15</v>
      </c>
      <c r="J321" s="8">
        <v>2301.09</v>
      </c>
    </row>
    <row r="322" spans="1:10" x14ac:dyDescent="0.3">
      <c r="A322" s="4">
        <v>1334</v>
      </c>
      <c r="B322" s="4" t="s">
        <v>385</v>
      </c>
      <c r="C322" s="4" t="s">
        <v>576</v>
      </c>
      <c r="D322" s="6">
        <v>6</v>
      </c>
      <c r="E322" s="7">
        <v>1454.69</v>
      </c>
      <c r="F322" s="4">
        <v>0</v>
      </c>
      <c r="G322" s="9">
        <v>8728.14</v>
      </c>
      <c r="H322" s="4" t="s">
        <v>14</v>
      </c>
      <c r="I322" s="4" t="s">
        <v>15</v>
      </c>
      <c r="J322" s="8">
        <v>652.87</v>
      </c>
    </row>
    <row r="323" spans="1:10" x14ac:dyDescent="0.3">
      <c r="A323" s="4">
        <v>1335</v>
      </c>
      <c r="B323" s="4" t="s">
        <v>386</v>
      </c>
      <c r="C323" s="4" t="s">
        <v>578</v>
      </c>
      <c r="D323" s="6">
        <v>5</v>
      </c>
      <c r="E323" s="7">
        <v>2676.5783333333325</v>
      </c>
      <c r="F323" s="4">
        <v>0</v>
      </c>
      <c r="G323" s="9">
        <v>13382.891666666663</v>
      </c>
      <c r="H323" s="4" t="s">
        <v>552</v>
      </c>
      <c r="I323" s="4" t="s">
        <v>15</v>
      </c>
      <c r="J323" s="8">
        <v>-815.88</v>
      </c>
    </row>
    <row r="324" spans="1:10" x14ac:dyDescent="0.3">
      <c r="A324" s="4">
        <v>1336</v>
      </c>
      <c r="B324" s="4" t="s">
        <v>387</v>
      </c>
      <c r="C324" s="4" t="s">
        <v>583</v>
      </c>
      <c r="D324" s="6">
        <v>1.675</v>
      </c>
      <c r="E324" s="7">
        <v>2952.3559374999995</v>
      </c>
      <c r="F324" s="4">
        <v>0</v>
      </c>
      <c r="G324" s="9">
        <v>4945.1961953124992</v>
      </c>
      <c r="H324" s="4" t="s">
        <v>14</v>
      </c>
      <c r="I324" s="4" t="s">
        <v>22</v>
      </c>
      <c r="J324" s="8">
        <v>2000.91</v>
      </c>
    </row>
    <row r="325" spans="1:10" x14ac:dyDescent="0.3">
      <c r="A325" s="4">
        <v>1337</v>
      </c>
      <c r="B325" s="4" t="s">
        <v>388</v>
      </c>
      <c r="C325" s="4" t="s">
        <v>583</v>
      </c>
      <c r="D325" s="6">
        <v>6</v>
      </c>
      <c r="E325" s="7">
        <v>2286.6799999999998</v>
      </c>
      <c r="F325" s="4">
        <v>1.27</v>
      </c>
      <c r="G325" s="9">
        <v>-3704.4215999999997</v>
      </c>
      <c r="H325" s="4" t="s">
        <v>552</v>
      </c>
      <c r="I325" s="4" t="s">
        <v>15</v>
      </c>
      <c r="J325" s="8">
        <v>716.16</v>
      </c>
    </row>
    <row r="326" spans="1:10" x14ac:dyDescent="0.3">
      <c r="A326" s="4">
        <v>1338</v>
      </c>
      <c r="B326" s="4" t="s">
        <v>389</v>
      </c>
      <c r="C326" s="4" t="s">
        <v>581</v>
      </c>
      <c r="D326" s="6">
        <v>0</v>
      </c>
      <c r="E326" s="7">
        <v>2715.2732432432431</v>
      </c>
      <c r="F326" s="4">
        <v>0</v>
      </c>
      <c r="G326" s="9">
        <v>0</v>
      </c>
      <c r="H326" s="4" t="s">
        <v>17</v>
      </c>
      <c r="I326" s="4" t="s">
        <v>22</v>
      </c>
      <c r="J326" s="8">
        <v>415.06</v>
      </c>
    </row>
    <row r="327" spans="1:10" x14ac:dyDescent="0.3">
      <c r="A327" s="4">
        <v>1339</v>
      </c>
      <c r="B327" s="4" t="s">
        <v>390</v>
      </c>
      <c r="C327" s="4" t="s">
        <v>576</v>
      </c>
      <c r="D327" s="6">
        <v>2.0217391304347827</v>
      </c>
      <c r="E327" s="7">
        <v>4507.5</v>
      </c>
      <c r="F327" s="4">
        <v>0</v>
      </c>
      <c r="G327" s="9">
        <v>9112.9891304347839</v>
      </c>
      <c r="H327" s="4" t="s">
        <v>39</v>
      </c>
      <c r="I327" s="4" t="s">
        <v>15</v>
      </c>
      <c r="J327" s="8">
        <v>2552.65</v>
      </c>
    </row>
    <row r="328" spans="1:10" x14ac:dyDescent="0.3">
      <c r="A328" s="4">
        <v>1340</v>
      </c>
      <c r="B328" s="4" t="s">
        <v>391</v>
      </c>
      <c r="C328" s="4" t="s">
        <v>574</v>
      </c>
      <c r="D328" s="6">
        <v>2</v>
      </c>
      <c r="E328" s="7">
        <v>2592.8782222222212</v>
      </c>
      <c r="F328" s="4">
        <v>0.06</v>
      </c>
      <c r="G328" s="9">
        <v>4874.6110577777754</v>
      </c>
      <c r="H328" s="4" t="s">
        <v>21</v>
      </c>
      <c r="I328" s="4" t="s">
        <v>15</v>
      </c>
      <c r="J328" s="8">
        <v>1282.27</v>
      </c>
    </row>
    <row r="329" spans="1:10" x14ac:dyDescent="0.3">
      <c r="A329" s="4">
        <v>1341</v>
      </c>
      <c r="B329" s="4" t="s">
        <v>392</v>
      </c>
      <c r="C329" s="4" t="s">
        <v>578</v>
      </c>
      <c r="D329" s="6">
        <v>-1</v>
      </c>
      <c r="E329" s="7">
        <v>3074.06</v>
      </c>
      <c r="F329" s="4">
        <v>1.24</v>
      </c>
      <c r="G329" s="9">
        <v>737.77440000000001</v>
      </c>
      <c r="H329" s="4" t="s">
        <v>17</v>
      </c>
      <c r="I329" s="4" t="s">
        <v>15</v>
      </c>
      <c r="J329" s="8">
        <v>2634.42</v>
      </c>
    </row>
    <row r="330" spans="1:10" x14ac:dyDescent="0.3">
      <c r="A330" s="4">
        <v>1342</v>
      </c>
      <c r="B330" s="4" t="s">
        <v>393</v>
      </c>
      <c r="C330" s="4" t="s">
        <v>577</v>
      </c>
      <c r="D330" s="6">
        <v>-1</v>
      </c>
      <c r="E330" s="7">
        <v>4707.2</v>
      </c>
      <c r="F330" s="4">
        <v>0</v>
      </c>
      <c r="G330" s="9">
        <v>-4707.2</v>
      </c>
      <c r="H330" s="4" t="s">
        <v>45</v>
      </c>
      <c r="I330" s="4" t="s">
        <v>22</v>
      </c>
      <c r="J330" s="8">
        <v>1395.82</v>
      </c>
    </row>
    <row r="331" spans="1:10" x14ac:dyDescent="0.3">
      <c r="A331" s="4">
        <v>1343</v>
      </c>
      <c r="B331" s="4" t="s">
        <v>394</v>
      </c>
      <c r="C331" s="4" t="s">
        <v>585</v>
      </c>
      <c r="D331" s="6">
        <v>2</v>
      </c>
      <c r="E331" s="7">
        <v>4012.48</v>
      </c>
      <c r="F331" s="4">
        <v>0</v>
      </c>
      <c r="G331" s="9">
        <v>8024.96</v>
      </c>
      <c r="H331" s="4" t="s">
        <v>21</v>
      </c>
      <c r="I331" s="4" t="s">
        <v>15</v>
      </c>
      <c r="J331" s="8">
        <v>730.98</v>
      </c>
    </row>
    <row r="332" spans="1:10" x14ac:dyDescent="0.3">
      <c r="A332" s="4">
        <v>1344</v>
      </c>
      <c r="B332" s="4" t="s">
        <v>395</v>
      </c>
      <c r="C332" s="4" t="s">
        <v>574</v>
      </c>
      <c r="D332" s="6">
        <v>4</v>
      </c>
      <c r="E332" s="7">
        <v>3386.91</v>
      </c>
      <c r="F332" s="4">
        <v>0</v>
      </c>
      <c r="G332" s="9">
        <v>13547.64</v>
      </c>
      <c r="H332" s="4" t="s">
        <v>21</v>
      </c>
      <c r="I332" s="4" t="s">
        <v>15</v>
      </c>
      <c r="J332" s="8">
        <v>2006.17</v>
      </c>
    </row>
    <row r="333" spans="1:10" x14ac:dyDescent="0.3">
      <c r="A333" s="4">
        <v>1346</v>
      </c>
      <c r="B333" s="4" t="s">
        <v>397</v>
      </c>
      <c r="C333" s="4" t="s">
        <v>578</v>
      </c>
      <c r="D333" s="6">
        <v>-2</v>
      </c>
      <c r="E333" s="7">
        <v>1622.65</v>
      </c>
      <c r="F333" s="4">
        <v>0</v>
      </c>
      <c r="G333" s="9">
        <v>-3245.3</v>
      </c>
      <c r="H333" s="4" t="s">
        <v>21</v>
      </c>
      <c r="I333" s="4" t="s">
        <v>15</v>
      </c>
      <c r="J333" s="8">
        <v>-891.76</v>
      </c>
    </row>
    <row r="334" spans="1:10" x14ac:dyDescent="0.3">
      <c r="A334" s="4">
        <v>1348</v>
      </c>
      <c r="B334" s="4" t="s">
        <v>399</v>
      </c>
      <c r="C334" s="4" t="s">
        <v>579</v>
      </c>
      <c r="D334" s="6">
        <v>2</v>
      </c>
      <c r="E334" s="7">
        <v>1219.2</v>
      </c>
      <c r="F334" s="4">
        <v>1.17</v>
      </c>
      <c r="G334" s="9">
        <v>-414.52799999999985</v>
      </c>
      <c r="H334" s="4" t="s">
        <v>552</v>
      </c>
      <c r="I334" s="4" t="s">
        <v>22</v>
      </c>
      <c r="J334" s="8">
        <v>2694.39</v>
      </c>
    </row>
    <row r="335" spans="1:10" x14ac:dyDescent="0.3">
      <c r="A335" s="4">
        <v>1349</v>
      </c>
      <c r="B335" s="4" t="s">
        <v>400</v>
      </c>
      <c r="C335" s="4" t="s">
        <v>587</v>
      </c>
      <c r="D335" s="6">
        <v>-2</v>
      </c>
      <c r="E335" s="7">
        <v>2952.3559374999995</v>
      </c>
      <c r="F335" s="4">
        <v>0.82</v>
      </c>
      <c r="G335" s="9">
        <v>-1062.8481375000001</v>
      </c>
      <c r="H335" s="4" t="s">
        <v>45</v>
      </c>
      <c r="I335" s="4" t="s">
        <v>22</v>
      </c>
      <c r="J335" s="8">
        <v>2085.75</v>
      </c>
    </row>
    <row r="336" spans="1:10" x14ac:dyDescent="0.3">
      <c r="A336" s="4">
        <v>1351</v>
      </c>
      <c r="B336" s="4" t="s">
        <v>402</v>
      </c>
      <c r="C336" s="4" t="s">
        <v>578</v>
      </c>
      <c r="D336" s="6">
        <v>1.5517241379310345</v>
      </c>
      <c r="E336" s="7">
        <v>2676.5783333333325</v>
      </c>
      <c r="F336" s="4">
        <v>0</v>
      </c>
      <c r="G336" s="9">
        <v>4153.3112068965502</v>
      </c>
      <c r="H336" s="4" t="s">
        <v>552</v>
      </c>
      <c r="I336" s="4" t="s">
        <v>15</v>
      </c>
      <c r="J336" s="8">
        <v>2621.66</v>
      </c>
    </row>
    <row r="337" spans="1:10" x14ac:dyDescent="0.3">
      <c r="A337" s="4">
        <v>1354</v>
      </c>
      <c r="B337" s="4" t="s">
        <v>562</v>
      </c>
      <c r="C337" s="4" t="s">
        <v>574</v>
      </c>
      <c r="D337" s="6">
        <v>1</v>
      </c>
      <c r="E337" s="7">
        <v>2592.8782222222212</v>
      </c>
      <c r="F337" s="4">
        <v>0</v>
      </c>
      <c r="G337" s="9">
        <v>2592.8782222222212</v>
      </c>
      <c r="H337" s="4" t="s">
        <v>17</v>
      </c>
      <c r="I337" s="4" t="s">
        <v>15</v>
      </c>
      <c r="J337" s="8">
        <v>-678.38</v>
      </c>
    </row>
    <row r="338" spans="1:10" x14ac:dyDescent="0.3">
      <c r="A338" s="4">
        <v>1355</v>
      </c>
      <c r="B338" s="4" t="s">
        <v>406</v>
      </c>
      <c r="C338" s="4" t="s">
        <v>584</v>
      </c>
      <c r="D338" s="6">
        <v>1</v>
      </c>
      <c r="E338" s="7">
        <v>1054.69</v>
      </c>
      <c r="F338" s="4">
        <v>0.18</v>
      </c>
      <c r="G338" s="9">
        <v>864.84580000000005</v>
      </c>
      <c r="H338" s="4" t="s">
        <v>21</v>
      </c>
      <c r="I338" s="4" t="s">
        <v>22</v>
      </c>
      <c r="J338" s="8">
        <v>698.05</v>
      </c>
    </row>
    <row r="339" spans="1:10" x14ac:dyDescent="0.3">
      <c r="A339" s="4">
        <v>1356</v>
      </c>
      <c r="B339" s="4" t="s">
        <v>407</v>
      </c>
      <c r="C339" s="4" t="s">
        <v>583</v>
      </c>
      <c r="D339" s="6">
        <v>1.675</v>
      </c>
      <c r="E339" s="7">
        <v>2418.5500000000002</v>
      </c>
      <c r="F339" s="4">
        <v>0.88</v>
      </c>
      <c r="G339" s="9">
        <v>486.12855000000002</v>
      </c>
      <c r="H339" s="4" t="s">
        <v>17</v>
      </c>
      <c r="I339" s="4" t="s">
        <v>15</v>
      </c>
      <c r="J339" s="8">
        <v>428.96</v>
      </c>
    </row>
    <row r="340" spans="1:10" x14ac:dyDescent="0.3">
      <c r="A340" s="4">
        <v>1357</v>
      </c>
      <c r="B340" s="4" t="s">
        <v>408</v>
      </c>
      <c r="C340" s="4" t="s">
        <v>566</v>
      </c>
      <c r="D340" s="6">
        <v>1.675</v>
      </c>
      <c r="E340" s="7">
        <v>1128.57</v>
      </c>
      <c r="F340" s="4">
        <v>0.39</v>
      </c>
      <c r="G340" s="9">
        <v>1153.1163974999999</v>
      </c>
      <c r="H340" s="4" t="s">
        <v>552</v>
      </c>
      <c r="I340" s="4" t="s">
        <v>15</v>
      </c>
      <c r="J340" s="8">
        <v>684.88</v>
      </c>
    </row>
    <row r="341" spans="1:10" x14ac:dyDescent="0.3">
      <c r="A341" s="4">
        <v>1358</v>
      </c>
      <c r="B341" s="4" t="s">
        <v>409</v>
      </c>
      <c r="C341" s="4" t="s">
        <v>572</v>
      </c>
      <c r="D341" s="6">
        <v>2.5249999999999999</v>
      </c>
      <c r="E341" s="7">
        <v>2755.6936585365856</v>
      </c>
      <c r="F341" s="4">
        <v>1.23</v>
      </c>
      <c r="G341" s="9">
        <v>-1600.369092195122</v>
      </c>
      <c r="H341" s="4" t="s">
        <v>39</v>
      </c>
      <c r="I341" s="4" t="s">
        <v>15</v>
      </c>
      <c r="J341" s="8">
        <v>1347.26</v>
      </c>
    </row>
    <row r="342" spans="1:10" x14ac:dyDescent="0.3">
      <c r="A342" s="4">
        <v>1359</v>
      </c>
      <c r="B342" s="4" t="s">
        <v>410</v>
      </c>
      <c r="C342" s="4" t="s">
        <v>569</v>
      </c>
      <c r="D342" s="6">
        <v>1.5813953488372092</v>
      </c>
      <c r="E342" s="7">
        <v>4625.84</v>
      </c>
      <c r="F342" s="4">
        <v>0</v>
      </c>
      <c r="G342" s="9">
        <v>7315.2818604651166</v>
      </c>
      <c r="H342" s="4" t="s">
        <v>21</v>
      </c>
      <c r="I342" s="4" t="s">
        <v>15</v>
      </c>
      <c r="J342" s="8">
        <v>1663.88</v>
      </c>
    </row>
    <row r="343" spans="1:10" x14ac:dyDescent="0.3">
      <c r="A343" s="4">
        <v>1360</v>
      </c>
      <c r="B343" s="4" t="s">
        <v>411</v>
      </c>
      <c r="C343" s="4" t="s">
        <v>570</v>
      </c>
      <c r="D343" s="6">
        <v>2</v>
      </c>
      <c r="E343" s="7">
        <v>2592.8782222222212</v>
      </c>
      <c r="F343" s="4">
        <v>1.1299999999999999</v>
      </c>
      <c r="G343" s="9">
        <v>-674.14833777777699</v>
      </c>
      <c r="H343" s="4" t="s">
        <v>14</v>
      </c>
      <c r="I343" s="4" t="s">
        <v>15</v>
      </c>
      <c r="J343" s="8">
        <v>1316.73</v>
      </c>
    </row>
    <row r="344" spans="1:10" x14ac:dyDescent="0.3">
      <c r="A344" s="4">
        <v>1361</v>
      </c>
      <c r="B344" s="4" t="s">
        <v>412</v>
      </c>
      <c r="C344" s="4" t="s">
        <v>579</v>
      </c>
      <c r="D344" s="6">
        <v>1.5813953488372092</v>
      </c>
      <c r="E344" s="7">
        <v>2715.2732432432431</v>
      </c>
      <c r="F344" s="4">
        <v>0</v>
      </c>
      <c r="G344" s="9">
        <v>4293.9204776869892</v>
      </c>
      <c r="H344" s="4" t="s">
        <v>21</v>
      </c>
      <c r="I344" s="4" t="s">
        <v>15</v>
      </c>
      <c r="J344" s="8">
        <v>528.79999999999995</v>
      </c>
    </row>
    <row r="345" spans="1:10" x14ac:dyDescent="0.3">
      <c r="A345" s="4">
        <v>1362</v>
      </c>
      <c r="B345" s="4" t="s">
        <v>413</v>
      </c>
      <c r="C345" s="4" t="s">
        <v>579</v>
      </c>
      <c r="D345" s="6">
        <v>-1</v>
      </c>
      <c r="E345" s="7">
        <v>4953.0200000000004</v>
      </c>
      <c r="F345" s="4">
        <v>0</v>
      </c>
      <c r="G345" s="9">
        <v>-4953.0200000000004</v>
      </c>
      <c r="H345" s="4" t="s">
        <v>17</v>
      </c>
      <c r="I345" s="4" t="s">
        <v>15</v>
      </c>
      <c r="J345" s="8">
        <v>-499.33</v>
      </c>
    </row>
    <row r="346" spans="1:10" x14ac:dyDescent="0.3">
      <c r="A346" s="4">
        <v>1363</v>
      </c>
      <c r="B346" s="4" t="s">
        <v>414</v>
      </c>
      <c r="C346" s="4" t="s">
        <v>584</v>
      </c>
      <c r="D346" s="6">
        <v>6</v>
      </c>
      <c r="E346" s="7">
        <v>2878.0747619047615</v>
      </c>
      <c r="F346" s="4">
        <v>0</v>
      </c>
      <c r="G346" s="9">
        <v>17268.448571428569</v>
      </c>
      <c r="H346" s="4" t="s">
        <v>21</v>
      </c>
      <c r="I346" s="4" t="s">
        <v>22</v>
      </c>
      <c r="J346" s="8">
        <v>2143.4</v>
      </c>
    </row>
    <row r="347" spans="1:10" x14ac:dyDescent="0.3">
      <c r="A347" s="4">
        <v>1364</v>
      </c>
      <c r="B347" s="4" t="s">
        <v>415</v>
      </c>
      <c r="C347" s="4" t="s">
        <v>579</v>
      </c>
      <c r="D347" s="6">
        <v>1.5813953488372092</v>
      </c>
      <c r="E347" s="7">
        <v>2715.2732432432431</v>
      </c>
      <c r="F347" s="4">
        <v>0.01</v>
      </c>
      <c r="G347" s="9">
        <v>4250.9812729101195</v>
      </c>
      <c r="H347" s="4" t="s">
        <v>17</v>
      </c>
      <c r="I347" s="4" t="s">
        <v>15</v>
      </c>
      <c r="J347" s="8">
        <v>1839.35</v>
      </c>
    </row>
    <row r="348" spans="1:10" x14ac:dyDescent="0.3">
      <c r="A348" s="4">
        <v>1365</v>
      </c>
      <c r="B348" s="4" t="s">
        <v>416</v>
      </c>
      <c r="C348" s="4" t="s">
        <v>576</v>
      </c>
      <c r="D348" s="6">
        <v>1</v>
      </c>
      <c r="E348" s="7">
        <v>776.52</v>
      </c>
      <c r="F348" s="4">
        <v>0</v>
      </c>
      <c r="G348" s="9">
        <v>776.52</v>
      </c>
      <c r="H348" s="4" t="s">
        <v>14</v>
      </c>
      <c r="I348" s="4" t="s">
        <v>15</v>
      </c>
      <c r="J348" s="8">
        <v>2757.77</v>
      </c>
    </row>
    <row r="349" spans="1:10" x14ac:dyDescent="0.3">
      <c r="A349" s="4">
        <v>1366</v>
      </c>
      <c r="B349" s="4" t="s">
        <v>417</v>
      </c>
      <c r="C349" s="4" t="s">
        <v>584</v>
      </c>
      <c r="D349" s="6">
        <v>2.0217391304347827</v>
      </c>
      <c r="E349" s="7">
        <v>1927.12</v>
      </c>
      <c r="F349" s="4">
        <v>0.44</v>
      </c>
      <c r="G349" s="9">
        <v>2181.834991304348</v>
      </c>
      <c r="H349" s="4" t="s">
        <v>39</v>
      </c>
      <c r="I349" s="4" t="s">
        <v>15</v>
      </c>
      <c r="J349" s="8">
        <v>928.57</v>
      </c>
    </row>
    <row r="350" spans="1:10" x14ac:dyDescent="0.3">
      <c r="A350" s="4">
        <v>1367</v>
      </c>
      <c r="B350" s="4" t="s">
        <v>418</v>
      </c>
      <c r="C350" s="4" t="s">
        <v>588</v>
      </c>
      <c r="D350" s="6">
        <v>2.5249999999999999</v>
      </c>
      <c r="E350" s="7">
        <v>573.79999999999995</v>
      </c>
      <c r="F350" s="4">
        <v>0</v>
      </c>
      <c r="G350" s="9">
        <v>1448.8449999999998</v>
      </c>
      <c r="H350" s="4" t="s">
        <v>17</v>
      </c>
      <c r="I350" s="4" t="s">
        <v>22</v>
      </c>
      <c r="J350" s="8">
        <v>2546.35</v>
      </c>
    </row>
    <row r="351" spans="1:10" x14ac:dyDescent="0.3">
      <c r="A351" s="4">
        <v>1368</v>
      </c>
      <c r="B351" s="4" t="s">
        <v>419</v>
      </c>
      <c r="C351" s="4" t="s">
        <v>579</v>
      </c>
      <c r="D351" s="6">
        <v>4</v>
      </c>
      <c r="E351" s="7">
        <v>4032.95</v>
      </c>
      <c r="F351" s="4">
        <v>0</v>
      </c>
      <c r="G351" s="9">
        <v>16131.8</v>
      </c>
      <c r="H351" s="4" t="s">
        <v>17</v>
      </c>
      <c r="I351" s="4" t="s">
        <v>15</v>
      </c>
      <c r="J351" s="8">
        <v>-20.09</v>
      </c>
    </row>
    <row r="352" spans="1:10" x14ac:dyDescent="0.3">
      <c r="A352" s="4">
        <v>1369</v>
      </c>
      <c r="B352" s="4" t="s">
        <v>420</v>
      </c>
      <c r="C352" s="4" t="s">
        <v>588</v>
      </c>
      <c r="D352" s="6">
        <v>2.5249999999999999</v>
      </c>
      <c r="E352" s="7">
        <v>2755.6936585365856</v>
      </c>
      <c r="F352" s="4">
        <v>1.1000000000000001</v>
      </c>
      <c r="G352" s="9">
        <v>-695.81264878048853</v>
      </c>
      <c r="H352" s="4" t="s">
        <v>552</v>
      </c>
      <c r="I352" s="4" t="s">
        <v>15</v>
      </c>
      <c r="J352" s="8">
        <v>-844.78</v>
      </c>
    </row>
    <row r="353" spans="1:10" x14ac:dyDescent="0.3">
      <c r="A353" s="4">
        <v>1370</v>
      </c>
      <c r="B353" s="4" t="s">
        <v>421</v>
      </c>
      <c r="C353" s="4" t="s">
        <v>584</v>
      </c>
      <c r="D353" s="6">
        <v>-2</v>
      </c>
      <c r="E353" s="7">
        <v>2345.4899999999998</v>
      </c>
      <c r="F353" s="4">
        <v>1.18</v>
      </c>
      <c r="G353" s="9">
        <v>844.37639999999965</v>
      </c>
      <c r="H353" s="4" t="s">
        <v>552</v>
      </c>
      <c r="I353" s="4" t="s">
        <v>22</v>
      </c>
      <c r="J353" s="8">
        <v>212.66</v>
      </c>
    </row>
    <row r="354" spans="1:10" x14ac:dyDescent="0.3">
      <c r="A354" s="4">
        <v>1371</v>
      </c>
      <c r="B354" s="4" t="s">
        <v>422</v>
      </c>
      <c r="C354" s="4" t="s">
        <v>585</v>
      </c>
      <c r="D354" s="6">
        <v>2</v>
      </c>
      <c r="E354" s="7">
        <v>2592.8782222222212</v>
      </c>
      <c r="F354" s="4">
        <v>0</v>
      </c>
      <c r="G354" s="9">
        <v>5185.7564444444424</v>
      </c>
      <c r="H354" s="4" t="s">
        <v>21</v>
      </c>
      <c r="I354" s="4" t="s">
        <v>22</v>
      </c>
      <c r="J354" s="8">
        <v>72.959999999999994</v>
      </c>
    </row>
    <row r="355" spans="1:10" x14ac:dyDescent="0.3">
      <c r="A355" s="4">
        <v>1372</v>
      </c>
      <c r="B355" s="4" t="s">
        <v>423</v>
      </c>
      <c r="C355" s="4" t="s">
        <v>572</v>
      </c>
      <c r="D355" s="6">
        <v>1</v>
      </c>
      <c r="E355" s="7">
        <v>2755.6936585365856</v>
      </c>
      <c r="F355" s="4">
        <v>0.19</v>
      </c>
      <c r="G355" s="9">
        <v>2232.1118634146346</v>
      </c>
      <c r="H355" s="4" t="s">
        <v>14</v>
      </c>
      <c r="I355" s="4" t="s">
        <v>15</v>
      </c>
      <c r="J355" s="8">
        <v>418.89</v>
      </c>
    </row>
    <row r="356" spans="1:10" x14ac:dyDescent="0.3">
      <c r="A356" s="4">
        <v>1373</v>
      </c>
      <c r="B356" s="4" t="s">
        <v>424</v>
      </c>
      <c r="C356" s="4" t="s">
        <v>587</v>
      </c>
      <c r="D356" s="6">
        <v>-2</v>
      </c>
      <c r="E356" s="7">
        <v>3523.43</v>
      </c>
      <c r="F356" s="4">
        <v>0.19</v>
      </c>
      <c r="G356" s="9">
        <v>-5707.9566000000004</v>
      </c>
      <c r="H356" s="4" t="s">
        <v>14</v>
      </c>
      <c r="I356" s="4" t="s">
        <v>15</v>
      </c>
      <c r="J356" s="8">
        <v>-892.76</v>
      </c>
    </row>
    <row r="357" spans="1:10" x14ac:dyDescent="0.3">
      <c r="A357" s="4">
        <v>1374</v>
      </c>
      <c r="B357" s="4" t="s">
        <v>425</v>
      </c>
      <c r="C357" s="4" t="s">
        <v>579</v>
      </c>
      <c r="D357" s="6">
        <v>1</v>
      </c>
      <c r="E357" s="7">
        <v>2715.2732432432431</v>
      </c>
      <c r="F357" s="4">
        <v>0</v>
      </c>
      <c r="G357" s="9">
        <v>2715.2732432432431</v>
      </c>
      <c r="H357" s="4" t="s">
        <v>39</v>
      </c>
      <c r="I357" s="4" t="s">
        <v>15</v>
      </c>
      <c r="J357" s="8">
        <v>2519.16</v>
      </c>
    </row>
    <row r="358" spans="1:10" x14ac:dyDescent="0.3">
      <c r="A358" s="4">
        <v>1375</v>
      </c>
      <c r="B358" s="4" t="s">
        <v>426</v>
      </c>
      <c r="C358" s="4" t="s">
        <v>574</v>
      </c>
      <c r="D358" s="6">
        <v>3</v>
      </c>
      <c r="E358" s="7">
        <v>420.42</v>
      </c>
      <c r="F358" s="4">
        <v>0</v>
      </c>
      <c r="G358" s="9">
        <v>1261.26</v>
      </c>
      <c r="H358" s="4" t="s">
        <v>552</v>
      </c>
      <c r="I358" s="4" t="s">
        <v>15</v>
      </c>
      <c r="J358" s="8">
        <v>1318.19</v>
      </c>
    </row>
    <row r="359" spans="1:10" x14ac:dyDescent="0.3">
      <c r="A359" s="4">
        <v>1376</v>
      </c>
      <c r="B359" s="4" t="s">
        <v>427</v>
      </c>
      <c r="C359" s="4" t="s">
        <v>588</v>
      </c>
      <c r="D359" s="6">
        <v>4</v>
      </c>
      <c r="E359" s="7">
        <v>1447.28</v>
      </c>
      <c r="F359" s="4">
        <v>0</v>
      </c>
      <c r="G359" s="9">
        <v>5789.12</v>
      </c>
      <c r="H359" s="4" t="s">
        <v>552</v>
      </c>
      <c r="I359" s="4" t="s">
        <v>22</v>
      </c>
      <c r="J359" s="8">
        <v>175.33</v>
      </c>
    </row>
    <row r="360" spans="1:10" x14ac:dyDescent="0.3">
      <c r="A360" s="4">
        <v>1377</v>
      </c>
      <c r="B360" s="4" t="s">
        <v>428</v>
      </c>
      <c r="C360" s="4" t="s">
        <v>583</v>
      </c>
      <c r="D360" s="6">
        <v>0</v>
      </c>
      <c r="E360" s="7">
        <v>2952.3559374999995</v>
      </c>
      <c r="F360" s="4">
        <v>0.65</v>
      </c>
      <c r="G360" s="9">
        <v>0</v>
      </c>
      <c r="H360" s="4" t="s">
        <v>39</v>
      </c>
      <c r="I360" s="4" t="s">
        <v>22</v>
      </c>
      <c r="J360" s="8">
        <v>2229.9499999999998</v>
      </c>
    </row>
    <row r="361" spans="1:10" x14ac:dyDescent="0.3">
      <c r="A361" s="4">
        <v>1378</v>
      </c>
      <c r="B361" s="4" t="s">
        <v>429</v>
      </c>
      <c r="C361" s="4" t="s">
        <v>566</v>
      </c>
      <c r="D361" s="6">
        <v>5</v>
      </c>
      <c r="E361" s="7">
        <v>4581.26</v>
      </c>
      <c r="F361" s="4">
        <v>1.18</v>
      </c>
      <c r="G361" s="9">
        <v>-4123.1339999999991</v>
      </c>
      <c r="H361" s="4" t="s">
        <v>39</v>
      </c>
      <c r="I361" s="4" t="s">
        <v>15</v>
      </c>
      <c r="J361" s="8">
        <v>-345.1</v>
      </c>
    </row>
    <row r="362" spans="1:10" x14ac:dyDescent="0.3">
      <c r="A362" s="4">
        <v>1380</v>
      </c>
      <c r="B362" s="4" t="s">
        <v>431</v>
      </c>
      <c r="C362" s="4" t="s">
        <v>584</v>
      </c>
      <c r="D362" s="6">
        <v>2</v>
      </c>
      <c r="E362" s="7">
        <v>2878.0747619047615</v>
      </c>
      <c r="F362" s="4">
        <v>0</v>
      </c>
      <c r="G362" s="9">
        <v>5756.1495238095231</v>
      </c>
      <c r="H362" s="4" t="s">
        <v>14</v>
      </c>
      <c r="I362" s="4" t="s">
        <v>22</v>
      </c>
      <c r="J362" s="8">
        <v>-475.94</v>
      </c>
    </row>
    <row r="363" spans="1:10" x14ac:dyDescent="0.3">
      <c r="A363" s="4">
        <v>1381</v>
      </c>
      <c r="B363" s="4" t="s">
        <v>432</v>
      </c>
      <c r="C363" s="4" t="s">
        <v>585</v>
      </c>
      <c r="D363" s="6">
        <v>1</v>
      </c>
      <c r="E363" s="7">
        <v>2592.8782222222212</v>
      </c>
      <c r="F363" s="4">
        <v>1.07</v>
      </c>
      <c r="G363" s="9">
        <v>-181.50147555555566</v>
      </c>
      <c r="H363" s="4" t="s">
        <v>39</v>
      </c>
      <c r="I363" s="4" t="s">
        <v>15</v>
      </c>
      <c r="J363" s="8">
        <v>-136.30000000000001</v>
      </c>
    </row>
    <row r="364" spans="1:10" x14ac:dyDescent="0.3">
      <c r="A364" s="4">
        <v>1382</v>
      </c>
      <c r="B364" s="4" t="s">
        <v>433</v>
      </c>
      <c r="C364" s="4" t="s">
        <v>570</v>
      </c>
      <c r="D364" s="6">
        <v>-2</v>
      </c>
      <c r="E364" s="7">
        <v>2592.8782222222212</v>
      </c>
      <c r="F364" s="4">
        <v>0</v>
      </c>
      <c r="G364" s="9">
        <v>-5185.7564444444424</v>
      </c>
      <c r="H364" s="4" t="s">
        <v>39</v>
      </c>
      <c r="I364" s="4" t="s">
        <v>22</v>
      </c>
      <c r="J364" s="8">
        <v>-165.59</v>
      </c>
    </row>
    <row r="365" spans="1:10" x14ac:dyDescent="0.3">
      <c r="A365" s="4">
        <v>1383</v>
      </c>
      <c r="B365" s="4" t="s">
        <v>434</v>
      </c>
      <c r="C365" s="4" t="s">
        <v>576</v>
      </c>
      <c r="D365" s="6">
        <v>5</v>
      </c>
      <c r="E365" s="7">
        <v>2409.13</v>
      </c>
      <c r="F365" s="4">
        <v>0</v>
      </c>
      <c r="G365" s="9">
        <v>12045.650000000001</v>
      </c>
      <c r="H365" s="4" t="s">
        <v>45</v>
      </c>
      <c r="I365" s="4" t="s">
        <v>15</v>
      </c>
      <c r="J365" s="8">
        <v>127.63</v>
      </c>
    </row>
    <row r="366" spans="1:10" x14ac:dyDescent="0.3">
      <c r="A366" s="4">
        <v>1385</v>
      </c>
      <c r="B366" s="4" t="s">
        <v>436</v>
      </c>
      <c r="C366" s="4" t="s">
        <v>577</v>
      </c>
      <c r="D366" s="6">
        <v>1</v>
      </c>
      <c r="E366" s="7">
        <v>2878.0747619047615</v>
      </c>
      <c r="F366" s="4">
        <v>0</v>
      </c>
      <c r="G366" s="9">
        <v>2878.0747619047615</v>
      </c>
      <c r="H366" s="4" t="s">
        <v>39</v>
      </c>
      <c r="I366" s="4" t="s">
        <v>15</v>
      </c>
      <c r="J366" s="8">
        <v>2744.77</v>
      </c>
    </row>
    <row r="367" spans="1:10" x14ac:dyDescent="0.3">
      <c r="A367" s="4">
        <v>1386</v>
      </c>
      <c r="B367" s="4" t="s">
        <v>437</v>
      </c>
      <c r="C367" s="4" t="s">
        <v>582</v>
      </c>
      <c r="D367" s="6">
        <v>5</v>
      </c>
      <c r="E367" s="7">
        <v>4439.8100000000004</v>
      </c>
      <c r="F367" s="4">
        <v>1.1000000000000001</v>
      </c>
      <c r="G367" s="9">
        <v>-2219.9050000000025</v>
      </c>
      <c r="H367" s="4" t="s">
        <v>14</v>
      </c>
      <c r="I367" s="4" t="s">
        <v>22</v>
      </c>
      <c r="J367" s="8">
        <v>1669.09</v>
      </c>
    </row>
    <row r="368" spans="1:10" x14ac:dyDescent="0.3">
      <c r="A368" s="4">
        <v>1387</v>
      </c>
      <c r="B368" s="4" t="s">
        <v>438</v>
      </c>
      <c r="C368" s="4" t="s">
        <v>566</v>
      </c>
      <c r="D368" s="6">
        <v>3</v>
      </c>
      <c r="E368" s="7">
        <v>2952.3559374999995</v>
      </c>
      <c r="F368" s="4">
        <v>0</v>
      </c>
      <c r="G368" s="9">
        <v>8857.0678124999977</v>
      </c>
      <c r="H368" s="4" t="s">
        <v>45</v>
      </c>
      <c r="I368" s="4" t="s">
        <v>15</v>
      </c>
      <c r="J368" s="8">
        <v>-505.47</v>
      </c>
    </row>
    <row r="369" spans="1:10" x14ac:dyDescent="0.3">
      <c r="A369" s="4">
        <v>1388</v>
      </c>
      <c r="B369" s="4" t="s">
        <v>439</v>
      </c>
      <c r="C369" s="4" t="s">
        <v>571</v>
      </c>
      <c r="D369" s="6">
        <v>4</v>
      </c>
      <c r="E369" s="7">
        <v>2878.0747619047615</v>
      </c>
      <c r="F369" s="4">
        <v>0</v>
      </c>
      <c r="G369" s="9">
        <v>11512.299047619046</v>
      </c>
      <c r="H369" s="4" t="s">
        <v>14</v>
      </c>
      <c r="I369" s="4" t="s">
        <v>15</v>
      </c>
      <c r="J369" s="8">
        <v>475.79</v>
      </c>
    </row>
    <row r="370" spans="1:10" x14ac:dyDescent="0.3">
      <c r="A370" s="4">
        <v>1389</v>
      </c>
      <c r="B370" s="4" t="s">
        <v>440</v>
      </c>
      <c r="C370" s="4" t="s">
        <v>577</v>
      </c>
      <c r="D370" s="6">
        <v>2</v>
      </c>
      <c r="E370" s="7">
        <v>2742.38</v>
      </c>
      <c r="F370" s="4">
        <v>0</v>
      </c>
      <c r="G370" s="9">
        <v>5484.76</v>
      </c>
      <c r="H370" s="4" t="s">
        <v>17</v>
      </c>
      <c r="I370" s="4" t="s">
        <v>15</v>
      </c>
      <c r="J370" s="8">
        <v>1987.46</v>
      </c>
    </row>
    <row r="371" spans="1:10" x14ac:dyDescent="0.3">
      <c r="A371" s="4">
        <v>1390</v>
      </c>
      <c r="B371" s="4" t="s">
        <v>441</v>
      </c>
      <c r="C371" s="4" t="s">
        <v>565</v>
      </c>
      <c r="D371" s="6">
        <v>4</v>
      </c>
      <c r="E371" s="7">
        <v>2592.8782222222212</v>
      </c>
      <c r="F371" s="4">
        <v>0</v>
      </c>
      <c r="G371" s="9">
        <v>10371.512888888885</v>
      </c>
      <c r="H371" s="4" t="s">
        <v>45</v>
      </c>
      <c r="I371" s="4" t="s">
        <v>15</v>
      </c>
      <c r="J371" s="8">
        <v>1789.75</v>
      </c>
    </row>
    <row r="372" spans="1:10" x14ac:dyDescent="0.3">
      <c r="A372" s="4">
        <v>1391</v>
      </c>
      <c r="B372" s="4" t="s">
        <v>442</v>
      </c>
      <c r="C372" s="4" t="s">
        <v>578</v>
      </c>
      <c r="D372" s="6">
        <v>0</v>
      </c>
      <c r="E372" s="7">
        <v>2213.79</v>
      </c>
      <c r="F372" s="4">
        <v>0.01</v>
      </c>
      <c r="G372" s="9">
        <v>0</v>
      </c>
      <c r="H372" s="4" t="s">
        <v>552</v>
      </c>
      <c r="I372" s="4" t="s">
        <v>15</v>
      </c>
      <c r="J372" s="8">
        <v>418.24</v>
      </c>
    </row>
    <row r="373" spans="1:10" x14ac:dyDescent="0.3">
      <c r="A373" s="4">
        <v>1393</v>
      </c>
      <c r="B373" s="4" t="s">
        <v>444</v>
      </c>
      <c r="C373" s="4" t="s">
        <v>580</v>
      </c>
      <c r="D373" s="6">
        <v>6</v>
      </c>
      <c r="E373" s="7">
        <v>2952.3559374999995</v>
      </c>
      <c r="F373" s="4">
        <v>0</v>
      </c>
      <c r="G373" s="9">
        <v>17714.135624999995</v>
      </c>
      <c r="H373" s="4" t="s">
        <v>552</v>
      </c>
      <c r="I373" s="4" t="s">
        <v>15</v>
      </c>
      <c r="J373" s="8">
        <v>2001.24</v>
      </c>
    </row>
    <row r="374" spans="1:10" x14ac:dyDescent="0.3">
      <c r="A374" s="4">
        <v>1394</v>
      </c>
      <c r="B374" s="4" t="s">
        <v>445</v>
      </c>
      <c r="C374" s="4" t="s">
        <v>580</v>
      </c>
      <c r="D374" s="6">
        <v>1.675</v>
      </c>
      <c r="E374" s="7">
        <v>1218.6500000000001</v>
      </c>
      <c r="F374" s="4">
        <v>0</v>
      </c>
      <c r="G374" s="9">
        <v>2041.2387500000002</v>
      </c>
      <c r="H374" s="4" t="s">
        <v>552</v>
      </c>
      <c r="I374" s="4" t="s">
        <v>15</v>
      </c>
      <c r="J374" s="8">
        <v>2538.59</v>
      </c>
    </row>
    <row r="375" spans="1:10" x14ac:dyDescent="0.3">
      <c r="A375" s="4">
        <v>1395</v>
      </c>
      <c r="B375" s="4" t="s">
        <v>446</v>
      </c>
      <c r="C375" s="4" t="s">
        <v>577</v>
      </c>
      <c r="D375" s="6">
        <v>2.0217391304347827</v>
      </c>
      <c r="E375" s="7">
        <v>2878.0747619047615</v>
      </c>
      <c r="F375" s="4">
        <v>0</v>
      </c>
      <c r="G375" s="9">
        <v>5818.7163664596264</v>
      </c>
      <c r="H375" s="4" t="s">
        <v>21</v>
      </c>
      <c r="I375" s="4" t="s">
        <v>22</v>
      </c>
      <c r="J375" s="8">
        <v>-357.08</v>
      </c>
    </row>
    <row r="376" spans="1:10" x14ac:dyDescent="0.3">
      <c r="A376" s="4">
        <v>1396</v>
      </c>
      <c r="B376" s="4" t="s">
        <v>447</v>
      </c>
      <c r="C376" s="4" t="s">
        <v>574</v>
      </c>
      <c r="D376" s="6">
        <v>2</v>
      </c>
      <c r="E376" s="7">
        <v>3663.65</v>
      </c>
      <c r="F376" s="4">
        <v>0.26</v>
      </c>
      <c r="G376" s="9">
        <v>5422.2020000000002</v>
      </c>
      <c r="H376" s="4" t="s">
        <v>17</v>
      </c>
      <c r="I376" s="4" t="s">
        <v>22</v>
      </c>
      <c r="J376" s="8">
        <v>1553.44</v>
      </c>
    </row>
    <row r="377" spans="1:10" x14ac:dyDescent="0.3">
      <c r="A377" s="4">
        <v>1397</v>
      </c>
      <c r="B377" s="4" t="s">
        <v>448</v>
      </c>
      <c r="C377" s="4" t="s">
        <v>587</v>
      </c>
      <c r="D377" s="6">
        <v>1.675</v>
      </c>
      <c r="E377" s="7">
        <v>2952.3559374999995</v>
      </c>
      <c r="F377" s="4">
        <v>0</v>
      </c>
      <c r="G377" s="9">
        <v>4945.1961953124992</v>
      </c>
      <c r="H377" s="4" t="s">
        <v>39</v>
      </c>
      <c r="I377" s="4" t="s">
        <v>15</v>
      </c>
      <c r="J377" s="8">
        <v>1239.6199999999999</v>
      </c>
    </row>
    <row r="378" spans="1:10" x14ac:dyDescent="0.3">
      <c r="A378" s="4">
        <v>1398</v>
      </c>
      <c r="B378" s="4" t="s">
        <v>449</v>
      </c>
      <c r="C378" s="4" t="s">
        <v>571</v>
      </c>
      <c r="D378" s="6">
        <v>2.0217391304347827</v>
      </c>
      <c r="E378" s="7">
        <v>2878.0747619047615</v>
      </c>
      <c r="F378" s="4">
        <v>0</v>
      </c>
      <c r="G378" s="9">
        <v>5818.7163664596264</v>
      </c>
      <c r="H378" s="4" t="s">
        <v>552</v>
      </c>
      <c r="I378" s="4" t="s">
        <v>15</v>
      </c>
      <c r="J378" s="8">
        <v>-43.7</v>
      </c>
    </row>
    <row r="379" spans="1:10" x14ac:dyDescent="0.3">
      <c r="A379" s="4">
        <v>1399</v>
      </c>
      <c r="B379" s="4" t="s">
        <v>450</v>
      </c>
      <c r="C379" s="4" t="s">
        <v>583</v>
      </c>
      <c r="D379" s="6">
        <v>4</v>
      </c>
      <c r="E379" s="7">
        <v>2952.3559374999995</v>
      </c>
      <c r="F379" s="4">
        <v>0.35</v>
      </c>
      <c r="G379" s="9">
        <v>7676.125437499999</v>
      </c>
      <c r="H379" s="4" t="s">
        <v>14</v>
      </c>
      <c r="I379" s="4" t="s">
        <v>15</v>
      </c>
      <c r="J379" s="8">
        <v>-444.08</v>
      </c>
    </row>
    <row r="380" spans="1:10" x14ac:dyDescent="0.3">
      <c r="A380" s="4">
        <v>1400</v>
      </c>
      <c r="B380" s="4" t="s">
        <v>451</v>
      </c>
      <c r="C380" s="4" t="s">
        <v>579</v>
      </c>
      <c r="D380" s="6">
        <v>1.5813953488372092</v>
      </c>
      <c r="E380" s="7">
        <v>2715.2732432432431</v>
      </c>
      <c r="F380" s="4">
        <v>0</v>
      </c>
      <c r="G380" s="9">
        <v>4293.9204776869892</v>
      </c>
      <c r="H380" s="4" t="s">
        <v>14</v>
      </c>
      <c r="I380" s="4" t="s">
        <v>15</v>
      </c>
      <c r="J380" s="8">
        <v>1385.55</v>
      </c>
    </row>
    <row r="381" spans="1:10" x14ac:dyDescent="0.3">
      <c r="A381" s="4">
        <v>1401</v>
      </c>
      <c r="B381" s="4" t="s">
        <v>452</v>
      </c>
      <c r="C381" s="4" t="s">
        <v>579</v>
      </c>
      <c r="D381" s="6">
        <v>-2</v>
      </c>
      <c r="E381" s="7">
        <v>2715.2732432432431</v>
      </c>
      <c r="F381" s="4">
        <v>0</v>
      </c>
      <c r="G381" s="9">
        <v>-5430.5464864864862</v>
      </c>
      <c r="H381" s="4" t="s">
        <v>552</v>
      </c>
      <c r="I381" s="4" t="s">
        <v>15</v>
      </c>
      <c r="J381" s="8">
        <v>-751.05</v>
      </c>
    </row>
    <row r="382" spans="1:10" x14ac:dyDescent="0.3">
      <c r="A382" s="4">
        <v>1402</v>
      </c>
      <c r="B382" s="4" t="s">
        <v>453</v>
      </c>
      <c r="C382" s="4" t="s">
        <v>586</v>
      </c>
      <c r="D382" s="6">
        <v>2.5249999999999999</v>
      </c>
      <c r="E382" s="7">
        <v>603.51</v>
      </c>
      <c r="F382" s="4">
        <v>1.23</v>
      </c>
      <c r="G382" s="9">
        <v>-350.48843249999999</v>
      </c>
      <c r="H382" s="4" t="s">
        <v>552</v>
      </c>
      <c r="I382" s="4" t="s">
        <v>15</v>
      </c>
      <c r="J382" s="8">
        <v>982.01</v>
      </c>
    </row>
    <row r="383" spans="1:10" x14ac:dyDescent="0.3">
      <c r="A383" s="4">
        <v>1403</v>
      </c>
      <c r="B383" s="4" t="s">
        <v>454</v>
      </c>
      <c r="C383" s="4" t="s">
        <v>569</v>
      </c>
      <c r="D383" s="6">
        <v>1.5813953488372092</v>
      </c>
      <c r="E383" s="7">
        <v>2715.2732432432431</v>
      </c>
      <c r="F383" s="4">
        <v>0</v>
      </c>
      <c r="G383" s="9">
        <v>4293.9204776869892</v>
      </c>
      <c r="H383" s="4" t="s">
        <v>552</v>
      </c>
      <c r="I383" s="4" t="s">
        <v>15</v>
      </c>
      <c r="J383" s="8">
        <v>2210.0700000000002</v>
      </c>
    </row>
    <row r="384" spans="1:10" x14ac:dyDescent="0.3">
      <c r="A384" s="4">
        <v>1404</v>
      </c>
      <c r="B384" s="4" t="s">
        <v>455</v>
      </c>
      <c r="C384" s="4" t="s">
        <v>586</v>
      </c>
      <c r="D384" s="6">
        <v>2.5249999999999999</v>
      </c>
      <c r="E384" s="7">
        <v>3074.59</v>
      </c>
      <c r="F384" s="4">
        <v>0</v>
      </c>
      <c r="G384" s="9">
        <v>7763.3397500000001</v>
      </c>
      <c r="H384" s="4" t="s">
        <v>39</v>
      </c>
      <c r="I384" s="4" t="s">
        <v>15</v>
      </c>
      <c r="J384" s="8">
        <v>1979.07</v>
      </c>
    </row>
    <row r="385" spans="1:10" x14ac:dyDescent="0.3">
      <c r="A385" s="4">
        <v>1405</v>
      </c>
      <c r="B385" s="4" t="s">
        <v>456</v>
      </c>
      <c r="C385" s="4" t="s">
        <v>576</v>
      </c>
      <c r="D385" s="6">
        <v>2.0217391304347827</v>
      </c>
      <c r="E385" s="7">
        <v>2878.0747619047615</v>
      </c>
      <c r="F385" s="4">
        <v>0.56000000000000005</v>
      </c>
      <c r="G385" s="9">
        <v>2560.2352012422352</v>
      </c>
      <c r="H385" s="4" t="s">
        <v>21</v>
      </c>
      <c r="I385" s="4" t="s">
        <v>15</v>
      </c>
      <c r="J385" s="8">
        <v>2345.6799999999998</v>
      </c>
    </row>
    <row r="386" spans="1:10" x14ac:dyDescent="0.3">
      <c r="A386" s="4">
        <v>1406</v>
      </c>
      <c r="B386" s="4" t="s">
        <v>457</v>
      </c>
      <c r="C386" s="4" t="s">
        <v>576</v>
      </c>
      <c r="D386" s="6">
        <v>2.0217391304347827</v>
      </c>
      <c r="E386" s="7">
        <v>2878.0747619047615</v>
      </c>
      <c r="F386" s="4">
        <v>0</v>
      </c>
      <c r="G386" s="9">
        <v>5818.7163664596264</v>
      </c>
      <c r="H386" s="4" t="s">
        <v>39</v>
      </c>
      <c r="I386" s="4" t="s">
        <v>15</v>
      </c>
      <c r="J386" s="8">
        <v>-863.17</v>
      </c>
    </row>
    <row r="387" spans="1:10" x14ac:dyDescent="0.3">
      <c r="A387" s="4">
        <v>1407</v>
      </c>
      <c r="B387" s="4" t="s">
        <v>458</v>
      </c>
      <c r="C387" s="4" t="s">
        <v>581</v>
      </c>
      <c r="D387" s="6">
        <v>1.5813953488372092</v>
      </c>
      <c r="E387" s="7">
        <v>4977.8100000000004</v>
      </c>
      <c r="F387" s="4">
        <v>0</v>
      </c>
      <c r="G387" s="9">
        <v>7871.8855813953487</v>
      </c>
      <c r="H387" s="4" t="s">
        <v>17</v>
      </c>
      <c r="I387" s="4" t="s">
        <v>22</v>
      </c>
      <c r="J387" s="8">
        <v>2041.12</v>
      </c>
    </row>
    <row r="388" spans="1:10" x14ac:dyDescent="0.3">
      <c r="A388" s="4">
        <v>1408</v>
      </c>
      <c r="B388" s="4" t="s">
        <v>459</v>
      </c>
      <c r="C388" s="4" t="s">
        <v>582</v>
      </c>
      <c r="D388" s="6">
        <v>1.5517241379310345</v>
      </c>
      <c r="E388" s="7">
        <v>2676.5783333333325</v>
      </c>
      <c r="F388" s="4">
        <v>0</v>
      </c>
      <c r="G388" s="9">
        <v>4153.3112068965502</v>
      </c>
      <c r="H388" s="4" t="s">
        <v>21</v>
      </c>
      <c r="I388" s="4" t="s">
        <v>22</v>
      </c>
      <c r="J388" s="8">
        <v>2305.3200000000002</v>
      </c>
    </row>
    <row r="389" spans="1:10" x14ac:dyDescent="0.3">
      <c r="A389" s="4">
        <v>1409</v>
      </c>
      <c r="B389" s="4" t="s">
        <v>460</v>
      </c>
      <c r="C389" s="4" t="s">
        <v>588</v>
      </c>
      <c r="D389" s="6">
        <v>6</v>
      </c>
      <c r="E389" s="7">
        <v>2755.6936585365856</v>
      </c>
      <c r="F389" s="4">
        <v>0</v>
      </c>
      <c r="G389" s="9">
        <v>16534.161951219514</v>
      </c>
      <c r="H389" s="4" t="s">
        <v>45</v>
      </c>
      <c r="I389" s="4" t="s">
        <v>15</v>
      </c>
      <c r="J389" s="8">
        <v>-941.44</v>
      </c>
    </row>
    <row r="390" spans="1:10" x14ac:dyDescent="0.3">
      <c r="A390" s="4">
        <v>1410</v>
      </c>
      <c r="B390" s="4" t="s">
        <v>461</v>
      </c>
      <c r="C390" s="4" t="s">
        <v>585</v>
      </c>
      <c r="D390" s="6">
        <v>6</v>
      </c>
      <c r="E390" s="7">
        <v>4445.8100000000004</v>
      </c>
      <c r="F390" s="4">
        <v>0</v>
      </c>
      <c r="G390" s="9">
        <v>26674.86</v>
      </c>
      <c r="H390" s="4" t="s">
        <v>14</v>
      </c>
      <c r="I390" s="4" t="s">
        <v>15</v>
      </c>
      <c r="J390" s="8">
        <v>-654.59</v>
      </c>
    </row>
    <row r="391" spans="1:10" x14ac:dyDescent="0.3">
      <c r="A391" s="4">
        <v>1411</v>
      </c>
      <c r="B391" s="4" t="s">
        <v>462</v>
      </c>
      <c r="C391" s="4" t="s">
        <v>577</v>
      </c>
      <c r="D391" s="6">
        <v>2.0217391304347827</v>
      </c>
      <c r="E391" s="7">
        <v>4946.7700000000004</v>
      </c>
      <c r="F391" s="4">
        <v>0</v>
      </c>
      <c r="G391" s="9">
        <v>10001.078478260872</v>
      </c>
      <c r="H391" s="4" t="s">
        <v>21</v>
      </c>
      <c r="I391" s="4" t="s">
        <v>15</v>
      </c>
      <c r="J391" s="8">
        <v>1520.19</v>
      </c>
    </row>
    <row r="392" spans="1:10" x14ac:dyDescent="0.3">
      <c r="A392" s="4">
        <v>1412</v>
      </c>
      <c r="B392" s="4" t="s">
        <v>463</v>
      </c>
      <c r="C392" s="4" t="s">
        <v>578</v>
      </c>
      <c r="D392" s="6">
        <v>1.5517241379310345</v>
      </c>
      <c r="E392" s="7">
        <v>2676.5783333333325</v>
      </c>
      <c r="F392" s="4">
        <v>0</v>
      </c>
      <c r="G392" s="9">
        <v>4153.3112068965502</v>
      </c>
      <c r="H392" s="4" t="s">
        <v>552</v>
      </c>
      <c r="I392" s="4" t="s">
        <v>15</v>
      </c>
      <c r="J392" s="8">
        <v>2314.9299999999998</v>
      </c>
    </row>
    <row r="393" spans="1:10" x14ac:dyDescent="0.3">
      <c r="A393" s="4">
        <v>1413</v>
      </c>
      <c r="B393" s="4" t="s">
        <v>464</v>
      </c>
      <c r="C393" s="4" t="s">
        <v>576</v>
      </c>
      <c r="D393" s="6">
        <v>1</v>
      </c>
      <c r="E393" s="7">
        <v>2878.0747619047615</v>
      </c>
      <c r="F393" s="4">
        <v>0.17</v>
      </c>
      <c r="G393" s="9">
        <v>2388.8020523809519</v>
      </c>
      <c r="H393" s="4" t="s">
        <v>17</v>
      </c>
      <c r="I393" s="4" t="s">
        <v>15</v>
      </c>
      <c r="J393" s="8">
        <v>1539.28</v>
      </c>
    </row>
    <row r="394" spans="1:10" x14ac:dyDescent="0.3">
      <c r="A394" s="4">
        <v>1414</v>
      </c>
      <c r="B394" s="4" t="s">
        <v>465</v>
      </c>
      <c r="C394" s="4" t="s">
        <v>573</v>
      </c>
      <c r="D394" s="6">
        <v>1.5813953488372092</v>
      </c>
      <c r="E394" s="7">
        <v>2715.2732432432431</v>
      </c>
      <c r="F394" s="4">
        <v>0</v>
      </c>
      <c r="G394" s="9">
        <v>4293.9204776869892</v>
      </c>
      <c r="H394" s="4" t="s">
        <v>17</v>
      </c>
      <c r="I394" s="4" t="s">
        <v>15</v>
      </c>
      <c r="J394" s="8">
        <v>2843.55</v>
      </c>
    </row>
    <row r="395" spans="1:10" x14ac:dyDescent="0.3">
      <c r="A395" s="4">
        <v>1415</v>
      </c>
      <c r="B395" s="4" t="s">
        <v>466</v>
      </c>
      <c r="C395" s="4" t="s">
        <v>566</v>
      </c>
      <c r="D395" s="6">
        <v>1.675</v>
      </c>
      <c r="E395" s="7">
        <v>3149</v>
      </c>
      <c r="F395" s="4">
        <v>0</v>
      </c>
      <c r="G395" s="9">
        <v>5274.5749999999998</v>
      </c>
      <c r="H395" s="4" t="s">
        <v>39</v>
      </c>
      <c r="I395" s="4" t="s">
        <v>15</v>
      </c>
      <c r="J395" s="8">
        <v>2661.23</v>
      </c>
    </row>
    <row r="396" spans="1:10" x14ac:dyDescent="0.3">
      <c r="A396" s="4">
        <v>1416</v>
      </c>
      <c r="B396" s="4" t="s">
        <v>467</v>
      </c>
      <c r="C396" s="4" t="s">
        <v>586</v>
      </c>
      <c r="D396" s="6">
        <v>2.5249999999999999</v>
      </c>
      <c r="E396" s="7">
        <v>3527.15</v>
      </c>
      <c r="F396" s="4">
        <v>0</v>
      </c>
      <c r="G396" s="9">
        <v>8906.0537499999991</v>
      </c>
      <c r="H396" s="4" t="s">
        <v>552</v>
      </c>
      <c r="I396" s="4" t="s">
        <v>15</v>
      </c>
      <c r="J396" s="8">
        <v>2286.48</v>
      </c>
    </row>
    <row r="397" spans="1:10" x14ac:dyDescent="0.3">
      <c r="A397" s="4">
        <v>1417</v>
      </c>
      <c r="B397" s="4" t="s">
        <v>468</v>
      </c>
      <c r="C397" s="4" t="s">
        <v>577</v>
      </c>
      <c r="D397" s="6">
        <v>2.0217391304347827</v>
      </c>
      <c r="E397" s="7">
        <v>2878.0747619047615</v>
      </c>
      <c r="F397" s="4">
        <v>0</v>
      </c>
      <c r="G397" s="9">
        <v>5818.7163664596264</v>
      </c>
      <c r="H397" s="4" t="s">
        <v>39</v>
      </c>
      <c r="I397" s="4" t="s">
        <v>22</v>
      </c>
      <c r="J397" s="8">
        <v>888.59</v>
      </c>
    </row>
    <row r="398" spans="1:10" x14ac:dyDescent="0.3">
      <c r="A398" s="4">
        <v>1418</v>
      </c>
      <c r="B398" s="4" t="s">
        <v>469</v>
      </c>
      <c r="C398" s="4" t="s">
        <v>584</v>
      </c>
      <c r="D398" s="6">
        <v>2.0217391304347827</v>
      </c>
      <c r="E398" s="7">
        <v>2878.0747619047615</v>
      </c>
      <c r="F398" s="4">
        <v>0.13</v>
      </c>
      <c r="G398" s="9">
        <v>5062.2832388198749</v>
      </c>
      <c r="H398" s="4" t="s">
        <v>39</v>
      </c>
      <c r="I398" s="4" t="s">
        <v>22</v>
      </c>
      <c r="J398" s="8">
        <v>1403.76</v>
      </c>
    </row>
    <row r="399" spans="1:10" x14ac:dyDescent="0.3">
      <c r="A399" s="4">
        <v>1419</v>
      </c>
      <c r="B399" s="4" t="s">
        <v>470</v>
      </c>
      <c r="C399" s="4" t="s">
        <v>580</v>
      </c>
      <c r="D399" s="6">
        <v>2</v>
      </c>
      <c r="E399" s="7">
        <v>2952.3559374999995</v>
      </c>
      <c r="F399" s="4">
        <v>0</v>
      </c>
      <c r="G399" s="9">
        <v>5904.7118749999991</v>
      </c>
      <c r="H399" s="4" t="s">
        <v>552</v>
      </c>
      <c r="I399" s="4" t="s">
        <v>22</v>
      </c>
      <c r="J399" s="8">
        <v>-565.16999999999996</v>
      </c>
    </row>
    <row r="400" spans="1:10" x14ac:dyDescent="0.3">
      <c r="A400" s="4">
        <v>1420</v>
      </c>
      <c r="B400" s="4" t="s">
        <v>471</v>
      </c>
      <c r="C400" s="4" t="s">
        <v>567</v>
      </c>
      <c r="D400" s="6">
        <v>1.5517241379310345</v>
      </c>
      <c r="E400" s="7">
        <v>2676.5783333333325</v>
      </c>
      <c r="F400" s="4">
        <v>0.96</v>
      </c>
      <c r="G400" s="9">
        <v>166.13244827586215</v>
      </c>
      <c r="H400" s="4" t="s">
        <v>17</v>
      </c>
      <c r="I400" s="4" t="s">
        <v>22</v>
      </c>
      <c r="J400" s="8">
        <v>2790.42</v>
      </c>
    </row>
    <row r="401" spans="1:10" x14ac:dyDescent="0.3">
      <c r="A401" s="4">
        <v>1421</v>
      </c>
      <c r="B401" s="4" t="s">
        <v>472</v>
      </c>
      <c r="C401" s="4" t="s">
        <v>579</v>
      </c>
      <c r="D401" s="6">
        <v>0</v>
      </c>
      <c r="E401" s="7">
        <v>2715.2732432432431</v>
      </c>
      <c r="F401" s="4">
        <v>0</v>
      </c>
      <c r="G401" s="9">
        <v>0</v>
      </c>
      <c r="H401" s="4" t="s">
        <v>17</v>
      </c>
      <c r="I401" s="4" t="s">
        <v>15</v>
      </c>
      <c r="J401" s="8">
        <v>575.19000000000005</v>
      </c>
    </row>
    <row r="402" spans="1:10" x14ac:dyDescent="0.3">
      <c r="A402" s="4">
        <v>1422</v>
      </c>
      <c r="B402" s="4" t="s">
        <v>473</v>
      </c>
      <c r="C402" s="4" t="s">
        <v>570</v>
      </c>
      <c r="D402" s="6">
        <v>2</v>
      </c>
      <c r="E402" s="7">
        <v>4466.49</v>
      </c>
      <c r="F402" s="4">
        <v>0</v>
      </c>
      <c r="G402" s="9">
        <v>8932.98</v>
      </c>
      <c r="H402" s="4" t="s">
        <v>17</v>
      </c>
      <c r="I402" s="4" t="s">
        <v>22</v>
      </c>
      <c r="J402" s="8">
        <v>2168.7800000000002</v>
      </c>
    </row>
    <row r="403" spans="1:10" x14ac:dyDescent="0.3">
      <c r="A403" s="4">
        <v>1423</v>
      </c>
      <c r="B403" s="4" t="s">
        <v>474</v>
      </c>
      <c r="C403" s="4" t="s">
        <v>587</v>
      </c>
      <c r="D403" s="6">
        <v>1.675</v>
      </c>
      <c r="E403" s="7">
        <v>2952.3559374999995</v>
      </c>
      <c r="F403" s="4">
        <v>0</v>
      </c>
      <c r="G403" s="9">
        <v>4945.1961953124992</v>
      </c>
      <c r="H403" s="4" t="s">
        <v>552</v>
      </c>
      <c r="I403" s="4" t="s">
        <v>15</v>
      </c>
      <c r="J403" s="8">
        <v>1302.05</v>
      </c>
    </row>
    <row r="404" spans="1:10" x14ac:dyDescent="0.3">
      <c r="A404" s="4">
        <v>1424</v>
      </c>
      <c r="B404" s="4" t="s">
        <v>475</v>
      </c>
      <c r="C404" s="4" t="s">
        <v>579</v>
      </c>
      <c r="D404" s="6">
        <v>-1</v>
      </c>
      <c r="E404" s="7">
        <v>538.6</v>
      </c>
      <c r="F404" s="4">
        <v>1.18</v>
      </c>
      <c r="G404" s="9">
        <v>96.947999999999965</v>
      </c>
      <c r="H404" s="4" t="s">
        <v>552</v>
      </c>
      <c r="I404" s="4" t="s">
        <v>15</v>
      </c>
      <c r="J404" s="8">
        <v>752.81</v>
      </c>
    </row>
    <row r="405" spans="1:10" x14ac:dyDescent="0.3">
      <c r="A405" s="4">
        <v>1425</v>
      </c>
      <c r="B405" s="4" t="s">
        <v>476</v>
      </c>
      <c r="C405" s="4" t="s">
        <v>588</v>
      </c>
      <c r="D405" s="6">
        <v>2.5249999999999999</v>
      </c>
      <c r="E405" s="7">
        <v>1133.73</v>
      </c>
      <c r="F405" s="4">
        <v>0</v>
      </c>
      <c r="G405" s="9">
        <v>2862.6682500000002</v>
      </c>
      <c r="H405" s="4" t="s">
        <v>45</v>
      </c>
      <c r="I405" s="4" t="s">
        <v>22</v>
      </c>
      <c r="J405" s="8">
        <v>2604.14</v>
      </c>
    </row>
    <row r="406" spans="1:10" x14ac:dyDescent="0.3">
      <c r="A406" s="4">
        <v>1426</v>
      </c>
      <c r="B406" s="4" t="s">
        <v>477</v>
      </c>
      <c r="C406" s="4" t="s">
        <v>585</v>
      </c>
      <c r="D406" s="6">
        <v>-2</v>
      </c>
      <c r="E406" s="7">
        <v>3175.17</v>
      </c>
      <c r="F406" s="4">
        <v>0.86</v>
      </c>
      <c r="G406" s="9">
        <v>-889.0476000000001</v>
      </c>
      <c r="H406" s="4" t="s">
        <v>552</v>
      </c>
      <c r="I406" s="4" t="s">
        <v>22</v>
      </c>
      <c r="J406" s="8">
        <v>2860.99</v>
      </c>
    </row>
    <row r="407" spans="1:10" x14ac:dyDescent="0.3">
      <c r="A407" s="4">
        <v>1427</v>
      </c>
      <c r="B407" s="4" t="s">
        <v>478</v>
      </c>
      <c r="C407" s="4" t="s">
        <v>582</v>
      </c>
      <c r="D407" s="6">
        <v>1.5517241379310345</v>
      </c>
      <c r="E407" s="7">
        <v>2676.5783333333325</v>
      </c>
      <c r="F407" s="4">
        <v>0</v>
      </c>
      <c r="G407" s="9">
        <v>4153.3112068965502</v>
      </c>
      <c r="H407" s="4" t="s">
        <v>21</v>
      </c>
      <c r="I407" s="4" t="s">
        <v>15</v>
      </c>
      <c r="J407" s="8">
        <v>2795.17</v>
      </c>
    </row>
    <row r="408" spans="1:10" x14ac:dyDescent="0.3">
      <c r="A408" s="4">
        <v>1429</v>
      </c>
      <c r="B408" s="4" t="s">
        <v>480</v>
      </c>
      <c r="C408" s="4" t="s">
        <v>584</v>
      </c>
      <c r="D408" s="6">
        <v>2.0217391304347827</v>
      </c>
      <c r="E408" s="7">
        <v>3292.01</v>
      </c>
      <c r="F408" s="4">
        <v>0</v>
      </c>
      <c r="G408" s="9">
        <v>6655.5854347826098</v>
      </c>
      <c r="H408" s="4" t="s">
        <v>14</v>
      </c>
      <c r="I408" s="4" t="s">
        <v>22</v>
      </c>
      <c r="J408" s="8">
        <v>-358.22</v>
      </c>
    </row>
    <row r="409" spans="1:10" x14ac:dyDescent="0.3">
      <c r="A409" s="4">
        <v>1430</v>
      </c>
      <c r="B409" s="4" t="s">
        <v>481</v>
      </c>
      <c r="C409" s="4" t="s">
        <v>574</v>
      </c>
      <c r="D409" s="6">
        <v>-2</v>
      </c>
      <c r="E409" s="7">
        <v>2592.8782222222212</v>
      </c>
      <c r="F409" s="4">
        <v>0.67</v>
      </c>
      <c r="G409" s="9">
        <v>-1711.2996266666657</v>
      </c>
      <c r="H409" s="4" t="s">
        <v>45</v>
      </c>
      <c r="I409" s="4" t="s">
        <v>15</v>
      </c>
      <c r="J409" s="8">
        <v>2045.56</v>
      </c>
    </row>
    <row r="410" spans="1:10" x14ac:dyDescent="0.3">
      <c r="A410" s="4">
        <v>1431</v>
      </c>
      <c r="B410" s="4" t="s">
        <v>482</v>
      </c>
      <c r="C410" s="4" t="s">
        <v>586</v>
      </c>
      <c r="D410" s="6">
        <v>2.5249999999999999</v>
      </c>
      <c r="E410" s="7">
        <v>2755.6936585365856</v>
      </c>
      <c r="F410" s="4">
        <v>0</v>
      </c>
      <c r="G410" s="9">
        <v>6958.1264878048787</v>
      </c>
      <c r="H410" s="4" t="s">
        <v>14</v>
      </c>
      <c r="I410" s="4" t="s">
        <v>22</v>
      </c>
      <c r="J410" s="8">
        <v>2191.02</v>
      </c>
    </row>
    <row r="411" spans="1:10" x14ac:dyDescent="0.3">
      <c r="A411" s="4">
        <v>1432</v>
      </c>
      <c r="B411" s="4" t="s">
        <v>483</v>
      </c>
      <c r="C411" s="4" t="s">
        <v>575</v>
      </c>
      <c r="D411" s="6">
        <v>1.5517241379310345</v>
      </c>
      <c r="E411" s="7">
        <v>2676.5783333333325</v>
      </c>
      <c r="F411" s="4">
        <v>0</v>
      </c>
      <c r="G411" s="9">
        <v>4153.3112068965502</v>
      </c>
      <c r="H411" s="4" t="s">
        <v>17</v>
      </c>
      <c r="I411" s="4" t="s">
        <v>22</v>
      </c>
      <c r="J411" s="8">
        <v>-849.15</v>
      </c>
    </row>
    <row r="412" spans="1:10" x14ac:dyDescent="0.3">
      <c r="A412" s="4">
        <v>1433</v>
      </c>
      <c r="B412" s="4" t="s">
        <v>484</v>
      </c>
      <c r="C412" s="4" t="s">
        <v>573</v>
      </c>
      <c r="D412" s="6">
        <v>2</v>
      </c>
      <c r="E412" s="7">
        <v>2715.2732432432431</v>
      </c>
      <c r="F412" s="4">
        <v>0.7</v>
      </c>
      <c r="G412" s="9">
        <v>1629.1639459459461</v>
      </c>
      <c r="H412" s="4" t="s">
        <v>21</v>
      </c>
      <c r="I412" s="4" t="s">
        <v>22</v>
      </c>
      <c r="J412" s="8">
        <v>-878.85</v>
      </c>
    </row>
    <row r="413" spans="1:10" x14ac:dyDescent="0.3">
      <c r="A413" s="4">
        <v>1434</v>
      </c>
      <c r="B413" s="4" t="s">
        <v>485</v>
      </c>
      <c r="C413" s="4" t="s">
        <v>570</v>
      </c>
      <c r="D413" s="6">
        <v>0</v>
      </c>
      <c r="E413" s="7">
        <v>476.2</v>
      </c>
      <c r="F413" s="4">
        <v>1.03</v>
      </c>
      <c r="G413" s="9">
        <v>0</v>
      </c>
      <c r="H413" s="4" t="s">
        <v>552</v>
      </c>
      <c r="I413" s="4" t="s">
        <v>15</v>
      </c>
      <c r="J413" s="8">
        <v>-310.8</v>
      </c>
    </row>
    <row r="414" spans="1:10" x14ac:dyDescent="0.3">
      <c r="A414" s="4">
        <v>1435</v>
      </c>
      <c r="B414" s="4" t="s">
        <v>486</v>
      </c>
      <c r="C414" s="4" t="s">
        <v>579</v>
      </c>
      <c r="D414" s="6">
        <v>3</v>
      </c>
      <c r="E414" s="7">
        <v>2715.2732432432431</v>
      </c>
      <c r="F414" s="4">
        <v>0</v>
      </c>
      <c r="G414" s="9">
        <v>8145.8197297297293</v>
      </c>
      <c r="H414" s="4" t="s">
        <v>552</v>
      </c>
      <c r="I414" s="4" t="s">
        <v>22</v>
      </c>
      <c r="J414" s="8">
        <v>904.65</v>
      </c>
    </row>
    <row r="415" spans="1:10" x14ac:dyDescent="0.3">
      <c r="A415" s="4">
        <v>1436</v>
      </c>
      <c r="B415" s="4" t="s">
        <v>487</v>
      </c>
      <c r="C415" s="4" t="s">
        <v>579</v>
      </c>
      <c r="D415" s="6">
        <v>1.5813953488372092</v>
      </c>
      <c r="E415" s="7">
        <v>2715.2732432432431</v>
      </c>
      <c r="F415" s="4">
        <v>1.26</v>
      </c>
      <c r="G415" s="9">
        <v>-1116.4193241986172</v>
      </c>
      <c r="H415" s="4" t="s">
        <v>17</v>
      </c>
      <c r="I415" s="4" t="s">
        <v>15</v>
      </c>
      <c r="J415" s="8">
        <v>1445.93</v>
      </c>
    </row>
    <row r="416" spans="1:10" x14ac:dyDescent="0.3">
      <c r="A416" s="4">
        <v>1437</v>
      </c>
      <c r="B416" s="4" t="s">
        <v>488</v>
      </c>
      <c r="C416" s="4" t="s">
        <v>570</v>
      </c>
      <c r="D416" s="6">
        <v>0</v>
      </c>
      <c r="E416" s="7">
        <v>3886.3</v>
      </c>
      <c r="F416" s="4">
        <v>0.34</v>
      </c>
      <c r="G416" s="9">
        <v>0</v>
      </c>
      <c r="H416" s="4" t="s">
        <v>14</v>
      </c>
      <c r="I416" s="4" t="s">
        <v>15</v>
      </c>
      <c r="J416" s="8">
        <v>131.47999999999999</v>
      </c>
    </row>
    <row r="417" spans="1:10" x14ac:dyDescent="0.3">
      <c r="A417" s="4">
        <v>1438</v>
      </c>
      <c r="B417" s="4" t="s">
        <v>489</v>
      </c>
      <c r="C417" s="4" t="s">
        <v>577</v>
      </c>
      <c r="D417" s="6">
        <v>2.0217391304347827</v>
      </c>
      <c r="E417" s="7">
        <v>2663.97</v>
      </c>
      <c r="F417" s="4">
        <v>0.84</v>
      </c>
      <c r="G417" s="9">
        <v>861.73638260869575</v>
      </c>
      <c r="H417" s="4" t="s">
        <v>45</v>
      </c>
      <c r="I417" s="4" t="s">
        <v>15</v>
      </c>
      <c r="J417" s="8">
        <v>1014.29</v>
      </c>
    </row>
    <row r="418" spans="1:10" x14ac:dyDescent="0.3">
      <c r="A418" s="4">
        <v>1439</v>
      </c>
      <c r="B418" s="4" t="s">
        <v>490</v>
      </c>
      <c r="C418" s="4" t="s">
        <v>581</v>
      </c>
      <c r="D418" s="6">
        <v>1.5813953488372092</v>
      </c>
      <c r="E418" s="7">
        <v>2715.2732432432431</v>
      </c>
      <c r="F418" s="4">
        <v>0</v>
      </c>
      <c r="G418" s="9">
        <v>4293.9204776869892</v>
      </c>
      <c r="H418" s="4" t="s">
        <v>17</v>
      </c>
      <c r="I418" s="4" t="s">
        <v>22</v>
      </c>
      <c r="J418" s="8">
        <v>726.42</v>
      </c>
    </row>
    <row r="419" spans="1:10" x14ac:dyDescent="0.3">
      <c r="A419" s="4">
        <v>1440</v>
      </c>
      <c r="B419" s="4" t="s">
        <v>491</v>
      </c>
      <c r="C419" s="4" t="s">
        <v>584</v>
      </c>
      <c r="D419" s="6">
        <v>0</v>
      </c>
      <c r="E419" s="7">
        <v>635.12</v>
      </c>
      <c r="F419" s="4">
        <v>0.32</v>
      </c>
      <c r="G419" s="9">
        <v>0</v>
      </c>
      <c r="H419" s="4" t="s">
        <v>552</v>
      </c>
      <c r="I419" s="4" t="s">
        <v>15</v>
      </c>
      <c r="J419" s="8">
        <v>-476.72</v>
      </c>
    </row>
    <row r="420" spans="1:10" x14ac:dyDescent="0.3">
      <c r="A420" s="4">
        <v>1441</v>
      </c>
      <c r="B420" s="4" t="s">
        <v>492</v>
      </c>
      <c r="C420" s="4" t="s">
        <v>565</v>
      </c>
      <c r="D420" s="6">
        <v>2</v>
      </c>
      <c r="E420" s="7">
        <v>2592.8782222222212</v>
      </c>
      <c r="F420" s="4">
        <v>0</v>
      </c>
      <c r="G420" s="9">
        <v>5185.7564444444424</v>
      </c>
      <c r="H420" s="4" t="s">
        <v>39</v>
      </c>
      <c r="I420" s="4" t="s">
        <v>15</v>
      </c>
      <c r="J420" s="8">
        <v>-316.51</v>
      </c>
    </row>
    <row r="421" spans="1:10" x14ac:dyDescent="0.3">
      <c r="A421" s="4">
        <v>1442</v>
      </c>
      <c r="B421" s="4" t="s">
        <v>493</v>
      </c>
      <c r="C421" s="4" t="s">
        <v>578</v>
      </c>
      <c r="D421" s="6">
        <v>0</v>
      </c>
      <c r="E421" s="7">
        <v>3001.28</v>
      </c>
      <c r="F421" s="4">
        <v>0</v>
      </c>
      <c r="G421" s="9">
        <v>0</v>
      </c>
      <c r="H421" s="4" t="s">
        <v>14</v>
      </c>
      <c r="I421" s="4" t="s">
        <v>15</v>
      </c>
      <c r="J421" s="8">
        <v>1218.28</v>
      </c>
    </row>
    <row r="422" spans="1:10" x14ac:dyDescent="0.3">
      <c r="A422" s="4">
        <v>1443</v>
      </c>
      <c r="B422" s="4" t="s">
        <v>494</v>
      </c>
      <c r="C422" s="4" t="s">
        <v>569</v>
      </c>
      <c r="D422" s="6">
        <v>1.5813953488372092</v>
      </c>
      <c r="E422" s="7">
        <v>2715.2732432432431</v>
      </c>
      <c r="F422" s="4">
        <v>0</v>
      </c>
      <c r="G422" s="9">
        <v>4293.9204776869892</v>
      </c>
      <c r="H422" s="4" t="s">
        <v>39</v>
      </c>
      <c r="I422" s="4" t="s">
        <v>15</v>
      </c>
      <c r="J422" s="8">
        <v>2962.6</v>
      </c>
    </row>
    <row r="423" spans="1:10" x14ac:dyDescent="0.3">
      <c r="A423" s="4">
        <v>1444</v>
      </c>
      <c r="B423" s="4" t="s">
        <v>495</v>
      </c>
      <c r="C423" s="4" t="s">
        <v>586</v>
      </c>
      <c r="D423" s="6">
        <v>3</v>
      </c>
      <c r="E423" s="7">
        <v>3452.16</v>
      </c>
      <c r="F423" s="4">
        <v>0</v>
      </c>
      <c r="G423" s="9">
        <v>10356.48</v>
      </c>
      <c r="H423" s="4" t="s">
        <v>21</v>
      </c>
      <c r="I423" s="4" t="s">
        <v>15</v>
      </c>
      <c r="J423" s="8">
        <v>810.8</v>
      </c>
    </row>
    <row r="424" spans="1:10" x14ac:dyDescent="0.3">
      <c r="A424" s="4">
        <v>1445</v>
      </c>
      <c r="B424" s="4" t="s">
        <v>563</v>
      </c>
      <c r="C424" s="4" t="s">
        <v>580</v>
      </c>
      <c r="D424" s="6">
        <v>1.675</v>
      </c>
      <c r="E424" s="7">
        <v>1370.36</v>
      </c>
      <c r="F424" s="4">
        <v>0.54</v>
      </c>
      <c r="G424" s="9">
        <v>1055.86238</v>
      </c>
      <c r="H424" s="4" t="s">
        <v>21</v>
      </c>
      <c r="I424" s="4" t="s">
        <v>15</v>
      </c>
      <c r="J424" s="8">
        <v>2846.13</v>
      </c>
    </row>
    <row r="425" spans="1:10" x14ac:dyDescent="0.3">
      <c r="A425" s="4">
        <v>1446</v>
      </c>
      <c r="B425" s="4" t="s">
        <v>497</v>
      </c>
      <c r="C425" s="4" t="s">
        <v>567</v>
      </c>
      <c r="D425" s="6">
        <v>1.5517241379310345</v>
      </c>
      <c r="E425" s="7">
        <v>2827.68</v>
      </c>
      <c r="F425" s="4">
        <v>0.86</v>
      </c>
      <c r="G425" s="9">
        <v>614.28910344827591</v>
      </c>
      <c r="H425" s="4" t="s">
        <v>14</v>
      </c>
      <c r="I425" s="4" t="s">
        <v>15</v>
      </c>
      <c r="J425" s="8">
        <v>-602.57000000000005</v>
      </c>
    </row>
    <row r="426" spans="1:10" x14ac:dyDescent="0.3">
      <c r="A426" s="4">
        <v>1448</v>
      </c>
      <c r="B426" s="4" t="s">
        <v>499</v>
      </c>
      <c r="C426" s="4" t="s">
        <v>565</v>
      </c>
      <c r="D426" s="6">
        <v>2</v>
      </c>
      <c r="E426" s="7">
        <v>1657.95</v>
      </c>
      <c r="F426" s="4">
        <v>0</v>
      </c>
      <c r="G426" s="9">
        <v>3315.9</v>
      </c>
      <c r="H426" s="4" t="s">
        <v>45</v>
      </c>
      <c r="I426" s="4" t="s">
        <v>22</v>
      </c>
      <c r="J426" s="8">
        <v>1948.49</v>
      </c>
    </row>
    <row r="427" spans="1:10" x14ac:dyDescent="0.3">
      <c r="A427" s="4">
        <v>1449</v>
      </c>
      <c r="B427" s="4" t="s">
        <v>500</v>
      </c>
      <c r="C427" s="4" t="s">
        <v>574</v>
      </c>
      <c r="D427" s="6">
        <v>2</v>
      </c>
      <c r="E427" s="7">
        <v>2855.53</v>
      </c>
      <c r="F427" s="4">
        <v>0.55000000000000004</v>
      </c>
      <c r="G427" s="9">
        <v>2569.9769999999999</v>
      </c>
      <c r="H427" s="4" t="s">
        <v>17</v>
      </c>
      <c r="I427" s="4" t="s">
        <v>15</v>
      </c>
      <c r="J427" s="8">
        <v>2598.7399999999998</v>
      </c>
    </row>
    <row r="428" spans="1:10" x14ac:dyDescent="0.3">
      <c r="A428" s="4">
        <v>1451</v>
      </c>
      <c r="B428" s="4" t="s">
        <v>502</v>
      </c>
      <c r="C428" s="4" t="s">
        <v>578</v>
      </c>
      <c r="D428" s="6">
        <v>1.5517241379310345</v>
      </c>
      <c r="E428" s="7">
        <v>620.64</v>
      </c>
      <c r="F428" s="4">
        <v>0</v>
      </c>
      <c r="G428" s="9">
        <v>963.06206896551726</v>
      </c>
      <c r="H428" s="4" t="s">
        <v>552</v>
      </c>
      <c r="I428" s="4" t="s">
        <v>15</v>
      </c>
      <c r="J428" s="8">
        <v>1553.39</v>
      </c>
    </row>
    <row r="429" spans="1:10" x14ac:dyDescent="0.3">
      <c r="A429" s="4">
        <v>1452</v>
      </c>
      <c r="B429" s="4" t="s">
        <v>503</v>
      </c>
      <c r="C429" s="4" t="s">
        <v>572</v>
      </c>
      <c r="D429" s="6">
        <v>-2</v>
      </c>
      <c r="E429" s="7">
        <v>2660.28</v>
      </c>
      <c r="F429" s="4">
        <v>0.34</v>
      </c>
      <c r="G429" s="9">
        <v>-3511.5695999999998</v>
      </c>
      <c r="H429" s="4" t="s">
        <v>14</v>
      </c>
      <c r="I429" s="4" t="s">
        <v>15</v>
      </c>
      <c r="J429" s="8">
        <v>918.54</v>
      </c>
    </row>
    <row r="430" spans="1:10" x14ac:dyDescent="0.3">
      <c r="A430" s="4">
        <v>1453</v>
      </c>
      <c r="B430" s="4" t="s">
        <v>504</v>
      </c>
      <c r="C430" s="4" t="s">
        <v>574</v>
      </c>
      <c r="D430" s="6">
        <v>0</v>
      </c>
      <c r="E430" s="7">
        <v>2592.8782222222212</v>
      </c>
      <c r="F430" s="4">
        <v>0.18</v>
      </c>
      <c r="G430" s="9">
        <v>0</v>
      </c>
      <c r="H430" s="4" t="s">
        <v>39</v>
      </c>
      <c r="I430" s="4" t="s">
        <v>22</v>
      </c>
      <c r="J430" s="8">
        <v>1465.97</v>
      </c>
    </row>
    <row r="431" spans="1:10" x14ac:dyDescent="0.3">
      <c r="A431" s="4">
        <v>1454</v>
      </c>
      <c r="B431" s="4" t="s">
        <v>505</v>
      </c>
      <c r="C431" s="4" t="s">
        <v>572</v>
      </c>
      <c r="D431" s="6">
        <v>2.5249999999999999</v>
      </c>
      <c r="E431" s="7">
        <v>4523.58</v>
      </c>
      <c r="F431" s="4">
        <v>0</v>
      </c>
      <c r="G431" s="9">
        <v>11422.039499999999</v>
      </c>
      <c r="H431" s="4" t="s">
        <v>45</v>
      </c>
      <c r="I431" s="4" t="s">
        <v>15</v>
      </c>
      <c r="J431" s="8">
        <v>2424.44</v>
      </c>
    </row>
    <row r="432" spans="1:10" x14ac:dyDescent="0.3">
      <c r="A432" s="4">
        <v>1455</v>
      </c>
      <c r="B432" s="4" t="s">
        <v>506</v>
      </c>
      <c r="C432" s="4" t="s">
        <v>579</v>
      </c>
      <c r="D432" s="6">
        <v>1.5813953488372092</v>
      </c>
      <c r="E432" s="7">
        <v>2715.2732432432431</v>
      </c>
      <c r="F432" s="4">
        <v>0</v>
      </c>
      <c r="G432" s="9">
        <v>4293.9204776869892</v>
      </c>
      <c r="H432" s="4" t="s">
        <v>14</v>
      </c>
      <c r="I432" s="4" t="s">
        <v>15</v>
      </c>
      <c r="J432" s="8">
        <v>743.47</v>
      </c>
    </row>
    <row r="433" spans="1:10" x14ac:dyDescent="0.3">
      <c r="A433" s="4">
        <v>1456</v>
      </c>
      <c r="B433" s="4" t="s">
        <v>507</v>
      </c>
      <c r="C433" s="4" t="s">
        <v>581</v>
      </c>
      <c r="D433" s="6">
        <v>2</v>
      </c>
      <c r="E433" s="7">
        <v>2715.2732432432431</v>
      </c>
      <c r="F433" s="4">
        <v>0</v>
      </c>
      <c r="G433" s="9">
        <v>5430.5464864864862</v>
      </c>
      <c r="H433" s="4" t="s">
        <v>39</v>
      </c>
      <c r="I433" s="4" t="s">
        <v>15</v>
      </c>
      <c r="J433" s="8">
        <v>1350.12</v>
      </c>
    </row>
    <row r="434" spans="1:10" x14ac:dyDescent="0.3">
      <c r="A434" s="4">
        <v>1457</v>
      </c>
      <c r="B434" s="4" t="s">
        <v>508</v>
      </c>
      <c r="C434" s="4" t="s">
        <v>586</v>
      </c>
      <c r="D434" s="6">
        <v>0</v>
      </c>
      <c r="E434" s="7">
        <v>2342.25</v>
      </c>
      <c r="F434" s="4">
        <v>0</v>
      </c>
      <c r="G434" s="9">
        <v>0</v>
      </c>
      <c r="H434" s="4" t="s">
        <v>39</v>
      </c>
      <c r="I434" s="4" t="s">
        <v>22</v>
      </c>
      <c r="J434" s="8">
        <v>750.64</v>
      </c>
    </row>
    <row r="435" spans="1:10" x14ac:dyDescent="0.3">
      <c r="A435" s="4">
        <v>1458</v>
      </c>
      <c r="B435" s="4" t="s">
        <v>509</v>
      </c>
      <c r="C435" s="4" t="s">
        <v>566</v>
      </c>
      <c r="D435" s="6">
        <v>6</v>
      </c>
      <c r="E435" s="7">
        <v>2952.3559374999995</v>
      </c>
      <c r="F435" s="4">
        <v>0.27</v>
      </c>
      <c r="G435" s="9">
        <v>12931.319006249996</v>
      </c>
      <c r="H435" s="4" t="s">
        <v>21</v>
      </c>
      <c r="I435" s="4" t="s">
        <v>15</v>
      </c>
      <c r="J435" s="8">
        <v>1877.22</v>
      </c>
    </row>
    <row r="436" spans="1:10" x14ac:dyDescent="0.3">
      <c r="A436" s="4">
        <v>1459</v>
      </c>
      <c r="B436" s="4" t="s">
        <v>510</v>
      </c>
      <c r="C436" s="4" t="s">
        <v>572</v>
      </c>
      <c r="D436" s="6">
        <v>2.5249999999999999</v>
      </c>
      <c r="E436" s="7">
        <v>2494.9899999999998</v>
      </c>
      <c r="F436" s="4">
        <v>0.98</v>
      </c>
      <c r="G436" s="9">
        <v>125.9969950000001</v>
      </c>
      <c r="H436" s="4" t="s">
        <v>45</v>
      </c>
      <c r="I436" s="4" t="s">
        <v>15</v>
      </c>
      <c r="J436" s="8">
        <v>2959.95</v>
      </c>
    </row>
    <row r="437" spans="1:10" x14ac:dyDescent="0.3">
      <c r="A437" s="4">
        <v>1460</v>
      </c>
      <c r="B437" s="4" t="s">
        <v>511</v>
      </c>
      <c r="C437" s="4" t="s">
        <v>587</v>
      </c>
      <c r="D437" s="6">
        <v>1.675</v>
      </c>
      <c r="E437" s="7">
        <v>4264.16</v>
      </c>
      <c r="F437" s="4">
        <v>0</v>
      </c>
      <c r="G437" s="9">
        <v>7142.4679999999998</v>
      </c>
      <c r="H437" s="4" t="s">
        <v>14</v>
      </c>
      <c r="I437" s="4" t="s">
        <v>22</v>
      </c>
      <c r="J437" s="8">
        <v>921.96</v>
      </c>
    </row>
    <row r="438" spans="1:10" x14ac:dyDescent="0.3">
      <c r="A438" s="4">
        <v>1461</v>
      </c>
      <c r="B438" s="4" t="s">
        <v>512</v>
      </c>
      <c r="C438" s="4" t="s">
        <v>571</v>
      </c>
      <c r="D438" s="6">
        <v>2.0217391304347827</v>
      </c>
      <c r="E438" s="7">
        <v>2708.35</v>
      </c>
      <c r="F438" s="4">
        <v>1.06</v>
      </c>
      <c r="G438" s="9">
        <v>-328.53463043478291</v>
      </c>
      <c r="H438" s="4" t="s">
        <v>552</v>
      </c>
      <c r="I438" s="4" t="s">
        <v>15</v>
      </c>
      <c r="J438" s="8">
        <v>941.87</v>
      </c>
    </row>
    <row r="439" spans="1:10" x14ac:dyDescent="0.3">
      <c r="A439" s="4">
        <v>1462</v>
      </c>
      <c r="B439" s="4" t="s">
        <v>513</v>
      </c>
      <c r="C439" s="4" t="s">
        <v>566</v>
      </c>
      <c r="D439" s="6">
        <v>-1</v>
      </c>
      <c r="E439" s="7">
        <v>2952.3559374999995</v>
      </c>
      <c r="F439" s="4">
        <v>0</v>
      </c>
      <c r="G439" s="9">
        <v>-2952.3559374999995</v>
      </c>
      <c r="H439" s="4" t="s">
        <v>14</v>
      </c>
      <c r="I439" s="4" t="s">
        <v>15</v>
      </c>
      <c r="J439" s="8">
        <v>372.63</v>
      </c>
    </row>
    <row r="440" spans="1:10" x14ac:dyDescent="0.3">
      <c r="A440" s="4">
        <v>1463</v>
      </c>
      <c r="B440" s="4" t="s">
        <v>514</v>
      </c>
      <c r="C440" s="4" t="s">
        <v>577</v>
      </c>
      <c r="D440" s="6">
        <v>1</v>
      </c>
      <c r="E440" s="7">
        <v>4606.09</v>
      </c>
      <c r="F440" s="4">
        <v>1.1200000000000001</v>
      </c>
      <c r="G440" s="9">
        <v>-552.7308000000005</v>
      </c>
      <c r="H440" s="4" t="s">
        <v>14</v>
      </c>
      <c r="I440" s="4" t="s">
        <v>22</v>
      </c>
      <c r="J440" s="8">
        <v>-877.13</v>
      </c>
    </row>
    <row r="441" spans="1:10" x14ac:dyDescent="0.3">
      <c r="A441" s="4">
        <v>1464</v>
      </c>
      <c r="B441" s="4" t="s">
        <v>515</v>
      </c>
      <c r="C441" s="4" t="s">
        <v>577</v>
      </c>
      <c r="D441" s="6">
        <v>2.0217391304347827</v>
      </c>
      <c r="E441" s="7">
        <v>2878.0747619047615</v>
      </c>
      <c r="F441" s="4">
        <v>0</v>
      </c>
      <c r="G441" s="9">
        <v>5818.7163664596264</v>
      </c>
      <c r="H441" s="4" t="s">
        <v>39</v>
      </c>
      <c r="I441" s="4" t="s">
        <v>15</v>
      </c>
      <c r="J441" s="8">
        <v>837.3</v>
      </c>
    </row>
    <row r="442" spans="1:10" x14ac:dyDescent="0.3">
      <c r="A442" s="4">
        <v>1465</v>
      </c>
      <c r="B442" s="4" t="s">
        <v>516</v>
      </c>
      <c r="C442" s="4" t="s">
        <v>568</v>
      </c>
      <c r="D442" s="6">
        <v>-2</v>
      </c>
      <c r="E442" s="7">
        <v>2215.4</v>
      </c>
      <c r="F442" s="4">
        <v>0.96</v>
      </c>
      <c r="G442" s="9">
        <v>-177.23200000000017</v>
      </c>
      <c r="H442" s="4" t="s">
        <v>552</v>
      </c>
      <c r="I442" s="4" t="s">
        <v>15</v>
      </c>
      <c r="J442" s="8">
        <v>-85.73</v>
      </c>
    </row>
    <row r="443" spans="1:10" x14ac:dyDescent="0.3">
      <c r="A443" s="4">
        <v>1468</v>
      </c>
      <c r="B443" s="4" t="s">
        <v>519</v>
      </c>
      <c r="C443" s="4" t="s">
        <v>581</v>
      </c>
      <c r="D443" s="6">
        <v>1.5813953488372092</v>
      </c>
      <c r="E443" s="7">
        <v>3332.84</v>
      </c>
      <c r="F443" s="4">
        <v>0.27</v>
      </c>
      <c r="G443" s="9">
        <v>3847.492502325581</v>
      </c>
      <c r="H443" s="4" t="s">
        <v>17</v>
      </c>
      <c r="I443" s="4" t="s">
        <v>15</v>
      </c>
      <c r="J443" s="8">
        <v>733.66</v>
      </c>
    </row>
    <row r="444" spans="1:10" x14ac:dyDescent="0.3">
      <c r="A444" s="4">
        <v>1469</v>
      </c>
      <c r="B444" s="4" t="s">
        <v>520</v>
      </c>
      <c r="C444" s="4" t="s">
        <v>577</v>
      </c>
      <c r="D444" s="6">
        <v>2.0217391304347827</v>
      </c>
      <c r="E444" s="7">
        <v>2665.7</v>
      </c>
      <c r="F444" s="4">
        <v>0.49</v>
      </c>
      <c r="G444" s="9">
        <v>2748.5684999999999</v>
      </c>
      <c r="H444" s="4" t="s">
        <v>39</v>
      </c>
      <c r="I444" s="4" t="s">
        <v>22</v>
      </c>
      <c r="J444" s="8">
        <v>1644.72</v>
      </c>
    </row>
    <row r="445" spans="1:10" x14ac:dyDescent="0.3">
      <c r="A445" s="4">
        <v>1470</v>
      </c>
      <c r="B445" s="4" t="s">
        <v>521</v>
      </c>
      <c r="C445" s="4" t="s">
        <v>573</v>
      </c>
      <c r="D445" s="6">
        <v>-1</v>
      </c>
      <c r="E445" s="7">
        <v>1376.54</v>
      </c>
      <c r="F445" s="4">
        <v>0</v>
      </c>
      <c r="G445" s="9">
        <v>-1376.54</v>
      </c>
      <c r="H445" s="4" t="s">
        <v>552</v>
      </c>
      <c r="I445" s="4" t="s">
        <v>15</v>
      </c>
      <c r="J445" s="8">
        <v>0.59</v>
      </c>
    </row>
    <row r="446" spans="1:10" x14ac:dyDescent="0.3">
      <c r="A446" s="4">
        <v>1471</v>
      </c>
      <c r="B446" s="4" t="s">
        <v>522</v>
      </c>
      <c r="C446" s="4" t="s">
        <v>568</v>
      </c>
      <c r="D446" s="6">
        <v>-2</v>
      </c>
      <c r="E446" s="7">
        <v>4882.03</v>
      </c>
      <c r="F446" s="4">
        <v>0.23</v>
      </c>
      <c r="G446" s="9">
        <v>-7518.3261999999995</v>
      </c>
      <c r="H446" s="4" t="s">
        <v>552</v>
      </c>
      <c r="I446" s="4" t="s">
        <v>15</v>
      </c>
      <c r="J446" s="8">
        <v>-605.66999999999996</v>
      </c>
    </row>
    <row r="447" spans="1:10" x14ac:dyDescent="0.3">
      <c r="A447" s="4">
        <v>1472</v>
      </c>
      <c r="B447" s="4" t="s">
        <v>523</v>
      </c>
      <c r="C447" s="4" t="s">
        <v>568</v>
      </c>
      <c r="D447" s="6">
        <v>2.5249999999999999</v>
      </c>
      <c r="E447" s="7">
        <v>2755.6936585365856</v>
      </c>
      <c r="F447" s="4">
        <v>1.01</v>
      </c>
      <c r="G447" s="9">
        <v>-69.581264878048856</v>
      </c>
      <c r="H447" s="4" t="s">
        <v>21</v>
      </c>
      <c r="I447" s="4" t="s">
        <v>15</v>
      </c>
      <c r="J447" s="8">
        <v>-69.28</v>
      </c>
    </row>
    <row r="448" spans="1:10" x14ac:dyDescent="0.3">
      <c r="A448" s="4">
        <v>1473</v>
      </c>
      <c r="B448" s="4" t="s">
        <v>524</v>
      </c>
      <c r="C448" s="4" t="s">
        <v>581</v>
      </c>
      <c r="D448" s="6">
        <v>1.5813953488372092</v>
      </c>
      <c r="E448" s="7">
        <v>2715.2732432432431</v>
      </c>
      <c r="F448" s="4">
        <v>0.08</v>
      </c>
      <c r="G448" s="9">
        <v>3950.4068394720302</v>
      </c>
      <c r="H448" s="4" t="s">
        <v>39</v>
      </c>
      <c r="I448" s="4" t="s">
        <v>15</v>
      </c>
      <c r="J448" s="8">
        <v>1769.11</v>
      </c>
    </row>
    <row r="449" spans="1:10" x14ac:dyDescent="0.3">
      <c r="A449" s="4">
        <v>1474</v>
      </c>
      <c r="B449" s="4" t="s">
        <v>525</v>
      </c>
      <c r="C449" s="4" t="s">
        <v>583</v>
      </c>
      <c r="D449" s="6">
        <v>4</v>
      </c>
      <c r="E449" s="7">
        <v>2952.3559374999995</v>
      </c>
      <c r="F449" s="4">
        <v>0</v>
      </c>
      <c r="G449" s="9">
        <v>11809.423749999998</v>
      </c>
      <c r="H449" s="4" t="s">
        <v>39</v>
      </c>
      <c r="I449" s="4" t="s">
        <v>15</v>
      </c>
      <c r="J449" s="8">
        <v>1791.38</v>
      </c>
    </row>
    <row r="450" spans="1:10" x14ac:dyDescent="0.3">
      <c r="A450" s="4">
        <v>1475</v>
      </c>
      <c r="B450" s="4" t="s">
        <v>526</v>
      </c>
      <c r="C450" s="4" t="s">
        <v>573</v>
      </c>
      <c r="D450" s="6">
        <v>-2</v>
      </c>
      <c r="E450" s="7">
        <v>3692.25</v>
      </c>
      <c r="F450" s="4">
        <v>0</v>
      </c>
      <c r="G450" s="9">
        <v>-7384.5</v>
      </c>
      <c r="H450" s="4" t="s">
        <v>21</v>
      </c>
      <c r="I450" s="4" t="s">
        <v>15</v>
      </c>
      <c r="J450" s="8">
        <v>433.87</v>
      </c>
    </row>
    <row r="451" spans="1:10" x14ac:dyDescent="0.3">
      <c r="A451" s="4">
        <v>1476</v>
      </c>
      <c r="B451" s="4" t="s">
        <v>527</v>
      </c>
      <c r="C451" s="4" t="s">
        <v>585</v>
      </c>
      <c r="D451" s="6">
        <v>5</v>
      </c>
      <c r="E451" s="7">
        <v>2592.8782222222212</v>
      </c>
      <c r="F451" s="4">
        <v>0.56999999999999995</v>
      </c>
      <c r="G451" s="9">
        <v>5574.6881777777762</v>
      </c>
      <c r="H451" s="4" t="s">
        <v>39</v>
      </c>
      <c r="I451" s="4" t="s">
        <v>15</v>
      </c>
      <c r="J451" s="8">
        <v>1476.41</v>
      </c>
    </row>
    <row r="452" spans="1:10" x14ac:dyDescent="0.3">
      <c r="A452" s="4">
        <v>1477</v>
      </c>
      <c r="B452" s="4" t="s">
        <v>528</v>
      </c>
      <c r="C452" s="4" t="s">
        <v>584</v>
      </c>
      <c r="D452" s="6">
        <v>2.0217391304347827</v>
      </c>
      <c r="E452" s="7">
        <v>2277.1999999999998</v>
      </c>
      <c r="F452" s="4">
        <v>0</v>
      </c>
      <c r="G452" s="9">
        <v>4603.9043478260865</v>
      </c>
      <c r="H452" s="4" t="s">
        <v>552</v>
      </c>
      <c r="I452" s="4" t="s">
        <v>15</v>
      </c>
      <c r="J452" s="8">
        <v>1295.82</v>
      </c>
    </row>
    <row r="453" spans="1:10" x14ac:dyDescent="0.3">
      <c r="A453" s="4">
        <v>1478</v>
      </c>
      <c r="B453" s="4" t="s">
        <v>529</v>
      </c>
      <c r="C453" s="4" t="s">
        <v>583</v>
      </c>
      <c r="D453" s="6">
        <v>1.675</v>
      </c>
      <c r="E453" s="7">
        <v>2277.41</v>
      </c>
      <c r="F453" s="4">
        <v>0</v>
      </c>
      <c r="G453" s="9">
        <v>3814.6617499999998</v>
      </c>
      <c r="H453" s="4" t="s">
        <v>17</v>
      </c>
      <c r="I453" s="4" t="s">
        <v>15</v>
      </c>
      <c r="J453" s="8">
        <v>-584.69000000000005</v>
      </c>
    </row>
    <row r="454" spans="1:10" x14ac:dyDescent="0.3">
      <c r="A454" s="4">
        <v>1479</v>
      </c>
      <c r="B454" s="4" t="s">
        <v>530</v>
      </c>
      <c r="C454" s="4" t="s">
        <v>576</v>
      </c>
      <c r="D454" s="6">
        <v>1</v>
      </c>
      <c r="E454" s="7">
        <v>2878.0747619047615</v>
      </c>
      <c r="F454" s="4">
        <v>0</v>
      </c>
      <c r="G454" s="9">
        <v>2878.0747619047615</v>
      </c>
      <c r="H454" s="4" t="s">
        <v>17</v>
      </c>
      <c r="I454" s="4" t="s">
        <v>15</v>
      </c>
      <c r="J454" s="8">
        <v>-575.87</v>
      </c>
    </row>
    <row r="455" spans="1:10" x14ac:dyDescent="0.3">
      <c r="A455" s="4">
        <v>1480</v>
      </c>
      <c r="B455" s="4" t="s">
        <v>531</v>
      </c>
      <c r="C455" s="4" t="s">
        <v>583</v>
      </c>
      <c r="D455" s="6">
        <v>1.675</v>
      </c>
      <c r="E455" s="7">
        <v>755.42</v>
      </c>
      <c r="F455" s="4">
        <v>0</v>
      </c>
      <c r="G455" s="9">
        <v>1265.3285000000001</v>
      </c>
      <c r="H455" s="4" t="s">
        <v>45</v>
      </c>
      <c r="I455" s="4" t="s">
        <v>15</v>
      </c>
      <c r="J455" s="8">
        <v>2956.26</v>
      </c>
    </row>
    <row r="456" spans="1:10" x14ac:dyDescent="0.3">
      <c r="A456" s="4">
        <v>1481</v>
      </c>
      <c r="B456" s="4" t="s">
        <v>532</v>
      </c>
      <c r="C456" s="4" t="s">
        <v>586</v>
      </c>
      <c r="D456" s="6">
        <v>2.5249999999999999</v>
      </c>
      <c r="E456" s="7">
        <v>2755.6936585365856</v>
      </c>
      <c r="F456" s="4">
        <v>0.97</v>
      </c>
      <c r="G456" s="9">
        <v>208.74379463414655</v>
      </c>
      <c r="H456" s="4" t="s">
        <v>14</v>
      </c>
      <c r="I456" s="4" t="s">
        <v>15</v>
      </c>
      <c r="J456" s="8">
        <v>375</v>
      </c>
    </row>
    <row r="457" spans="1:10" x14ac:dyDescent="0.3">
      <c r="A457" s="4">
        <v>1482</v>
      </c>
      <c r="B457" s="4" t="s">
        <v>533</v>
      </c>
      <c r="C457" s="4" t="s">
        <v>578</v>
      </c>
      <c r="D457" s="6">
        <v>1.5517241379310345</v>
      </c>
      <c r="E457" s="7">
        <v>1269.51</v>
      </c>
      <c r="F457" s="4">
        <v>0</v>
      </c>
      <c r="G457" s="9">
        <v>1969.9293103448276</v>
      </c>
      <c r="H457" s="4" t="s">
        <v>17</v>
      </c>
      <c r="I457" s="4" t="s">
        <v>15</v>
      </c>
      <c r="J457" s="8">
        <v>480.43</v>
      </c>
    </row>
    <row r="458" spans="1:10" x14ac:dyDescent="0.3">
      <c r="A458" s="4">
        <v>1483</v>
      </c>
      <c r="B458" s="4" t="s">
        <v>534</v>
      </c>
      <c r="C458" s="4" t="s">
        <v>573</v>
      </c>
      <c r="D458" s="6">
        <v>1.5813953488372092</v>
      </c>
      <c r="E458" s="7">
        <v>2347.19</v>
      </c>
      <c r="F458" s="4">
        <v>0</v>
      </c>
      <c r="G458" s="9">
        <v>3711.835348837209</v>
      </c>
      <c r="H458" s="4" t="s">
        <v>39</v>
      </c>
      <c r="I458" s="4" t="s">
        <v>15</v>
      </c>
      <c r="J458" s="8">
        <v>2870.3</v>
      </c>
    </row>
    <row r="459" spans="1:10" x14ac:dyDescent="0.3">
      <c r="A459" s="4">
        <v>1484</v>
      </c>
      <c r="B459" s="4" t="s">
        <v>535</v>
      </c>
      <c r="C459" s="4" t="s">
        <v>580</v>
      </c>
      <c r="D459" s="6">
        <v>2</v>
      </c>
      <c r="E459" s="7">
        <v>818.68</v>
      </c>
      <c r="F459" s="4">
        <v>0</v>
      </c>
      <c r="G459" s="9">
        <v>1637.36</v>
      </c>
      <c r="H459" s="4" t="s">
        <v>21</v>
      </c>
      <c r="I459" s="4" t="s">
        <v>15</v>
      </c>
      <c r="J459" s="8">
        <v>2357.7399999999998</v>
      </c>
    </row>
    <row r="460" spans="1:10" x14ac:dyDescent="0.3">
      <c r="A460" s="4">
        <v>1485</v>
      </c>
      <c r="B460" s="4" t="s">
        <v>536</v>
      </c>
      <c r="C460" s="4" t="s">
        <v>575</v>
      </c>
      <c r="D460" s="6">
        <v>1.5517241379310345</v>
      </c>
      <c r="E460" s="7">
        <v>2676.5783333333325</v>
      </c>
      <c r="F460" s="4">
        <v>0</v>
      </c>
      <c r="G460" s="9">
        <v>4153.3112068965502</v>
      </c>
      <c r="H460" s="4" t="s">
        <v>552</v>
      </c>
      <c r="I460" s="4" t="s">
        <v>22</v>
      </c>
      <c r="J460" s="8">
        <v>672.88</v>
      </c>
    </row>
    <row r="461" spans="1:10" x14ac:dyDescent="0.3">
      <c r="A461" s="4">
        <v>1486</v>
      </c>
      <c r="B461" s="4" t="s">
        <v>537</v>
      </c>
      <c r="C461" s="4" t="s">
        <v>585</v>
      </c>
      <c r="D461" s="6">
        <v>6</v>
      </c>
      <c r="E461" s="7">
        <v>2592.8782222222212</v>
      </c>
      <c r="F461" s="4">
        <v>0</v>
      </c>
      <c r="G461" s="9">
        <v>15557.269333333326</v>
      </c>
      <c r="H461" s="4" t="s">
        <v>21</v>
      </c>
      <c r="I461" s="4" t="s">
        <v>22</v>
      </c>
      <c r="J461" s="8">
        <v>2745.83</v>
      </c>
    </row>
    <row r="462" spans="1:10" x14ac:dyDescent="0.3">
      <c r="A462" s="4">
        <v>1487</v>
      </c>
      <c r="B462" s="4" t="s">
        <v>538</v>
      </c>
      <c r="C462" s="4" t="s">
        <v>572</v>
      </c>
      <c r="D462" s="6">
        <v>6</v>
      </c>
      <c r="E462" s="7">
        <v>1234.08</v>
      </c>
      <c r="F462" s="4">
        <v>0.71</v>
      </c>
      <c r="G462" s="9">
        <v>2147.2991999999999</v>
      </c>
      <c r="H462" s="4" t="s">
        <v>14</v>
      </c>
      <c r="I462" s="4" t="s">
        <v>15</v>
      </c>
      <c r="J462" s="8">
        <v>-849.81</v>
      </c>
    </row>
    <row r="463" spans="1:10" x14ac:dyDescent="0.3">
      <c r="A463" s="4">
        <v>1488</v>
      </c>
      <c r="B463" s="4" t="s">
        <v>539</v>
      </c>
      <c r="C463" s="4" t="s">
        <v>588</v>
      </c>
      <c r="D463" s="6">
        <v>2.5249999999999999</v>
      </c>
      <c r="E463" s="7">
        <v>4925.93</v>
      </c>
      <c r="F463" s="4">
        <v>0</v>
      </c>
      <c r="G463" s="9">
        <v>12437.973250000001</v>
      </c>
      <c r="H463" s="4" t="s">
        <v>39</v>
      </c>
      <c r="I463" s="4" t="s">
        <v>15</v>
      </c>
      <c r="J463" s="8">
        <v>2121.1999999999998</v>
      </c>
    </row>
    <row r="464" spans="1:10" x14ac:dyDescent="0.3">
      <c r="A464" s="4">
        <v>1489</v>
      </c>
      <c r="B464" s="4" t="s">
        <v>540</v>
      </c>
      <c r="C464" s="4" t="s">
        <v>575</v>
      </c>
      <c r="D464" s="6">
        <v>-2</v>
      </c>
      <c r="E464" s="7">
        <v>2676.5783333333325</v>
      </c>
      <c r="F464" s="4">
        <v>0</v>
      </c>
      <c r="G464" s="9">
        <v>-5353.1566666666649</v>
      </c>
      <c r="H464" s="4" t="s">
        <v>45</v>
      </c>
      <c r="I464" s="4" t="s">
        <v>22</v>
      </c>
      <c r="J464" s="8">
        <v>2102.1999999999998</v>
      </c>
    </row>
    <row r="465" spans="1:10" x14ac:dyDescent="0.3">
      <c r="A465" s="4">
        <v>1490</v>
      </c>
      <c r="B465" s="4" t="s">
        <v>541</v>
      </c>
      <c r="C465" s="4" t="s">
        <v>579</v>
      </c>
      <c r="D465" s="6">
        <v>1</v>
      </c>
      <c r="E465" s="7">
        <v>2715.2732432432431</v>
      </c>
      <c r="F465" s="4">
        <v>0</v>
      </c>
      <c r="G465" s="9">
        <v>2715.2732432432431</v>
      </c>
      <c r="H465" s="4" t="s">
        <v>14</v>
      </c>
      <c r="I465" s="4" t="s">
        <v>15</v>
      </c>
      <c r="J465" s="8">
        <v>230.97</v>
      </c>
    </row>
    <row r="466" spans="1:10" x14ac:dyDescent="0.3">
      <c r="A466" s="4">
        <v>1491</v>
      </c>
      <c r="B466" s="4" t="s">
        <v>542</v>
      </c>
      <c r="C466" s="4" t="s">
        <v>575</v>
      </c>
      <c r="D466" s="6">
        <v>1</v>
      </c>
      <c r="E466" s="7">
        <v>2676.5783333333325</v>
      </c>
      <c r="F466" s="4">
        <v>0.28999999999999998</v>
      </c>
      <c r="G466" s="9">
        <v>1900.3706166666659</v>
      </c>
      <c r="H466" s="4" t="s">
        <v>39</v>
      </c>
      <c r="I466" s="4" t="s">
        <v>22</v>
      </c>
      <c r="J466" s="8">
        <v>2039.1</v>
      </c>
    </row>
    <row r="467" spans="1:10" x14ac:dyDescent="0.3">
      <c r="A467" s="4">
        <v>1492</v>
      </c>
      <c r="B467" s="4" t="s">
        <v>543</v>
      </c>
      <c r="C467" s="4" t="s">
        <v>579</v>
      </c>
      <c r="D467" s="6">
        <v>1.5813953488372092</v>
      </c>
      <c r="E467" s="7">
        <v>2715.2732432432431</v>
      </c>
      <c r="F467" s="4">
        <v>1.07</v>
      </c>
      <c r="G467" s="9">
        <v>-300.5744334380895</v>
      </c>
      <c r="H467" s="4" t="s">
        <v>552</v>
      </c>
      <c r="I467" s="4" t="s">
        <v>22</v>
      </c>
      <c r="J467" s="8">
        <v>-308.83</v>
      </c>
    </row>
    <row r="468" spans="1:10" x14ac:dyDescent="0.3">
      <c r="A468" s="4">
        <v>1493</v>
      </c>
      <c r="B468" s="4" t="s">
        <v>564</v>
      </c>
      <c r="C468" s="4" t="s">
        <v>577</v>
      </c>
      <c r="D468" s="6">
        <v>2.0217391304347827</v>
      </c>
      <c r="E468" s="7">
        <v>2878.0747619047615</v>
      </c>
      <c r="F468" s="4">
        <v>0.03</v>
      </c>
      <c r="G468" s="9">
        <v>5644.1548754658379</v>
      </c>
      <c r="H468" s="4" t="s">
        <v>552</v>
      </c>
      <c r="I468" s="4" t="s">
        <v>15</v>
      </c>
      <c r="J468" s="8">
        <v>478.28</v>
      </c>
    </row>
    <row r="469" spans="1:10" x14ac:dyDescent="0.3">
      <c r="A469" s="4">
        <v>1494</v>
      </c>
      <c r="B469" s="4" t="s">
        <v>545</v>
      </c>
      <c r="C469" s="4" t="s">
        <v>574</v>
      </c>
      <c r="D469" s="6">
        <v>2</v>
      </c>
      <c r="E469" s="7">
        <v>4338.0600000000004</v>
      </c>
      <c r="F469" s="4">
        <v>0.24</v>
      </c>
      <c r="G469" s="9">
        <v>6593.851200000001</v>
      </c>
      <c r="H469" s="4" t="s">
        <v>21</v>
      </c>
      <c r="I469" s="4" t="s">
        <v>15</v>
      </c>
      <c r="J469" s="8">
        <v>386.01</v>
      </c>
    </row>
    <row r="470" spans="1:10" x14ac:dyDescent="0.3">
      <c r="A470" s="4">
        <v>1495</v>
      </c>
      <c r="B470" s="4" t="s">
        <v>546</v>
      </c>
      <c r="C470" s="4" t="s">
        <v>586</v>
      </c>
      <c r="D470" s="6">
        <v>2.5249999999999999</v>
      </c>
      <c r="E470" s="7">
        <v>2261.4899999999998</v>
      </c>
      <c r="F470" s="4">
        <v>0</v>
      </c>
      <c r="G470" s="9">
        <v>5710.2622499999989</v>
      </c>
      <c r="H470" s="4" t="s">
        <v>39</v>
      </c>
      <c r="I470" s="4" t="s">
        <v>15</v>
      </c>
      <c r="J470" s="8">
        <v>2044.15</v>
      </c>
    </row>
    <row r="471" spans="1:10" x14ac:dyDescent="0.3">
      <c r="A471" s="4">
        <v>1496</v>
      </c>
      <c r="B471" s="4" t="s">
        <v>547</v>
      </c>
      <c r="C471" s="4" t="s">
        <v>583</v>
      </c>
      <c r="D471" s="6">
        <v>-1</v>
      </c>
      <c r="E471" s="7">
        <v>4874.76</v>
      </c>
      <c r="F471" s="4">
        <v>0</v>
      </c>
      <c r="G471" s="9">
        <v>-4874.76</v>
      </c>
      <c r="H471" s="4" t="s">
        <v>17</v>
      </c>
      <c r="I471" s="4" t="s">
        <v>22</v>
      </c>
      <c r="J471" s="8">
        <v>2438.13</v>
      </c>
    </row>
    <row r="472" spans="1:10" x14ac:dyDescent="0.3">
      <c r="A472" s="4">
        <v>1497</v>
      </c>
      <c r="B472" s="4" t="s">
        <v>548</v>
      </c>
      <c r="C472" s="4" t="s">
        <v>568</v>
      </c>
      <c r="D472" s="6">
        <v>2.5249999999999999</v>
      </c>
      <c r="E472" s="7">
        <v>1461.5</v>
      </c>
      <c r="F472" s="4">
        <v>0</v>
      </c>
      <c r="G472" s="9">
        <v>3690.2874999999999</v>
      </c>
      <c r="H472" s="4" t="s">
        <v>45</v>
      </c>
      <c r="I472" s="4" t="s">
        <v>15</v>
      </c>
      <c r="J472" s="8">
        <v>1561.06</v>
      </c>
    </row>
    <row r="473" spans="1:10" x14ac:dyDescent="0.3">
      <c r="A473" s="4">
        <v>1498</v>
      </c>
      <c r="B473" s="4" t="s">
        <v>549</v>
      </c>
      <c r="C473" s="4" t="s">
        <v>574</v>
      </c>
      <c r="D473" s="6">
        <v>6</v>
      </c>
      <c r="E473" s="7">
        <v>3771.67</v>
      </c>
      <c r="F473" s="4">
        <v>0</v>
      </c>
      <c r="G473" s="9">
        <v>22630.02</v>
      </c>
      <c r="H473" s="4" t="s">
        <v>21</v>
      </c>
      <c r="I473" s="4" t="s">
        <v>15</v>
      </c>
      <c r="J473" s="8">
        <v>2442.42</v>
      </c>
    </row>
    <row r="474" spans="1:10" x14ac:dyDescent="0.3">
      <c r="A474" s="4">
        <v>1499</v>
      </c>
      <c r="B474" s="4" t="s">
        <v>550</v>
      </c>
      <c r="C474" s="4" t="s">
        <v>569</v>
      </c>
      <c r="D474" s="6">
        <v>2</v>
      </c>
      <c r="E474" s="7">
        <v>2715.2732432432431</v>
      </c>
      <c r="F474" s="4">
        <v>0</v>
      </c>
      <c r="G474" s="9">
        <v>5430.5464864864862</v>
      </c>
      <c r="H474" s="4" t="s">
        <v>39</v>
      </c>
      <c r="I474" s="4" t="s">
        <v>15</v>
      </c>
      <c r="J474" s="8">
        <v>2116.52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Snitch_Fashion_Sales</vt:lpstr>
      <vt:lpstr>Process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Subashbalan</dc:creator>
  <cp:lastModifiedBy>Maheswari S</cp:lastModifiedBy>
  <dcterms:created xsi:type="dcterms:W3CDTF">2026-05-29T06:58:31Z</dcterms:created>
  <dcterms:modified xsi:type="dcterms:W3CDTF">2026-05-29T10:51:10Z</dcterms:modified>
</cp:coreProperties>
</file>