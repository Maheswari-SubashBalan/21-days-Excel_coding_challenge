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8efea81396b767/Desktop/"/>
    </mc:Choice>
  </mc:AlternateContent>
  <xr:revisionPtr revIDLastSave="10" documentId="8_{C9C73C28-08A9-4A83-9E43-08F9985D0D7D}" xr6:coauthVersionLast="47" xr6:coauthVersionMax="47" xr10:uidLastSave="{9DE2DF6D-CD23-43E5-9FD1-98D202CF199F}"/>
  <bookViews>
    <workbookView xWindow="-108" yWindow="-108" windowWidth="23256" windowHeight="12456" xr2:uid="{00000000-000D-0000-FFFF-FFFF00000000}"/>
  </bookViews>
  <sheets>
    <sheet name="dataset" sheetId="1" r:id="rId1"/>
  </sheets>
  <calcPr calcId="191029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<sst xmlns="http://schemas.openxmlformats.org/spreadsheetml/2006/main" count="111" uniqueCount="109">
  <si>
    <t>20-2023-IN</t>
  </si>
  <si>
    <t>arun kumar</t>
  </si>
  <si>
    <t>software engineer</t>
  </si>
  <si>
    <t>arun_k</t>
  </si>
  <si>
    <t>45-2022-US</t>
  </si>
  <si>
    <t>PRIYA SHARMA</t>
  </si>
  <si>
    <t>data analyst</t>
  </si>
  <si>
    <t>PRIYA123</t>
  </si>
  <si>
    <t>11-2021-UK</t>
  </si>
  <si>
    <t>raHul verma</t>
  </si>
  <si>
    <t>project manager</t>
  </si>
  <si>
    <t>rahul_v</t>
  </si>
  <si>
    <t>78-2023-IN</t>
  </si>
  <si>
    <t>sneha reddy</t>
  </si>
  <si>
    <t>HR Manager</t>
  </si>
  <si>
    <t>SNEHA_REDDY</t>
  </si>
  <si>
    <t>90-2020-AU</t>
  </si>
  <si>
    <t>VIKRAM SINGH</t>
  </si>
  <si>
    <t>DEVOPS ENGINEER</t>
  </si>
  <si>
    <t>VIKRAM@DEV</t>
  </si>
  <si>
    <t>32-2022-CA</t>
  </si>
  <si>
    <t>anita joseph</t>
  </si>
  <si>
    <t>software tester</t>
  </si>
  <si>
    <t>anita_j</t>
  </si>
  <si>
    <t>67-2021-IN</t>
  </si>
  <si>
    <t>KARTHIK RAJ</t>
  </si>
  <si>
    <t>DATA SCIENTIST</t>
  </si>
  <si>
    <t>KARTHIK.R</t>
  </si>
  <si>
    <t>88-2023-US</t>
  </si>
  <si>
    <t>meena iyer</t>
  </si>
  <si>
    <t>business analyst</t>
  </si>
  <si>
    <t>meena_iyer</t>
  </si>
  <si>
    <t>23-2020-IN</t>
  </si>
  <si>
    <t>RAMESH KUMAR</t>
  </si>
  <si>
    <t>system admin</t>
  </si>
  <si>
    <t>RAMESH123</t>
  </si>
  <si>
    <t>55-2022-UK</t>
  </si>
  <si>
    <t>divya nair</t>
  </si>
  <si>
    <t>UI designer</t>
  </si>
  <si>
    <t>divya_nair</t>
  </si>
  <si>
    <t>91-2023-IN</t>
  </si>
  <si>
    <t>MOHAN DAS</t>
  </si>
  <si>
    <t>backend developer</t>
  </si>
  <si>
    <t>mohan_das</t>
  </si>
  <si>
    <t>14-2021-US</t>
  </si>
  <si>
    <t>pooja mehta</t>
  </si>
  <si>
    <t>frontend developer</t>
  </si>
  <si>
    <t>poojaM</t>
  </si>
  <si>
    <t>76-2020-CA</t>
  </si>
  <si>
    <t>AJAY DEV</t>
  </si>
  <si>
    <t>QA ENGINEER</t>
  </si>
  <si>
    <t>ajay_dev</t>
  </si>
  <si>
    <t>39-2022-IN</t>
  </si>
  <si>
    <t>lakshmi devi</t>
  </si>
  <si>
    <t>product manager</t>
  </si>
  <si>
    <t>lakshmi.d</t>
  </si>
  <si>
    <t>81-2023-AU</t>
  </si>
  <si>
    <t>SURESH BABU</t>
  </si>
  <si>
    <t>cloud engineer</t>
  </si>
  <si>
    <t>suresh_babu</t>
  </si>
  <si>
    <t>29-2021-IN</t>
  </si>
  <si>
    <t>geetha rani</t>
  </si>
  <si>
    <t>HR executive</t>
  </si>
  <si>
    <t>geethaR</t>
  </si>
  <si>
    <t>63-2020-UK</t>
  </si>
  <si>
    <t>ARJUN REDDY</t>
  </si>
  <si>
    <t>security analyst</t>
  </si>
  <si>
    <t>arjun_reddy</t>
  </si>
  <si>
    <t>47-2022-IN</t>
  </si>
  <si>
    <t>naveen kumar</t>
  </si>
  <si>
    <t>full stack developer</t>
  </si>
  <si>
    <t>naveen.k</t>
  </si>
  <si>
    <t>58-2023-US</t>
  </si>
  <si>
    <t>HEMA MALINI</t>
  </si>
  <si>
    <t>data engineer</t>
  </si>
  <si>
    <t>hema_m</t>
  </si>
  <si>
    <t>72-2021-IN</t>
  </si>
  <si>
    <t>manoj kumar</t>
  </si>
  <si>
    <t>network engineer</t>
  </si>
  <si>
    <t>manojK</t>
  </si>
  <si>
    <t>Product ID</t>
  </si>
  <si>
    <t>Product Name</t>
  </si>
  <si>
    <t>Designation</t>
  </si>
  <si>
    <t>Username</t>
  </si>
  <si>
    <t>Subash Balan</t>
  </si>
  <si>
    <t>Maheswari</t>
  </si>
  <si>
    <t>Mekhavarshini</t>
  </si>
  <si>
    <t>doctor</t>
  </si>
  <si>
    <t>Madhumitha</t>
  </si>
  <si>
    <t>junior assistant</t>
  </si>
  <si>
    <t>Maguesvary</t>
  </si>
  <si>
    <t>financer</t>
  </si>
  <si>
    <t>30-2024-CA</t>
  </si>
  <si>
    <t>40-2025-US</t>
  </si>
  <si>
    <t>50-2023-UK</t>
  </si>
  <si>
    <t>22-2023-IN</t>
  </si>
  <si>
    <t>68-2021-IN</t>
  </si>
  <si>
    <t>BalanSuba</t>
  </si>
  <si>
    <t>d.Deiva</t>
  </si>
  <si>
    <t>Magesh_1452</t>
  </si>
  <si>
    <t>Product Code</t>
  </si>
  <si>
    <t>Country Code</t>
  </si>
  <si>
    <t>Year of joining</t>
  </si>
  <si>
    <t>UpperCase</t>
  </si>
  <si>
    <t>LowerCase</t>
  </si>
  <si>
    <t>ProperFunction</t>
  </si>
  <si>
    <t>I practiced the RIGHT, LEFT, MID, UPPER, LOWER and PROPER functions. For UPPER, I just tried a sample</t>
  </si>
  <si>
    <t>mekha_S</t>
  </si>
  <si>
    <t>madhumitha@123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</si>
</sst>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4A41E-5E30-4D35-9EC5-EFBC1DC7A846}" name="Table3" displayName="Table3" ref="A1:J26" totalsRowShown="0" headerRowDxfId="1" dataDxfId="0" headerRowBorderDxfId="14" tableBorderDxfId="13" totalsRowBorderDxfId="12">
  <autoFilter ref="A1:J26" xr:uid="{6784A41E-5E30-4D35-9EC5-EFBC1DC7A846}"/>
  <tableColumns count="10">
    <tableColumn id="1" xr3:uid="{3EE2845B-95CF-4C41-AA7C-9BDD0B7B82F1}" name="Product ID" dataDxfId="11"/>
    <tableColumn id="2" xr3:uid="{F2BDB077-D477-44C4-BCA2-A0A7CB3935FA}" name="Product Name" dataDxfId="10"/>
    <tableColumn id="3" xr3:uid="{08E4719F-4002-4740-97D3-E3A8A781BD43}" name="Designation" dataDxfId="9"/>
    <tableColumn id="4" xr3:uid="{99DD8B6D-E1F4-4E1F-BBA8-D91A0E2B4927}" name="Username" dataDxfId="8"/>
    <tableColumn id="5" xr3:uid="{FFBDC850-295C-48D1-BF67-D175B2817F99}" name="Product Code" dataDxfId="7">
      <calculatedColumnFormula>LEFT(Table3[[#This Row],[Product ID]],2)</calculatedColumnFormula>
    </tableColumn>
    <tableColumn id="6" xr3:uid="{84089536-8207-4FF4-BAD8-CA54EE4D2050}" name="Country Code" dataDxfId="6">
      <calculatedColumnFormula>RIGHT(Table3[[#This Row],[Product ID]],2)</calculatedColumnFormula>
    </tableColumn>
    <tableColumn id="7" xr3:uid="{D126FA4F-16BC-4083-8F48-A509F39806C1}" name="Year of joining" dataDxfId="5">
      <calculatedColumnFormula>MID(Table3[[#This Row],[Product ID]],4,4)</calculatedColumnFormula>
    </tableColumn>
    <tableColumn id="8" xr3:uid="{B2153CD3-3824-4195-88B6-7B92889025EB}" name="UpperCase" dataDxfId="4">
      <calculatedColumnFormula>UPPER(Table3[[#This Row],[Product Name]])</calculatedColumnFormula>
    </tableColumn>
    <tableColumn id="9" xr3:uid="{4FE76BE1-E746-42B6-AA14-B9E627CB915D}" name="LowerCase" dataDxfId="3">
      <calculatedColumnFormula>LOWER(Table3[[#This Row],[Username]])</calculatedColumnFormula>
    </tableColumn>
    <tableColumn id="10" xr3:uid="{84AF3406-513B-478F-A25A-A067C0A2F5C3}" name="ProperFunction" dataDxfId="2">
      <calculatedColumnFormula>PROPER(Table3[[#This Row],[Designation]])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4" workbookViewId="0">
      <selection activeCell="F2" sqref="F2"/>
    </sheetView>
  </sheetViews>
  <sheetFormatPr defaultRowHeight="14.4" x14ac:dyDescent="0.3"/>
  <cols>
    <col min="1" max="1" width="14.33203125" bestFit="1" customWidth="1"/>
    <col min="2" max="2" width="15" customWidth="1"/>
    <col min="3" max="3" width="16.88671875" bestFit="1" customWidth="1"/>
    <col min="4" max="4" width="17.33203125" bestFit="1" customWidth="1"/>
    <col min="5" max="5" width="16.88671875" bestFit="1" customWidth="1"/>
    <col min="6" max="6" width="17" bestFit="1" customWidth="1"/>
    <col min="7" max="7" width="17.6640625" bestFit="1" customWidth="1"/>
    <col min="8" max="8" width="14.5546875" bestFit="1" customWidth="1"/>
    <col min="9" max="9" width="14.44140625" bestFit="1" customWidth="1"/>
    <col min="10" max="10" width="18.5546875" bestFit="1" customWidth="1"/>
  </cols>
  <sheetData>
    <row r="1" spans="1:10" x14ac:dyDescent="0.3">
      <c r="A1" s="3" t="s">
        <v>80</v>
      </c>
      <c r="B1" s="4" t="s">
        <v>81</v>
      </c>
      <c r="C1" s="4" t="s">
        <v>82</v>
      </c>
      <c r="D1" s="5" t="s">
        <v>83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tr">
        <f>LEFT(Table3[[#This Row],[Product ID]],2)</f>
        <v>20</v>
      </c>
      <c r="F2" s="2" t="str">
        <f>RIGHT(Table3[[#This Row],[Product ID]],2)</f>
        <v>IN</v>
      </c>
      <c r="G2" s="2" t="str">
        <f>MID(Table3[[#This Row],[Product ID]],4,4)</f>
        <v>2023</v>
      </c>
      <c r="H2" s="2" t="str">
        <f>UPPER(Table3[[#This Row],[Product Name]])</f>
        <v>ARUN KUMAR</v>
      </c>
      <c r="I2" s="2" t="str">
        <f>LOWER(Table3[[#This Row],[Username]])</f>
        <v>arun_k</v>
      </c>
      <c r="J2" s="2" t="str">
        <f>PROPER(Table3[[#This Row],[Designation]])</f>
        <v>Software Engineer</v>
      </c>
    </row>
    <row r="3" spans="1:10" x14ac:dyDescent="0.3">
      <c r="A3" s="2" t="s">
        <v>4</v>
      </c>
      <c r="B3" s="2" t="s">
        <v>5</v>
      </c>
      <c r="C3" s="2" t="s">
        <v>6</v>
      </c>
      <c r="D3" s="2" t="s">
        <v>7</v>
      </c>
      <c r="E3" s="2" t="str">
        <f>LEFT(Table3[[#This Row],[Product ID]],2)</f>
        <v>45</v>
      </c>
      <c r="F3" s="2" t="str">
        <f>RIGHT(Table3[[#This Row],[Product ID]],2)</f>
        <v>US</v>
      </c>
      <c r="G3" s="2" t="str">
        <f>MID(Table3[[#This Row],[Product ID]],4,4)</f>
        <v>2022</v>
      </c>
      <c r="H3" s="2" t="str">
        <f>UPPER(Table3[[#This Row],[Product Name]])</f>
        <v>PRIYA SHARMA</v>
      </c>
      <c r="I3" s="2" t="str">
        <f>LOWER(Table3[[#This Row],[Username]])</f>
        <v>priya123</v>
      </c>
      <c r="J3" s="2" t="str">
        <f>PROPER(Table3[[#This Row],[Designation]])</f>
        <v>Data Analyst</v>
      </c>
    </row>
    <row r="4" spans="1:10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tr">
        <f>LEFT(Table3[[#This Row],[Product ID]],2)</f>
        <v>11</v>
      </c>
      <c r="F4" s="2" t="str">
        <f>RIGHT(Table3[[#This Row],[Product ID]],2)</f>
        <v>UK</v>
      </c>
      <c r="G4" s="2" t="str">
        <f>MID(Table3[[#This Row],[Product ID]],4,4)</f>
        <v>2021</v>
      </c>
      <c r="H4" s="2" t="str">
        <f>UPPER(Table3[[#This Row],[Product Name]])</f>
        <v>RAHUL VERMA</v>
      </c>
      <c r="I4" s="2" t="str">
        <f>LOWER(Table3[[#This Row],[Username]])</f>
        <v>rahul_v</v>
      </c>
      <c r="J4" s="2" t="str">
        <f>PROPER(Table3[[#This Row],[Designation]])</f>
        <v>Project Manager</v>
      </c>
    </row>
    <row r="5" spans="1:10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tr">
        <f>LEFT(Table3[[#This Row],[Product ID]],2)</f>
        <v>78</v>
      </c>
      <c r="F5" s="2" t="str">
        <f>RIGHT(Table3[[#This Row],[Product ID]],2)</f>
        <v>IN</v>
      </c>
      <c r="G5" s="2" t="str">
        <f>MID(Table3[[#This Row],[Product ID]],4,4)</f>
        <v>2023</v>
      </c>
      <c r="H5" s="2" t="str">
        <f>UPPER(Table3[[#This Row],[Product Name]])</f>
        <v>SNEHA REDDY</v>
      </c>
      <c r="I5" s="2" t="str">
        <f>LOWER(Table3[[#This Row],[Username]])</f>
        <v>sneha_reddy</v>
      </c>
      <c r="J5" s="2" t="str">
        <f>PROPER(Table3[[#This Row],[Designation]])</f>
        <v>Hr Manager</v>
      </c>
    </row>
    <row r="6" spans="1:10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tr">
        <f>LEFT(Table3[[#This Row],[Product ID]],2)</f>
        <v>90</v>
      </c>
      <c r="F6" s="2" t="str">
        <f>RIGHT(Table3[[#This Row],[Product ID]],2)</f>
        <v>AU</v>
      </c>
      <c r="G6" s="2" t="str">
        <f>MID(Table3[[#This Row],[Product ID]],4,4)</f>
        <v>2020</v>
      </c>
      <c r="H6" s="2" t="str">
        <f>UPPER(Table3[[#This Row],[Product Name]])</f>
        <v>VIKRAM SINGH</v>
      </c>
      <c r="I6" s="2" t="str">
        <f>LOWER(Table3[[#This Row],[Username]])</f>
        <v>vikram@dev</v>
      </c>
      <c r="J6" s="2" t="str">
        <f>PROPER(Table3[[#This Row],[Designation]])</f>
        <v>Devops Engineer</v>
      </c>
    </row>
    <row r="7" spans="1:10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tr">
        <f>LEFT(Table3[[#This Row],[Product ID]],2)</f>
        <v>32</v>
      </c>
      <c r="F7" s="2" t="str">
        <f>RIGHT(Table3[[#This Row],[Product ID]],2)</f>
        <v>CA</v>
      </c>
      <c r="G7" s="2" t="str">
        <f>MID(Table3[[#This Row],[Product ID]],4,4)</f>
        <v>2022</v>
      </c>
      <c r="H7" s="2" t="str">
        <f>UPPER(Table3[[#This Row],[Product Name]])</f>
        <v>ANITA JOSEPH</v>
      </c>
      <c r="I7" s="2" t="str">
        <f>LOWER(Table3[[#This Row],[Username]])</f>
        <v>anita_j</v>
      </c>
      <c r="J7" s="2" t="str">
        <f>PROPER(Table3[[#This Row],[Designation]])</f>
        <v>Software Tester</v>
      </c>
    </row>
    <row r="8" spans="1:10" x14ac:dyDescent="0.3">
      <c r="A8" s="2" t="s">
        <v>24</v>
      </c>
      <c r="B8" s="2" t="s">
        <v>25</v>
      </c>
      <c r="C8" s="2" t="s">
        <v>26</v>
      </c>
      <c r="D8" s="2" t="s">
        <v>27</v>
      </c>
      <c r="E8" s="2" t="str">
        <f>LEFT(Table3[[#This Row],[Product ID]],2)</f>
        <v>67</v>
      </c>
      <c r="F8" s="2" t="str">
        <f>RIGHT(Table3[[#This Row],[Product ID]],2)</f>
        <v>IN</v>
      </c>
      <c r="G8" s="2" t="str">
        <f>MID(Table3[[#This Row],[Product ID]],4,4)</f>
        <v>2021</v>
      </c>
      <c r="H8" s="2" t="str">
        <f>UPPER(Table3[[#This Row],[Product Name]])</f>
        <v>KARTHIK RAJ</v>
      </c>
      <c r="I8" s="2" t="str">
        <f>LOWER(Table3[[#This Row],[Username]])</f>
        <v>karthik.r</v>
      </c>
      <c r="J8" s="2" t="str">
        <f>PROPER(Table3[[#This Row],[Designation]])</f>
        <v>Data Scientist</v>
      </c>
    </row>
    <row r="9" spans="1:10" x14ac:dyDescent="0.3">
      <c r="A9" s="2" t="s">
        <v>28</v>
      </c>
      <c r="B9" s="2" t="s">
        <v>29</v>
      </c>
      <c r="C9" s="2" t="s">
        <v>30</v>
      </c>
      <c r="D9" s="2" t="s">
        <v>31</v>
      </c>
      <c r="E9" s="2" t="str">
        <f>LEFT(Table3[[#This Row],[Product ID]],2)</f>
        <v>88</v>
      </c>
      <c r="F9" s="2" t="str">
        <f>RIGHT(Table3[[#This Row],[Product ID]],2)</f>
        <v>US</v>
      </c>
      <c r="G9" s="2" t="str">
        <f>MID(Table3[[#This Row],[Product ID]],4,4)</f>
        <v>2023</v>
      </c>
      <c r="H9" s="2" t="str">
        <f>UPPER(Table3[[#This Row],[Product Name]])</f>
        <v>MEENA IYER</v>
      </c>
      <c r="I9" s="2" t="str">
        <f>LOWER(Table3[[#This Row],[Username]])</f>
        <v>meena_iyer</v>
      </c>
      <c r="J9" s="2" t="str">
        <f>PROPER(Table3[[#This Row],[Designation]])</f>
        <v>Business Analyst</v>
      </c>
    </row>
    <row r="10" spans="1:10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tr">
        <f>LEFT(Table3[[#This Row],[Product ID]],2)</f>
        <v>23</v>
      </c>
      <c r="F10" s="2" t="str">
        <f>RIGHT(Table3[[#This Row],[Product ID]],2)</f>
        <v>IN</v>
      </c>
      <c r="G10" s="2" t="str">
        <f>MID(Table3[[#This Row],[Product ID]],4,4)</f>
        <v>2020</v>
      </c>
      <c r="H10" s="2" t="str">
        <f>UPPER(Table3[[#This Row],[Product Name]])</f>
        <v>RAMESH KUMAR</v>
      </c>
      <c r="I10" s="2" t="str">
        <f>LOWER(Table3[[#This Row],[Username]])</f>
        <v>ramesh123</v>
      </c>
      <c r="J10" s="2" t="str">
        <f>PROPER(Table3[[#This Row],[Designation]])</f>
        <v>System Admin</v>
      </c>
    </row>
    <row r="11" spans="1:10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2" t="str">
        <f>LEFT(Table3[[#This Row],[Product ID]],2)</f>
        <v>55</v>
      </c>
      <c r="F11" s="2" t="str">
        <f>RIGHT(Table3[[#This Row],[Product ID]],2)</f>
        <v>UK</v>
      </c>
      <c r="G11" s="2" t="str">
        <f>MID(Table3[[#This Row],[Product ID]],4,4)</f>
        <v>2022</v>
      </c>
      <c r="H11" s="2" t="str">
        <f>UPPER(Table3[[#This Row],[Product Name]])</f>
        <v>DIVYA NAIR</v>
      </c>
      <c r="I11" s="2" t="str">
        <f>LOWER(Table3[[#This Row],[Username]])</f>
        <v>divya_nair</v>
      </c>
      <c r="J11" s="2" t="str">
        <f>PROPER(Table3[[#This Row],[Designation]])</f>
        <v>Ui Designer</v>
      </c>
    </row>
    <row r="12" spans="1:10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tr">
        <f>LEFT(Table3[[#This Row],[Product ID]],2)</f>
        <v>91</v>
      </c>
      <c r="F12" s="2" t="str">
        <f>RIGHT(Table3[[#This Row],[Product ID]],2)</f>
        <v>IN</v>
      </c>
      <c r="G12" s="2" t="str">
        <f>MID(Table3[[#This Row],[Product ID]],4,4)</f>
        <v>2023</v>
      </c>
      <c r="H12" s="2" t="str">
        <f>UPPER(Table3[[#This Row],[Product Name]])</f>
        <v>MOHAN DAS</v>
      </c>
      <c r="I12" s="2" t="str">
        <f>LOWER(Table3[[#This Row],[Username]])</f>
        <v>mohan_das</v>
      </c>
      <c r="J12" s="2" t="str">
        <f>PROPER(Table3[[#This Row],[Designation]])</f>
        <v>Backend Developer</v>
      </c>
    </row>
    <row r="13" spans="1:10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tr">
        <f>LEFT(Table3[[#This Row],[Product ID]],2)</f>
        <v>14</v>
      </c>
      <c r="F13" s="2" t="str">
        <f>RIGHT(Table3[[#This Row],[Product ID]],2)</f>
        <v>US</v>
      </c>
      <c r="G13" s="2" t="str">
        <f>MID(Table3[[#This Row],[Product ID]],4,4)</f>
        <v>2021</v>
      </c>
      <c r="H13" s="2" t="str">
        <f>UPPER(Table3[[#This Row],[Product Name]])</f>
        <v>POOJA MEHTA</v>
      </c>
      <c r="I13" s="2" t="str">
        <f>LOWER(Table3[[#This Row],[Username]])</f>
        <v>poojam</v>
      </c>
      <c r="J13" s="2" t="str">
        <f>PROPER(Table3[[#This Row],[Designation]])</f>
        <v>Frontend Developer</v>
      </c>
    </row>
    <row r="14" spans="1:10" x14ac:dyDescent="0.3">
      <c r="A14" s="2" t="s">
        <v>48</v>
      </c>
      <c r="B14" s="2" t="s">
        <v>49</v>
      </c>
      <c r="C14" s="2" t="s">
        <v>50</v>
      </c>
      <c r="D14" s="2" t="s">
        <v>51</v>
      </c>
      <c r="E14" s="2" t="str">
        <f>LEFT(Table3[[#This Row],[Product ID]],2)</f>
        <v>76</v>
      </c>
      <c r="F14" s="2" t="str">
        <f>RIGHT(Table3[[#This Row],[Product ID]],2)</f>
        <v>CA</v>
      </c>
      <c r="G14" s="2" t="str">
        <f>MID(Table3[[#This Row],[Product ID]],4,4)</f>
        <v>2020</v>
      </c>
      <c r="H14" s="2" t="str">
        <f>UPPER(Table3[[#This Row],[Product Name]])</f>
        <v>AJAY DEV</v>
      </c>
      <c r="I14" s="2" t="str">
        <f>LOWER(Table3[[#This Row],[Username]])</f>
        <v>ajay_dev</v>
      </c>
      <c r="J14" s="2" t="str">
        <f>PROPER(Table3[[#This Row],[Designation]])</f>
        <v>Qa Engineer</v>
      </c>
    </row>
    <row r="15" spans="1:10" x14ac:dyDescent="0.3">
      <c r="A15" s="2" t="s">
        <v>52</v>
      </c>
      <c r="B15" s="2" t="s">
        <v>53</v>
      </c>
      <c r="C15" s="2" t="s">
        <v>54</v>
      </c>
      <c r="D15" s="2" t="s">
        <v>55</v>
      </c>
      <c r="E15" s="2" t="str">
        <f>LEFT(Table3[[#This Row],[Product ID]],2)</f>
        <v>39</v>
      </c>
      <c r="F15" s="2" t="str">
        <f>RIGHT(Table3[[#This Row],[Product ID]],2)</f>
        <v>IN</v>
      </c>
      <c r="G15" s="2" t="str">
        <f>MID(Table3[[#This Row],[Product ID]],4,4)</f>
        <v>2022</v>
      </c>
      <c r="H15" s="2" t="str">
        <f>UPPER(Table3[[#This Row],[Product Name]])</f>
        <v>LAKSHMI DEVI</v>
      </c>
      <c r="I15" s="2" t="str">
        <f>LOWER(Table3[[#This Row],[Username]])</f>
        <v>lakshmi.d</v>
      </c>
      <c r="J15" s="2" t="str">
        <f>PROPER(Table3[[#This Row],[Designation]])</f>
        <v>Product Manager</v>
      </c>
    </row>
    <row r="16" spans="1:10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tr">
        <f>LEFT(Table3[[#This Row],[Product ID]],2)</f>
        <v>81</v>
      </c>
      <c r="F16" s="2" t="str">
        <f>RIGHT(Table3[[#This Row],[Product ID]],2)</f>
        <v>AU</v>
      </c>
      <c r="G16" s="2" t="str">
        <f>MID(Table3[[#This Row],[Product ID]],4,4)</f>
        <v>2023</v>
      </c>
      <c r="H16" s="2" t="str">
        <f>UPPER(Table3[[#This Row],[Product Name]])</f>
        <v>SURESH BABU</v>
      </c>
      <c r="I16" s="2" t="str">
        <f>LOWER(Table3[[#This Row],[Username]])</f>
        <v>suresh_babu</v>
      </c>
      <c r="J16" s="2" t="str">
        <f>PROPER(Table3[[#This Row],[Designation]])</f>
        <v>Cloud Engineer</v>
      </c>
    </row>
    <row r="17" spans="1:10" x14ac:dyDescent="0.3">
      <c r="A17" s="2" t="s">
        <v>60</v>
      </c>
      <c r="B17" s="2" t="s">
        <v>61</v>
      </c>
      <c r="C17" s="2" t="s">
        <v>62</v>
      </c>
      <c r="D17" s="2" t="s">
        <v>63</v>
      </c>
      <c r="E17" s="2" t="str">
        <f>LEFT(Table3[[#This Row],[Product ID]],2)</f>
        <v>29</v>
      </c>
      <c r="F17" s="2" t="str">
        <f>RIGHT(Table3[[#This Row],[Product ID]],2)</f>
        <v>IN</v>
      </c>
      <c r="G17" s="2" t="str">
        <f>MID(Table3[[#This Row],[Product ID]],4,4)</f>
        <v>2021</v>
      </c>
      <c r="H17" s="2" t="str">
        <f>UPPER(Table3[[#This Row],[Product Name]])</f>
        <v>GEETHA RANI</v>
      </c>
      <c r="I17" s="2" t="str">
        <f>LOWER(Table3[[#This Row],[Username]])</f>
        <v>geethar</v>
      </c>
      <c r="J17" s="2" t="str">
        <f>PROPER(Table3[[#This Row],[Designation]])</f>
        <v>Hr Executive</v>
      </c>
    </row>
    <row r="18" spans="1:10" x14ac:dyDescent="0.3">
      <c r="A18" s="2" t="s">
        <v>64</v>
      </c>
      <c r="B18" s="2" t="s">
        <v>65</v>
      </c>
      <c r="C18" s="2" t="s">
        <v>66</v>
      </c>
      <c r="D18" s="2" t="s">
        <v>67</v>
      </c>
      <c r="E18" s="2" t="str">
        <f>LEFT(Table3[[#This Row],[Product ID]],2)</f>
        <v>63</v>
      </c>
      <c r="F18" s="2" t="str">
        <f>RIGHT(Table3[[#This Row],[Product ID]],2)</f>
        <v>UK</v>
      </c>
      <c r="G18" s="2" t="str">
        <f>MID(Table3[[#This Row],[Product ID]],4,4)</f>
        <v>2020</v>
      </c>
      <c r="H18" s="2" t="str">
        <f>UPPER(Table3[[#This Row],[Product Name]])</f>
        <v>ARJUN REDDY</v>
      </c>
      <c r="I18" s="2" t="str">
        <f>LOWER(Table3[[#This Row],[Username]])</f>
        <v>arjun_reddy</v>
      </c>
      <c r="J18" s="2" t="str">
        <f>PROPER(Table3[[#This Row],[Designation]])</f>
        <v>Security Analyst</v>
      </c>
    </row>
    <row r="19" spans="1:10" x14ac:dyDescent="0.3">
      <c r="A19" s="2" t="s">
        <v>68</v>
      </c>
      <c r="B19" s="2" t="s">
        <v>69</v>
      </c>
      <c r="C19" s="2" t="s">
        <v>70</v>
      </c>
      <c r="D19" s="2" t="s">
        <v>71</v>
      </c>
      <c r="E19" s="2" t="str">
        <f>LEFT(Table3[[#This Row],[Product ID]],2)</f>
        <v>47</v>
      </c>
      <c r="F19" s="2" t="str">
        <f>RIGHT(Table3[[#This Row],[Product ID]],2)</f>
        <v>IN</v>
      </c>
      <c r="G19" s="2" t="str">
        <f>MID(Table3[[#This Row],[Product ID]],4,4)</f>
        <v>2022</v>
      </c>
      <c r="H19" s="2" t="str">
        <f>UPPER(Table3[[#This Row],[Product Name]])</f>
        <v>NAVEEN KUMAR</v>
      </c>
      <c r="I19" s="2" t="str">
        <f>LOWER(Table3[[#This Row],[Username]])</f>
        <v>naveen.k</v>
      </c>
      <c r="J19" s="2" t="str">
        <f>PROPER(Table3[[#This Row],[Designation]])</f>
        <v>Full Stack Developer</v>
      </c>
    </row>
    <row r="20" spans="1:10" x14ac:dyDescent="0.3">
      <c r="A20" s="2" t="s">
        <v>72</v>
      </c>
      <c r="B20" s="2" t="s">
        <v>73</v>
      </c>
      <c r="C20" s="2" t="s">
        <v>74</v>
      </c>
      <c r="D20" s="2" t="s">
        <v>75</v>
      </c>
      <c r="E20" s="2" t="str">
        <f>LEFT(Table3[[#This Row],[Product ID]],2)</f>
        <v>58</v>
      </c>
      <c r="F20" s="2" t="str">
        <f>RIGHT(Table3[[#This Row],[Product ID]],2)</f>
        <v>US</v>
      </c>
      <c r="G20" s="2" t="str">
        <f>MID(Table3[[#This Row],[Product ID]],4,4)</f>
        <v>2023</v>
      </c>
      <c r="H20" s="2" t="str">
        <f>UPPER(Table3[[#This Row],[Product Name]])</f>
        <v>HEMA MALINI</v>
      </c>
      <c r="I20" s="2" t="str">
        <f>LOWER(Table3[[#This Row],[Username]])</f>
        <v>hema_m</v>
      </c>
      <c r="J20" s="2" t="str">
        <f>PROPER(Table3[[#This Row],[Designation]])</f>
        <v>Data Engineer</v>
      </c>
    </row>
    <row r="21" spans="1:10" x14ac:dyDescent="0.3">
      <c r="A21" s="2" t="s">
        <v>76</v>
      </c>
      <c r="B21" s="2" t="s">
        <v>77</v>
      </c>
      <c r="C21" s="2" t="s">
        <v>78</v>
      </c>
      <c r="D21" s="2" t="s">
        <v>79</v>
      </c>
      <c r="E21" s="2" t="str">
        <f>LEFT(Table3[[#This Row],[Product ID]],2)</f>
        <v>72</v>
      </c>
      <c r="F21" s="2" t="str">
        <f>RIGHT(Table3[[#This Row],[Product ID]],2)</f>
        <v>IN</v>
      </c>
      <c r="G21" s="2" t="str">
        <f>MID(Table3[[#This Row],[Product ID]],4,4)</f>
        <v>2021</v>
      </c>
      <c r="H21" s="2" t="str">
        <f>UPPER(Table3[[#This Row],[Product Name]])</f>
        <v>MANOJ KUMAR</v>
      </c>
      <c r="I21" s="2" t="str">
        <f>LOWER(Table3[[#This Row],[Username]])</f>
        <v>manojk</v>
      </c>
      <c r="J21" s="2" t="str">
        <f>PROPER(Table3[[#This Row],[Designation]])</f>
        <v>Network Engineer</v>
      </c>
    </row>
    <row r="22" spans="1:10" x14ac:dyDescent="0.3">
      <c r="A22" s="2" t="s">
        <v>95</v>
      </c>
      <c r="B22" s="2" t="s">
        <v>84</v>
      </c>
      <c r="C22" s="2" t="s">
        <v>78</v>
      </c>
      <c r="D22" s="2" t="s">
        <v>97</v>
      </c>
      <c r="E22" s="2" t="str">
        <f>LEFT(Table3[[#This Row],[Product ID]],2)</f>
        <v>22</v>
      </c>
      <c r="F22" s="2" t="str">
        <f>RIGHT(Table3[[#This Row],[Product ID]],2)</f>
        <v>IN</v>
      </c>
      <c r="G22" s="2" t="str">
        <f>MID(Table3[[#This Row],[Product ID]],4,4)</f>
        <v>2023</v>
      </c>
      <c r="H22" s="2" t="str">
        <f>UPPER(Table3[[#This Row],[Product Name]])</f>
        <v>SUBASH BALAN</v>
      </c>
      <c r="I22" s="2" t="str">
        <f>LOWER(Table3[[#This Row],[Username]])</f>
        <v>balansuba</v>
      </c>
      <c r="J22" s="2" t="str">
        <f>PROPER(Table3[[#This Row],[Designation]])</f>
        <v>Network Engineer</v>
      </c>
    </row>
    <row r="23" spans="1:10" x14ac:dyDescent="0.3">
      <c r="A23" s="2" t="s">
        <v>92</v>
      </c>
      <c r="B23" s="2" t="s">
        <v>85</v>
      </c>
      <c r="C23" s="2" t="s">
        <v>6</v>
      </c>
      <c r="D23" s="2" t="s">
        <v>98</v>
      </c>
      <c r="E23" s="2" t="str">
        <f>LEFT(Table3[[#This Row],[Product ID]],2)</f>
        <v>30</v>
      </c>
      <c r="F23" s="2" t="str">
        <f>RIGHT(Table3[[#This Row],[Product ID]],2)</f>
        <v>CA</v>
      </c>
      <c r="G23" s="2" t="str">
        <f>MID(Table3[[#This Row],[Product ID]],4,4)</f>
        <v>2024</v>
      </c>
      <c r="H23" s="2" t="str">
        <f>UPPER(Table3[[#This Row],[Product Name]])</f>
        <v>MAHESWARI</v>
      </c>
      <c r="I23" s="2" t="str">
        <f>LOWER(Table3[[#This Row],[Username]])</f>
        <v>d.deiva</v>
      </c>
      <c r="J23" s="2" t="str">
        <f>PROPER(Table3[[#This Row],[Designation]])</f>
        <v>Data Analyst</v>
      </c>
    </row>
    <row r="24" spans="1:10" x14ac:dyDescent="0.3">
      <c r="A24" s="2" t="s">
        <v>93</v>
      </c>
      <c r="B24" s="2" t="s">
        <v>86</v>
      </c>
      <c r="C24" s="2" t="s">
        <v>87</v>
      </c>
      <c r="D24" s="2" t="s">
        <v>107</v>
      </c>
      <c r="E24" s="2" t="str">
        <f>LEFT(Table3[[#This Row],[Product ID]],2)</f>
        <v>40</v>
      </c>
      <c r="F24" s="2" t="str">
        <f>RIGHT(Table3[[#This Row],[Product ID]],2)</f>
        <v>US</v>
      </c>
      <c r="G24" s="2" t="str">
        <f>MID(Table3[[#This Row],[Product ID]],4,4)</f>
        <v>2025</v>
      </c>
      <c r="H24" s="2" t="str">
        <f>UPPER(Table3[[#This Row],[Product Name]])</f>
        <v>MEKHAVARSHINI</v>
      </c>
      <c r="I24" s="2" t="str">
        <f>LOWER(Table3[[#This Row],[Username]])</f>
        <v>mekha_s</v>
      </c>
      <c r="J24" s="2" t="str">
        <f>PROPER(Table3[[#This Row],[Designation]])</f>
        <v>Doctor</v>
      </c>
    </row>
    <row r="25" spans="1:10" x14ac:dyDescent="0.3">
      <c r="A25" s="2" t="s">
        <v>94</v>
      </c>
      <c r="B25" s="2" t="s">
        <v>88</v>
      </c>
      <c r="C25" s="2" t="s">
        <v>89</v>
      </c>
      <c r="D25" s="6" t="s">
        <v>108</v>
      </c>
      <c r="E25" s="2" t="str">
        <f>LEFT(Table3[[#This Row],[Product ID]],2)</f>
        <v>50</v>
      </c>
      <c r="F25" s="2" t="str">
        <f>RIGHT(Table3[[#This Row],[Product ID]],2)</f>
        <v>UK</v>
      </c>
      <c r="G25" s="2" t="str">
        <f>MID(Table3[[#This Row],[Product ID]],4,4)</f>
        <v>2023</v>
      </c>
      <c r="H25" s="2" t="str">
        <f>UPPER(Table3[[#This Row],[Product Name]])</f>
        <v>MADHUMITHA</v>
      </c>
      <c r="I25" s="2" t="str">
        <f>LOWER(Table3[[#This Row],[Username]])</f>
        <v>madhumitha@123</v>
      </c>
      <c r="J25" s="2" t="str">
        <f>PROPER(Table3[[#This Row],[Designation]])</f>
        <v>Junior Assistant</v>
      </c>
    </row>
    <row r="26" spans="1:10" x14ac:dyDescent="0.3">
      <c r="A26" s="2" t="s">
        <v>96</v>
      </c>
      <c r="B26" s="2" t="s">
        <v>90</v>
      </c>
      <c r="C26" s="2" t="s">
        <v>91</v>
      </c>
      <c r="D26" s="2" t="s">
        <v>99</v>
      </c>
      <c r="E26" s="2" t="str">
        <f>LEFT(Table3[[#This Row],[Product ID]],2)</f>
        <v>68</v>
      </c>
      <c r="F26" s="2" t="str">
        <f>RIGHT(Table3[[#This Row],[Product ID]],2)</f>
        <v>IN</v>
      </c>
      <c r="G26" s="2" t="str">
        <f>MID(Table3[[#This Row],[Product ID]],4,4)</f>
        <v>2021</v>
      </c>
      <c r="H26" s="2" t="str">
        <f>UPPER(Table3[[#This Row],[Product Name]])</f>
        <v>MAGUESVARY</v>
      </c>
      <c r="I26" s="2" t="str">
        <f>LOWER(Table3[[#This Row],[Username]])</f>
        <v>magesh_1452</v>
      </c>
      <c r="J26" s="2" t="str">
        <f>PROPER(Table3[[#This Row],[Designation]])</f>
        <v>Financer</v>
      </c>
    </row>
    <row r="28" spans="1:10" x14ac:dyDescent="0.3">
      <c r="D28" t="s">
        <v>106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Maheswari S</cp:lastModifiedBy>
  <dcterms:created xsi:type="dcterms:W3CDTF">2026-03-30T11:33:55Z</dcterms:created>
  <dcterms:modified xsi:type="dcterms:W3CDTF">2026-04-01T03:01:56Z</dcterms:modified>
</cp:coreProperties>
</file>