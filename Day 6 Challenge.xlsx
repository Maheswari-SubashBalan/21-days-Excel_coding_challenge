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38efea81396b767/Desktop/Entri/21 days challenge/"/>
    </mc:Choice>
  </mc:AlternateContent>
  <xr:revisionPtr revIDLastSave="13" documentId="8_{68E3957F-D56C-466D-AC73-856380C55D72}" xr6:coauthVersionLast="47" xr6:coauthVersionMax="47" xr10:uidLastSave="{E62D5E7F-947D-4719-833F-7AD73D700B18}"/>
  <bookViews>
    <workbookView xWindow="-108" yWindow="-108" windowWidth="23256" windowHeight="12456" activeTab="1" xr2:uid="{C8637C65-5AF4-4BF2-8F74-AB83FDD00C22}"/>
  </bookViews>
  <sheets>
    <sheet name="Process" sheetId="1" r:id="rId1"/>
    <sheet name="Cleaned" sheetId="2" r:id="rId2"/>
  </sheets>
  <calcPr calcId="191029"/>
</workbook>
</file>

<file path=xl/calcChain.xml><?xml version="1.0" encoding="utf-8"?>
<calcChain xmlns="http://schemas.openxmlformats.org/spreadsheetml/2006/main">
  <c r="L2" i="1" l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</calcChain>
</file>

<file path=xl/sharedStrings.xml><?xml version="1.0" encoding="utf-8"?>
<sst xmlns="http://schemas.openxmlformats.org/spreadsheetml/2006/main" count="11810" uniqueCount="1477">
  <si>
    <t>Freelancer_ID</t>
  </si>
  <si>
    <t>Name</t>
  </si>
  <si>
    <t>Gender</t>
  </si>
  <si>
    <t>Age</t>
  </si>
  <si>
    <t>Language</t>
  </si>
  <si>
    <t>Primary_Skill</t>
  </si>
  <si>
    <t>Years_of_Experience</t>
  </si>
  <si>
    <t>Hourly_Rate (USD)</t>
  </si>
  <si>
    <t>Client_Satisfaction</t>
  </si>
  <si>
    <t>Notes</t>
  </si>
  <si>
    <t>Status</t>
  </si>
  <si>
    <t xml:space="preserve">No of Projects </t>
  </si>
  <si>
    <t>Duration_Months</t>
  </si>
  <si>
    <t>FL250001</t>
  </si>
  <si>
    <t>Ms. Nicole Kidd</t>
  </si>
  <si>
    <t>f</t>
  </si>
  <si>
    <t>Italy</t>
  </si>
  <si>
    <t>Italian</t>
  </si>
  <si>
    <t>Blockchain Development</t>
  </si>
  <si>
    <t>Reviewed</t>
  </si>
  <si>
    <t>On Hold</t>
  </si>
  <si>
    <t>FL250002</t>
  </si>
  <si>
    <t>Vanessa Garcia</t>
  </si>
  <si>
    <t>FEMALE</t>
  </si>
  <si>
    <t>Australia</t>
  </si>
  <si>
    <t>English</t>
  </si>
  <si>
    <t>Mobile Apps</t>
  </si>
  <si>
    <t>Completed</t>
  </si>
  <si>
    <t>FL250003</t>
  </si>
  <si>
    <t>Juan Nelson</t>
  </si>
  <si>
    <t>male</t>
  </si>
  <si>
    <t>Germany</t>
  </si>
  <si>
    <t>Graphic Design</t>
  </si>
  <si>
    <t>Active</t>
  </si>
  <si>
    <t>FL250004</t>
  </si>
  <si>
    <t>Amanda Spencer</t>
  </si>
  <si>
    <t>F</t>
  </si>
  <si>
    <t>Web Development</t>
  </si>
  <si>
    <t>$40</t>
  </si>
  <si>
    <t>female</t>
  </si>
  <si>
    <t>FL250006</t>
  </si>
  <si>
    <t>Lisa Johnson</t>
  </si>
  <si>
    <t>Netherlands</t>
  </si>
  <si>
    <t>Dutch</t>
  </si>
  <si>
    <t>AI</t>
  </si>
  <si>
    <t>$30</t>
  </si>
  <si>
    <t>Urgent</t>
  </si>
  <si>
    <t>FL250007</t>
  </si>
  <si>
    <t>Eric Myers</t>
  </si>
  <si>
    <t>m</t>
  </si>
  <si>
    <t>Indonesia</t>
  </si>
  <si>
    <t>Indonesian</t>
  </si>
  <si>
    <t>Data Analysis</t>
  </si>
  <si>
    <t>FL250008</t>
  </si>
  <si>
    <t>Ricky Graham</t>
  </si>
  <si>
    <t>FL250009</t>
  </si>
  <si>
    <t>Sean Martin</t>
  </si>
  <si>
    <t>US</t>
  </si>
  <si>
    <t>Inactive</t>
  </si>
  <si>
    <t>FL250010</t>
  </si>
  <si>
    <t>Matthew Lloyd</t>
  </si>
  <si>
    <t>MALE</t>
  </si>
  <si>
    <t>Turkey</t>
  </si>
  <si>
    <t>Turkish</t>
  </si>
  <si>
    <t>$50</t>
  </si>
  <si>
    <t>Pending</t>
  </si>
  <si>
    <t>FL250011</t>
  </si>
  <si>
    <t>Gavin Randall</t>
  </si>
  <si>
    <t>UK</t>
  </si>
  <si>
    <t>Follow-up</t>
  </si>
  <si>
    <t>FL250012</t>
  </si>
  <si>
    <t>Michelle Curtis</t>
  </si>
  <si>
    <t>Argentina</t>
  </si>
  <si>
    <t>Spanish</t>
  </si>
  <si>
    <t>UI/UX Design</t>
  </si>
  <si>
    <t>FL250013</t>
  </si>
  <si>
    <t>Alice Schneider</t>
  </si>
  <si>
    <t>Female</t>
  </si>
  <si>
    <t>Cybersecurity</t>
  </si>
  <si>
    <t>FL250014</t>
  </si>
  <si>
    <t>Phillip Shelton</t>
  </si>
  <si>
    <t>FL250015</t>
  </si>
  <si>
    <t>Edward Ferguson</t>
  </si>
  <si>
    <t>Japan</t>
  </si>
  <si>
    <t>Japanese</t>
  </si>
  <si>
    <t>FL250017</t>
  </si>
  <si>
    <t>Laura Johnson</t>
  </si>
  <si>
    <t>DevOps</t>
  </si>
  <si>
    <t>FL250018</t>
  </si>
  <si>
    <t>Scott Burns</t>
  </si>
  <si>
    <t>M</t>
  </si>
  <si>
    <t>India</t>
  </si>
  <si>
    <t>Hindi</t>
  </si>
  <si>
    <t>FL250019</t>
  </si>
  <si>
    <t>Tyler Aguirre</t>
  </si>
  <si>
    <t>Male</t>
  </si>
  <si>
    <t>FL250020</t>
  </si>
  <si>
    <t>Matthew Lawson</t>
  </si>
  <si>
    <t>FL250021</t>
  </si>
  <si>
    <t>James Cherry</t>
  </si>
  <si>
    <t>FL250022</t>
  </si>
  <si>
    <t>Samuel Sanford</t>
  </si>
  <si>
    <t>FL250023</t>
  </si>
  <si>
    <t>Cesar Greene</t>
  </si>
  <si>
    <t>Brazil</t>
  </si>
  <si>
    <t>Portuguese</t>
  </si>
  <si>
    <t>FL250024</t>
  </si>
  <si>
    <t>Melanie Carter</t>
  </si>
  <si>
    <t>South Korea</t>
  </si>
  <si>
    <t>Korean</t>
  </si>
  <si>
    <t>Machine Learning</t>
  </si>
  <si>
    <t>FL250025</t>
  </si>
  <si>
    <t>Jennifer Martin</t>
  </si>
  <si>
    <t>FL250026</t>
  </si>
  <si>
    <t>Anna Mccann</t>
  </si>
  <si>
    <t>FL250027</t>
  </si>
  <si>
    <t>Marissa Bass</t>
  </si>
  <si>
    <t>$20</t>
  </si>
  <si>
    <t>FL250028</t>
  </si>
  <si>
    <t>Alexis Day</t>
  </si>
  <si>
    <t>Russia</t>
  </si>
  <si>
    <t>Russian</t>
  </si>
  <si>
    <t>FL250029</t>
  </si>
  <si>
    <t>Megan Jones</t>
  </si>
  <si>
    <t>Canada</t>
  </si>
  <si>
    <t>FL250030</t>
  </si>
  <si>
    <t>Lori Smith</t>
  </si>
  <si>
    <t>FL250031</t>
  </si>
  <si>
    <t>Eric Carpenter</t>
  </si>
  <si>
    <t>FL250032</t>
  </si>
  <si>
    <t>Timothy Daniels</t>
  </si>
  <si>
    <t>France</t>
  </si>
  <si>
    <t>French</t>
  </si>
  <si>
    <t>FL250033</t>
  </si>
  <si>
    <t>Robert Nelson</t>
  </si>
  <si>
    <t>Egypt</t>
  </si>
  <si>
    <t>Arabic</t>
  </si>
  <si>
    <t>FL250034</t>
  </si>
  <si>
    <t>Michael Anderson</t>
  </si>
  <si>
    <t>FL250035</t>
  </si>
  <si>
    <t>Jessica Snyder</t>
  </si>
  <si>
    <t>FL250037</t>
  </si>
  <si>
    <t>Jamie Ramirez</t>
  </si>
  <si>
    <t>FL250038</t>
  </si>
  <si>
    <t>Amy Harrison</t>
  </si>
  <si>
    <t>FL250039</t>
  </si>
  <si>
    <t>Melinda White</t>
  </si>
  <si>
    <t>South Africa</t>
  </si>
  <si>
    <t>Afrikaans</t>
  </si>
  <si>
    <t>FL250040</t>
  </si>
  <si>
    <t>James Hernandez</t>
  </si>
  <si>
    <t>FL250041</t>
  </si>
  <si>
    <t>Angelica Rogers</t>
  </si>
  <si>
    <t>FL250042</t>
  </si>
  <si>
    <t>Savannah Williams</t>
  </si>
  <si>
    <t>FL250043</t>
  </si>
  <si>
    <t>Kaitlyn Schmidt</t>
  </si>
  <si>
    <t>FL250044</t>
  </si>
  <si>
    <t>Jason Singh</t>
  </si>
  <si>
    <t>FL250045</t>
  </si>
  <si>
    <t>Michelle Ramirez</t>
  </si>
  <si>
    <t>FL250046</t>
  </si>
  <si>
    <t>James Brown</t>
  </si>
  <si>
    <t>$75</t>
  </si>
  <si>
    <t>FL250047</t>
  </si>
  <si>
    <t>Mrs. Samantha Simmons</t>
  </si>
  <si>
    <t>FL250048</t>
  </si>
  <si>
    <t>Chase Mason</t>
  </si>
  <si>
    <t>China</t>
  </si>
  <si>
    <t>Mandarin</t>
  </si>
  <si>
    <t>FL250049</t>
  </si>
  <si>
    <t>Dominique Ward</t>
  </si>
  <si>
    <t>Mexico</t>
  </si>
  <si>
    <t>FL250050</t>
  </si>
  <si>
    <t>Lance Griffin</t>
  </si>
  <si>
    <t>FL250051</t>
  </si>
  <si>
    <t>Julie Burgess</t>
  </si>
  <si>
    <t>FL250052</t>
  </si>
  <si>
    <t>Don Scott</t>
  </si>
  <si>
    <t>FL250053</t>
  </si>
  <si>
    <t>Kyle Atkinson</t>
  </si>
  <si>
    <t>FL250054</t>
  </si>
  <si>
    <t>Jimmy Hogan</t>
  </si>
  <si>
    <t>Spain</t>
  </si>
  <si>
    <t>FL250055</t>
  </si>
  <si>
    <t>Jennifer Mcintyre</t>
  </si>
  <si>
    <t>FL250056</t>
  </si>
  <si>
    <t>Larry Simpson</t>
  </si>
  <si>
    <t>FL250057</t>
  </si>
  <si>
    <t>Laura Price</t>
  </si>
  <si>
    <t>FL250058</t>
  </si>
  <si>
    <t>Mark Wright</t>
  </si>
  <si>
    <t>FL250059</t>
  </si>
  <si>
    <t>Samantha Mcdaniel</t>
  </si>
  <si>
    <t>FL250060</t>
  </si>
  <si>
    <t>Barbara Foster</t>
  </si>
  <si>
    <t>FL250061</t>
  </si>
  <si>
    <t>Courtney Tran</t>
  </si>
  <si>
    <t>FL250062</t>
  </si>
  <si>
    <t>Eddie Todd</t>
  </si>
  <si>
    <t>FL250063</t>
  </si>
  <si>
    <t>Christine Johnson</t>
  </si>
  <si>
    <t>FL250064</t>
  </si>
  <si>
    <t>Leah Phelps</t>
  </si>
  <si>
    <t>FL250065</t>
  </si>
  <si>
    <t>Rebekah Williams</t>
  </si>
  <si>
    <t>FL250066</t>
  </si>
  <si>
    <t>Crystal Wilson</t>
  </si>
  <si>
    <t>FL250067</t>
  </si>
  <si>
    <t>Ashley Cordova</t>
  </si>
  <si>
    <t>FL250068</t>
  </si>
  <si>
    <t>Vicki Kelly</t>
  </si>
  <si>
    <t>FL250069</t>
  </si>
  <si>
    <t>Corey Warren</t>
  </si>
  <si>
    <t>FL250070</t>
  </si>
  <si>
    <t>Gina Thompson</t>
  </si>
  <si>
    <t>FL250071</t>
  </si>
  <si>
    <t>Yvonne Berg</t>
  </si>
  <si>
    <t>FL250072</t>
  </si>
  <si>
    <t>Thomas Miller</t>
  </si>
  <si>
    <t>FL250073</t>
  </si>
  <si>
    <t>Nicholas Burton</t>
  </si>
  <si>
    <t>$100</t>
  </si>
  <si>
    <t>FL250074</t>
  </si>
  <si>
    <t>Jorge Riley</t>
  </si>
  <si>
    <t>FL250075</t>
  </si>
  <si>
    <t>Melvin Harris</t>
  </si>
  <si>
    <t>FL250076</t>
  </si>
  <si>
    <t>Jeremy Meyer</t>
  </si>
  <si>
    <t>FL250077</t>
  </si>
  <si>
    <t>Timothy Lee</t>
  </si>
  <si>
    <t>FL250078</t>
  </si>
  <si>
    <t>Diana Bautista</t>
  </si>
  <si>
    <t>FL250079</t>
  </si>
  <si>
    <t>Leslie Rodriguez</t>
  </si>
  <si>
    <t>FL250080</t>
  </si>
  <si>
    <t>Noah Wiggins</t>
  </si>
  <si>
    <t>FL250081</t>
  </si>
  <si>
    <t>Bridget Williams</t>
  </si>
  <si>
    <t>FL250082</t>
  </si>
  <si>
    <t>Veronica Baker</t>
  </si>
  <si>
    <t>FL250083</t>
  </si>
  <si>
    <t>Andrew Avila</t>
  </si>
  <si>
    <t>FL250084</t>
  </si>
  <si>
    <t>Michael Roberson</t>
  </si>
  <si>
    <t>FL250085</t>
  </si>
  <si>
    <t>Austin Jenkins</t>
  </si>
  <si>
    <t>FL250086</t>
  </si>
  <si>
    <t>Brenda Green</t>
  </si>
  <si>
    <t>FL250087</t>
  </si>
  <si>
    <t>Samuel Pierce</t>
  </si>
  <si>
    <t>FL250088</t>
  </si>
  <si>
    <t>Briana Smith</t>
  </si>
  <si>
    <t>FL250089</t>
  </si>
  <si>
    <t>Ronald Barrett</t>
  </si>
  <si>
    <t>FL250090</t>
  </si>
  <si>
    <t>Matthew Smith</t>
  </si>
  <si>
    <t>FL250091</t>
  </si>
  <si>
    <t>Logan Huang</t>
  </si>
  <si>
    <t>FL250092</t>
  </si>
  <si>
    <t>Miranda Hutchinson</t>
  </si>
  <si>
    <t>FL250093</t>
  </si>
  <si>
    <t>Paul Richardson</t>
  </si>
  <si>
    <t>FL250094</t>
  </si>
  <si>
    <t>Jose Jones</t>
  </si>
  <si>
    <t>FL250095</t>
  </si>
  <si>
    <t>Denise Smith</t>
  </si>
  <si>
    <t>FL250096</t>
  </si>
  <si>
    <t>Shelby Mcmahon</t>
  </si>
  <si>
    <t>FL250097</t>
  </si>
  <si>
    <t>Bethany Wright</t>
  </si>
  <si>
    <t>FL250098</t>
  </si>
  <si>
    <t>David Ortiz</t>
  </si>
  <si>
    <t>FL250099</t>
  </si>
  <si>
    <t>Andrew Lynch</t>
  </si>
  <si>
    <t>FL250100</t>
  </si>
  <si>
    <t>Kristopher Meyers</t>
  </si>
  <si>
    <t>FL250101</t>
  </si>
  <si>
    <t>Thomas Roth</t>
  </si>
  <si>
    <t>FL250102</t>
  </si>
  <si>
    <t>Vicki Brown</t>
  </si>
  <si>
    <t>FL250103</t>
  </si>
  <si>
    <t>Stacy Sutton</t>
  </si>
  <si>
    <t>FL250104</t>
  </si>
  <si>
    <t>Kimberly Holland</t>
  </si>
  <si>
    <t>FL250105</t>
  </si>
  <si>
    <t>Travis Richardson</t>
  </si>
  <si>
    <t>FL250106</t>
  </si>
  <si>
    <t>Jasmin Ho</t>
  </si>
  <si>
    <t>FL250107</t>
  </si>
  <si>
    <t>Mark Paul</t>
  </si>
  <si>
    <t>FL250108</t>
  </si>
  <si>
    <t>Jennifer Lewis</t>
  </si>
  <si>
    <t>FL250109</t>
  </si>
  <si>
    <t>Elizabeth Lester</t>
  </si>
  <si>
    <t>FL250110</t>
  </si>
  <si>
    <t>Kimberly Griffin</t>
  </si>
  <si>
    <t>FL250111</t>
  </si>
  <si>
    <t>Tyler Warner</t>
  </si>
  <si>
    <t>FL250112</t>
  </si>
  <si>
    <t>Jane Cox</t>
  </si>
  <si>
    <t>FL250113</t>
  </si>
  <si>
    <t>Leah Williams</t>
  </si>
  <si>
    <t>FL250114</t>
  </si>
  <si>
    <t>Kevin Wong</t>
  </si>
  <si>
    <t>FL250115</t>
  </si>
  <si>
    <t>Robert Andrews</t>
  </si>
  <si>
    <t>FL250116</t>
  </si>
  <si>
    <t>Jessica Torres</t>
  </si>
  <si>
    <t>FL250117</t>
  </si>
  <si>
    <t>Teresa Kim</t>
  </si>
  <si>
    <t>FL250118</t>
  </si>
  <si>
    <t>Jon Morgan</t>
  </si>
  <si>
    <t>FL250119</t>
  </si>
  <si>
    <t>Gloria Chaney</t>
  </si>
  <si>
    <t>FL250120</t>
  </si>
  <si>
    <t>Jesse Campbell</t>
  </si>
  <si>
    <t>FL250121</t>
  </si>
  <si>
    <t>Allison Tucker MD</t>
  </si>
  <si>
    <t>FL250122</t>
  </si>
  <si>
    <t>Candice Petersen</t>
  </si>
  <si>
    <t>FL250123</t>
  </si>
  <si>
    <t>Christopher Nichols</t>
  </si>
  <si>
    <t>FL250124</t>
  </si>
  <si>
    <t>Debra Garcia</t>
  </si>
  <si>
    <t>FL250125</t>
  </si>
  <si>
    <t>Andrew Fuentes</t>
  </si>
  <si>
    <t>FL250126</t>
  </si>
  <si>
    <t>Jason Carter</t>
  </si>
  <si>
    <t>FL250127</t>
  </si>
  <si>
    <t>Austin Romero</t>
  </si>
  <si>
    <t>FL250128</t>
  </si>
  <si>
    <t>Clayton Burns</t>
  </si>
  <si>
    <t>FL250129</t>
  </si>
  <si>
    <t>Jonathan Clark</t>
  </si>
  <si>
    <t>FL250130</t>
  </si>
  <si>
    <t>Alexander Griffin</t>
  </si>
  <si>
    <t>FL250131</t>
  </si>
  <si>
    <t>Shelly Whitehead</t>
  </si>
  <si>
    <t>FL250132</t>
  </si>
  <si>
    <t>Kaitlyn Davis</t>
  </si>
  <si>
    <t>FL250133</t>
  </si>
  <si>
    <t>Christopher Jones</t>
  </si>
  <si>
    <t>FL250134</t>
  </si>
  <si>
    <t>Cindy Jacobs</t>
  </si>
  <si>
    <t>FL250135</t>
  </si>
  <si>
    <t>Penny Day</t>
  </si>
  <si>
    <t>FL250136</t>
  </si>
  <si>
    <t>Thomas Ingram</t>
  </si>
  <si>
    <t>FL250137</t>
  </si>
  <si>
    <t>Donna Hansen</t>
  </si>
  <si>
    <t>FL250138</t>
  </si>
  <si>
    <t>Donna Bailey</t>
  </si>
  <si>
    <t>FL250139</t>
  </si>
  <si>
    <t>Joshua Armstrong</t>
  </si>
  <si>
    <t>FL250140</t>
  </si>
  <si>
    <t>Jonathan Garza</t>
  </si>
  <si>
    <t>FL250141</t>
  </si>
  <si>
    <t>Charles Jones</t>
  </si>
  <si>
    <t>FL250142</t>
  </si>
  <si>
    <t>Lindsey Miles</t>
  </si>
  <si>
    <t>FL250143</t>
  </si>
  <si>
    <t>Eduardo Reed</t>
  </si>
  <si>
    <t>FL250144</t>
  </si>
  <si>
    <t>Lee Fowler</t>
  </si>
  <si>
    <t>FL250145</t>
  </si>
  <si>
    <t>Steven Jones Jr.</t>
  </si>
  <si>
    <t>FL250146</t>
  </si>
  <si>
    <t>Ashley Chen</t>
  </si>
  <si>
    <t>FL250147</t>
  </si>
  <si>
    <t>Erica Davis</t>
  </si>
  <si>
    <t>FL250148</t>
  </si>
  <si>
    <t>Wayne Gonzales</t>
  </si>
  <si>
    <t>FL250149</t>
  </si>
  <si>
    <t>Gary Ballard</t>
  </si>
  <si>
    <t>FL250150</t>
  </si>
  <si>
    <t>Maria Mcguire</t>
  </si>
  <si>
    <t>FL250151</t>
  </si>
  <si>
    <t>Matthew Richards</t>
  </si>
  <si>
    <t>FL250152</t>
  </si>
  <si>
    <t>Patrick Malone</t>
  </si>
  <si>
    <t>FL250153</t>
  </si>
  <si>
    <t>Cindy Martin</t>
  </si>
  <si>
    <t>FL250154</t>
  </si>
  <si>
    <t>Anne Edwards</t>
  </si>
  <si>
    <t>FL250155</t>
  </si>
  <si>
    <t>Mitchell Martin</t>
  </si>
  <si>
    <t>FL250156</t>
  </si>
  <si>
    <t>Mitchell Patrick</t>
  </si>
  <si>
    <t>FL250157</t>
  </si>
  <si>
    <t>Rebecca Lyons</t>
  </si>
  <si>
    <t>FL250158</t>
  </si>
  <si>
    <t>Christian Lopez</t>
  </si>
  <si>
    <t>FL250159</t>
  </si>
  <si>
    <t>Nathan Blair</t>
  </si>
  <si>
    <t>FL250160</t>
  </si>
  <si>
    <t>Patricia Lopez</t>
  </si>
  <si>
    <t>FL250161</t>
  </si>
  <si>
    <t>Michelle Wu</t>
  </si>
  <si>
    <t>FL250162</t>
  </si>
  <si>
    <t>Donald Mitchell</t>
  </si>
  <si>
    <t>FL250163</t>
  </si>
  <si>
    <t>Sean Gordon</t>
  </si>
  <si>
    <t>FL250164</t>
  </si>
  <si>
    <t>Gregory Clarke</t>
  </si>
  <si>
    <t>FL250165</t>
  </si>
  <si>
    <t>Steven Whitney</t>
  </si>
  <si>
    <t>FL250166</t>
  </si>
  <si>
    <t>Robin Acosta</t>
  </si>
  <si>
    <t>FL250167</t>
  </si>
  <si>
    <t>John Smith</t>
  </si>
  <si>
    <t>FL250168</t>
  </si>
  <si>
    <t>Susan Baker</t>
  </si>
  <si>
    <t>FL250169</t>
  </si>
  <si>
    <t>Anthony Larsen</t>
  </si>
  <si>
    <t>FL250170</t>
  </si>
  <si>
    <t>Nicholas Carpenter</t>
  </si>
  <si>
    <t>FL250171</t>
  </si>
  <si>
    <t>Debra Salazar</t>
  </si>
  <si>
    <t>FL250172</t>
  </si>
  <si>
    <t>William Smith</t>
  </si>
  <si>
    <t>FL250173</t>
  </si>
  <si>
    <t>Caroline Gross</t>
  </si>
  <si>
    <t>FL250174</t>
  </si>
  <si>
    <t>Jeremy Sawyer</t>
  </si>
  <si>
    <t>FL250175</t>
  </si>
  <si>
    <t>Eduardo Burns</t>
  </si>
  <si>
    <t>FL250176</t>
  </si>
  <si>
    <t>Amanda Jones</t>
  </si>
  <si>
    <t>FL250177</t>
  </si>
  <si>
    <t>Frederick Ware</t>
  </si>
  <si>
    <t>FL250178</t>
  </si>
  <si>
    <t>Michael Black</t>
  </si>
  <si>
    <t>FL250179</t>
  </si>
  <si>
    <t>Patricia Sanders</t>
  </si>
  <si>
    <t>FL250180</t>
  </si>
  <si>
    <t>Marc Joseph</t>
  </si>
  <si>
    <t>FL250181</t>
  </si>
  <si>
    <t>Vanessa White</t>
  </si>
  <si>
    <t>FL250182</t>
  </si>
  <si>
    <t>Jennifer Garcia</t>
  </si>
  <si>
    <t>FL250183</t>
  </si>
  <si>
    <t>Michael Zavala</t>
  </si>
  <si>
    <t>FL250184</t>
  </si>
  <si>
    <t>Kimberly Williams</t>
  </si>
  <si>
    <t>FL250185</t>
  </si>
  <si>
    <t>Elizabeth Jenkins</t>
  </si>
  <si>
    <t>FL250186</t>
  </si>
  <si>
    <t>Brandon Ford</t>
  </si>
  <si>
    <t>FL250187</t>
  </si>
  <si>
    <t>Justin House</t>
  </si>
  <si>
    <t>FL250188</t>
  </si>
  <si>
    <t>Henry Mullen</t>
  </si>
  <si>
    <t>FL250189</t>
  </si>
  <si>
    <t>Jesse Cochran</t>
  </si>
  <si>
    <t>FL250190</t>
  </si>
  <si>
    <t>Melissa Rich</t>
  </si>
  <si>
    <t>FL250191</t>
  </si>
  <si>
    <t>Patrick Dunlap</t>
  </si>
  <si>
    <t>FL250192</t>
  </si>
  <si>
    <t>Troy Carson</t>
  </si>
  <si>
    <t>FL250193</t>
  </si>
  <si>
    <t>FL250194</t>
  </si>
  <si>
    <t>Jennifer Cherry</t>
  </si>
  <si>
    <t>FL250195</t>
  </si>
  <si>
    <t>Brandi Tucker</t>
  </si>
  <si>
    <t>FL250196</t>
  </si>
  <si>
    <t>Zachary Burke</t>
  </si>
  <si>
    <t>FL250197</t>
  </si>
  <si>
    <t>Thomas Jones</t>
  </si>
  <si>
    <t>FL250198</t>
  </si>
  <si>
    <t>Brian Dunn</t>
  </si>
  <si>
    <t>FL250199</t>
  </si>
  <si>
    <t>Shirley Strickland</t>
  </si>
  <si>
    <t>FL250200</t>
  </si>
  <si>
    <t>Nicole Meyers</t>
  </si>
  <si>
    <t>FL250201</t>
  </si>
  <si>
    <t>Jill Stephens</t>
  </si>
  <si>
    <t>FL250202</t>
  </si>
  <si>
    <t>Heidi Miranda</t>
  </si>
  <si>
    <t>FL250203</t>
  </si>
  <si>
    <t>Jesus Martinez</t>
  </si>
  <si>
    <t>FL250204</t>
  </si>
  <si>
    <t>Adam Payne</t>
  </si>
  <si>
    <t>FL250205</t>
  </si>
  <si>
    <t>Walter Williams</t>
  </si>
  <si>
    <t>FL250206</t>
  </si>
  <si>
    <t>Shannon Farmer</t>
  </si>
  <si>
    <t>FL250207</t>
  </si>
  <si>
    <t>Peter Reyes</t>
  </si>
  <si>
    <t>FL250208</t>
  </si>
  <si>
    <t>Kristen Knight</t>
  </si>
  <si>
    <t>FL250209</t>
  </si>
  <si>
    <t>William Moore Jr.</t>
  </si>
  <si>
    <t>FL250210</t>
  </si>
  <si>
    <t>Jennifer Rowe</t>
  </si>
  <si>
    <t>FL250211</t>
  </si>
  <si>
    <t>Mikayla Henry</t>
  </si>
  <si>
    <t>FL250212</t>
  </si>
  <si>
    <t>Jacob Kerr</t>
  </si>
  <si>
    <t>FL250213</t>
  </si>
  <si>
    <t>Ryan Johnson</t>
  </si>
  <si>
    <t>FL250214</t>
  </si>
  <si>
    <t>Michael Ruiz</t>
  </si>
  <si>
    <t>FL250215</t>
  </si>
  <si>
    <t>Monica Roberts</t>
  </si>
  <si>
    <t>FL250216</t>
  </si>
  <si>
    <t>Danny Brown</t>
  </si>
  <si>
    <t>FL250217</t>
  </si>
  <si>
    <t>Karen Larsen</t>
  </si>
  <si>
    <t>FL250218</t>
  </si>
  <si>
    <t>Robert Evans</t>
  </si>
  <si>
    <t>FL250219</t>
  </si>
  <si>
    <t>Sean Poole</t>
  </si>
  <si>
    <t>FL250220</t>
  </si>
  <si>
    <t>Richard Quinn</t>
  </si>
  <si>
    <t>FL250221</t>
  </si>
  <si>
    <t>Jennifer Gonzalez</t>
  </si>
  <si>
    <t>FL250222</t>
  </si>
  <si>
    <t>James Skinner</t>
  </si>
  <si>
    <t>FL250223</t>
  </si>
  <si>
    <t>Michelle Hill</t>
  </si>
  <si>
    <t>FL250224</t>
  </si>
  <si>
    <t>Jacqueline Williams</t>
  </si>
  <si>
    <t>FL250225</t>
  </si>
  <si>
    <t>Darrell Johnson</t>
  </si>
  <si>
    <t>FL250226</t>
  </si>
  <si>
    <t>Ryan Crawford</t>
  </si>
  <si>
    <t>FL250227</t>
  </si>
  <si>
    <t>Chelsea Barber</t>
  </si>
  <si>
    <t>FL250228</t>
  </si>
  <si>
    <t>Elaine Martinez</t>
  </si>
  <si>
    <t>FL250229</t>
  </si>
  <si>
    <t>Joseph Kent</t>
  </si>
  <si>
    <t>FL250230</t>
  </si>
  <si>
    <t>Megan Welch</t>
  </si>
  <si>
    <t>FL250231</t>
  </si>
  <si>
    <t>Stephen Ramirez</t>
  </si>
  <si>
    <t>FL250232</t>
  </si>
  <si>
    <t>Chloe Gray</t>
  </si>
  <si>
    <t>FL250233</t>
  </si>
  <si>
    <t>Michael Williams Jr.</t>
  </si>
  <si>
    <t>FL250234</t>
  </si>
  <si>
    <t>Matthew Martin</t>
  </si>
  <si>
    <t>FL250235</t>
  </si>
  <si>
    <t>Julia Murphy</t>
  </si>
  <si>
    <t>FL250236</t>
  </si>
  <si>
    <t>Anna Evans</t>
  </si>
  <si>
    <t>FL250237</t>
  </si>
  <si>
    <t>Brenda Fleming</t>
  </si>
  <si>
    <t>FL250238</t>
  </si>
  <si>
    <t>Daniel Harrington</t>
  </si>
  <si>
    <t>FL250239</t>
  </si>
  <si>
    <t>Daniel Barnett</t>
  </si>
  <si>
    <t>FL250240</t>
  </si>
  <si>
    <t>Mark Cummings</t>
  </si>
  <si>
    <t>FL250241</t>
  </si>
  <si>
    <t>Christopher Guerra</t>
  </si>
  <si>
    <t>FL250242</t>
  </si>
  <si>
    <t>Sarah Ho</t>
  </si>
  <si>
    <t>FL250243</t>
  </si>
  <si>
    <t>Veronica Thomas</t>
  </si>
  <si>
    <t>FL250244</t>
  </si>
  <si>
    <t>Mitchell Watson</t>
  </si>
  <si>
    <t>FL250245</t>
  </si>
  <si>
    <t>Monica Murphy</t>
  </si>
  <si>
    <t>FL250246</t>
  </si>
  <si>
    <t>Kristen Williams</t>
  </si>
  <si>
    <t>FL250247</t>
  </si>
  <si>
    <t>Nicole Wright</t>
  </si>
  <si>
    <t>FL250248</t>
  </si>
  <si>
    <t>Andrew Ruiz</t>
  </si>
  <si>
    <t>FL250249</t>
  </si>
  <si>
    <t>Zachary Jackson</t>
  </si>
  <si>
    <t>FL250250</t>
  </si>
  <si>
    <t>Stephanie Carter</t>
  </si>
  <si>
    <t>FL250251</t>
  </si>
  <si>
    <t>Amy Olson</t>
  </si>
  <si>
    <t>FL250252</t>
  </si>
  <si>
    <t>Fred Stark</t>
  </si>
  <si>
    <t>FL250253</t>
  </si>
  <si>
    <t>Jacob Gill</t>
  </si>
  <si>
    <t>FL250254</t>
  </si>
  <si>
    <t>Anthony Nichols</t>
  </si>
  <si>
    <t>FL250255</t>
  </si>
  <si>
    <t>William Knapp</t>
  </si>
  <si>
    <t>FL250256</t>
  </si>
  <si>
    <t>Elizabeth Walker</t>
  </si>
  <si>
    <t>FL250257</t>
  </si>
  <si>
    <t>Brenda Reeves</t>
  </si>
  <si>
    <t>FL250258</t>
  </si>
  <si>
    <t>Carrie Little</t>
  </si>
  <si>
    <t>FL250259</t>
  </si>
  <si>
    <t>Steven Jackson</t>
  </si>
  <si>
    <t>FL250260</t>
  </si>
  <si>
    <t>Mark Perry</t>
  </si>
  <si>
    <t>FL250261</t>
  </si>
  <si>
    <t>Cameron Spencer</t>
  </si>
  <si>
    <t>FL250262</t>
  </si>
  <si>
    <t>Jennifer Holmes</t>
  </si>
  <si>
    <t>FL250263</t>
  </si>
  <si>
    <t>Jacob Joseph</t>
  </si>
  <si>
    <t>FL250264</t>
  </si>
  <si>
    <t>Jeffery Tucker</t>
  </si>
  <si>
    <t>FL250265</t>
  </si>
  <si>
    <t>Jacqueline Drake</t>
  </si>
  <si>
    <t>FL250266</t>
  </si>
  <si>
    <t>Brian Bautista</t>
  </si>
  <si>
    <t>FL250267</t>
  </si>
  <si>
    <t>Dakota Wells</t>
  </si>
  <si>
    <t>FL250268</t>
  </si>
  <si>
    <t>Julie White</t>
  </si>
  <si>
    <t>FL250269</t>
  </si>
  <si>
    <t>Barbara Keith</t>
  </si>
  <si>
    <t>FL250270</t>
  </si>
  <si>
    <t>Heather Camacho</t>
  </si>
  <si>
    <t>FL250271</t>
  </si>
  <si>
    <t>Melanie Harris</t>
  </si>
  <si>
    <t>FL250272</t>
  </si>
  <si>
    <t>Jacqueline Peterson</t>
  </si>
  <si>
    <t>FL250273</t>
  </si>
  <si>
    <t>Nancy Long</t>
  </si>
  <si>
    <t>FL250274</t>
  </si>
  <si>
    <t>Mr. Juan Mitchell</t>
  </si>
  <si>
    <t>FL250275</t>
  </si>
  <si>
    <t>William Gaines</t>
  </si>
  <si>
    <t>FL250276</t>
  </si>
  <si>
    <t>Haley Yates</t>
  </si>
  <si>
    <t>FL250277</t>
  </si>
  <si>
    <t>Richard Mcguire</t>
  </si>
  <si>
    <t>FL250278</t>
  </si>
  <si>
    <t>Stephanie Fisher</t>
  </si>
  <si>
    <t>FL250279</t>
  </si>
  <si>
    <t>Anthony Goodwin DDS</t>
  </si>
  <si>
    <t>FL250280</t>
  </si>
  <si>
    <t>Meagan Walters</t>
  </si>
  <si>
    <t>FL250281</t>
  </si>
  <si>
    <t>David Powell</t>
  </si>
  <si>
    <t>FL250282</t>
  </si>
  <si>
    <t>Kelly Jones</t>
  </si>
  <si>
    <t>FL250283</t>
  </si>
  <si>
    <t>Dr. Michael Aguilar</t>
  </si>
  <si>
    <t>FL250284</t>
  </si>
  <si>
    <t>Alex Novak</t>
  </si>
  <si>
    <t>FL250285</t>
  </si>
  <si>
    <t>Ann Contreras</t>
  </si>
  <si>
    <t>FL250286</t>
  </si>
  <si>
    <t>Mary Reed</t>
  </si>
  <si>
    <t>FL250287</t>
  </si>
  <si>
    <t>Lauren Ross</t>
  </si>
  <si>
    <t>FL250288</t>
  </si>
  <si>
    <t>Candice Wise</t>
  </si>
  <si>
    <t>FL250289</t>
  </si>
  <si>
    <t>Joyce Humphrey</t>
  </si>
  <si>
    <t>FL250290</t>
  </si>
  <si>
    <t>James Carr</t>
  </si>
  <si>
    <t>FL250291</t>
  </si>
  <si>
    <t>Joseph Mendoza</t>
  </si>
  <si>
    <t>FL250292</t>
  </si>
  <si>
    <t>Cathy Baldwin</t>
  </si>
  <si>
    <t>FL250293</t>
  </si>
  <si>
    <t>Christine Hart</t>
  </si>
  <si>
    <t>FL250294</t>
  </si>
  <si>
    <t>Mike Stanley</t>
  </si>
  <si>
    <t>FL250295</t>
  </si>
  <si>
    <t>Jeffrey Edwards</t>
  </si>
  <si>
    <t>FL250296</t>
  </si>
  <si>
    <t>Amy Lee</t>
  </si>
  <si>
    <t>FL250297</t>
  </si>
  <si>
    <t>Mark Thompson</t>
  </si>
  <si>
    <t>FL250298</t>
  </si>
  <si>
    <t>Alex Wilson</t>
  </si>
  <si>
    <t>FL250299</t>
  </si>
  <si>
    <t>Nancy Mendez</t>
  </si>
  <si>
    <t>FL250300</t>
  </si>
  <si>
    <t>Beth Crane</t>
  </si>
  <si>
    <t>FL250301</t>
  </si>
  <si>
    <t>Miguel Rogers</t>
  </si>
  <si>
    <t>FL250302</t>
  </si>
  <si>
    <t>Thomas Robles</t>
  </si>
  <si>
    <t>FL250303</t>
  </si>
  <si>
    <t>Joel Brown III</t>
  </si>
  <si>
    <t>FL250304</t>
  </si>
  <si>
    <t>Olivia Schultz</t>
  </si>
  <si>
    <t>FL250305</t>
  </si>
  <si>
    <t>Clayton Pena</t>
  </si>
  <si>
    <t>FL250306</t>
  </si>
  <si>
    <t>Ashley Salazar</t>
  </si>
  <si>
    <t>FL250307</t>
  </si>
  <si>
    <t>Robert Lucas</t>
  </si>
  <si>
    <t>FL250308</t>
  </si>
  <si>
    <t>David Cox</t>
  </si>
  <si>
    <t>FL250309</t>
  </si>
  <si>
    <t>Christian Campbell</t>
  </si>
  <si>
    <t>FL250310</t>
  </si>
  <si>
    <t>Mrs. Angela Ward</t>
  </si>
  <si>
    <t>FL250311</t>
  </si>
  <si>
    <t>Lucas Chen</t>
  </si>
  <si>
    <t>FL250312</t>
  </si>
  <si>
    <t>Ruben Nelson</t>
  </si>
  <si>
    <t>FL250313</t>
  </si>
  <si>
    <t>Brenda Briggs</t>
  </si>
  <si>
    <t>FL250314</t>
  </si>
  <si>
    <t>Ronald Smith</t>
  </si>
  <si>
    <t>FL250315</t>
  </si>
  <si>
    <t>Dakota Giles</t>
  </si>
  <si>
    <t>FL250316</t>
  </si>
  <si>
    <t>Angela Castillo</t>
  </si>
  <si>
    <t>FL250317</t>
  </si>
  <si>
    <t>Allen Lee</t>
  </si>
  <si>
    <t>FL250318</t>
  </si>
  <si>
    <t>Michael Rogers</t>
  </si>
  <si>
    <t>FL250319</t>
  </si>
  <si>
    <t>Danielle Costa</t>
  </si>
  <si>
    <t>FL250320</t>
  </si>
  <si>
    <t>William Nunez</t>
  </si>
  <si>
    <t>FL250321</t>
  </si>
  <si>
    <t>Christopher Riggs</t>
  </si>
  <si>
    <t>FL250322</t>
  </si>
  <si>
    <t>Kathryn Myers</t>
  </si>
  <si>
    <t>FL250323</t>
  </si>
  <si>
    <t>Robert Walls</t>
  </si>
  <si>
    <t>FL250324</t>
  </si>
  <si>
    <t>Justin Johnson</t>
  </si>
  <si>
    <t>FL250325</t>
  </si>
  <si>
    <t>Paula Stevens</t>
  </si>
  <si>
    <t>FL250326</t>
  </si>
  <si>
    <t>Jennifer Allen</t>
  </si>
  <si>
    <t>FL250327</t>
  </si>
  <si>
    <t>Mark Hudson</t>
  </si>
  <si>
    <t>FL250328</t>
  </si>
  <si>
    <t>Jessica Smith</t>
  </si>
  <si>
    <t>FL250329</t>
  </si>
  <si>
    <t>Mike Dean</t>
  </si>
  <si>
    <t>FL250330</t>
  </si>
  <si>
    <t>Jose Wilson</t>
  </si>
  <si>
    <t>FL250331</t>
  </si>
  <si>
    <t>Tammy Hill</t>
  </si>
  <si>
    <t>FL250332</t>
  </si>
  <si>
    <t>Nathaniel Flores</t>
  </si>
  <si>
    <t>FL250333</t>
  </si>
  <si>
    <t>Edwin Carter</t>
  </si>
  <si>
    <t>FL250334</t>
  </si>
  <si>
    <t>Patricia Miller</t>
  </si>
  <si>
    <t>FL250335</t>
  </si>
  <si>
    <t>Rebecca Schneider</t>
  </si>
  <si>
    <t>FL250336</t>
  </si>
  <si>
    <t>John Greene</t>
  </si>
  <si>
    <t>FL250337</t>
  </si>
  <si>
    <t>Brittany Mcdowell</t>
  </si>
  <si>
    <t>FL250338</t>
  </si>
  <si>
    <t>Lori Miller</t>
  </si>
  <si>
    <t>FL250339</t>
  </si>
  <si>
    <t>Joseph Robinson</t>
  </si>
  <si>
    <t>FL250340</t>
  </si>
  <si>
    <t>Aaron Pruitt</t>
  </si>
  <si>
    <t>FL250341</t>
  </si>
  <si>
    <t>Victoria Miller</t>
  </si>
  <si>
    <t>FL250342</t>
  </si>
  <si>
    <t>Clarence Vega</t>
  </si>
  <si>
    <t>FL250343</t>
  </si>
  <si>
    <t>Deborah Day</t>
  </si>
  <si>
    <t>FL250344</t>
  </si>
  <si>
    <t>Nicole Rocha</t>
  </si>
  <si>
    <t>FL250345</t>
  </si>
  <si>
    <t>Elijah Green</t>
  </si>
  <si>
    <t>FL250346</t>
  </si>
  <si>
    <t>Emily Johnson</t>
  </si>
  <si>
    <t>FL250347</t>
  </si>
  <si>
    <t>Richard Velasquez Jr.</t>
  </si>
  <si>
    <t>FL250348</t>
  </si>
  <si>
    <t>Kurt Wilson</t>
  </si>
  <si>
    <t>FL250349</t>
  </si>
  <si>
    <t>Jeremiah Rodriguez</t>
  </si>
  <si>
    <t>FL250350</t>
  </si>
  <si>
    <t>Lauren Lang</t>
  </si>
  <si>
    <t>FL250351</t>
  </si>
  <si>
    <t>Matthew Phillips</t>
  </si>
  <si>
    <t>FL250352</t>
  </si>
  <si>
    <t>Michael Andersen</t>
  </si>
  <si>
    <t>FL250353</t>
  </si>
  <si>
    <t>Amanda Mayo</t>
  </si>
  <si>
    <t>FL250354</t>
  </si>
  <si>
    <t>Jessica Vance</t>
  </si>
  <si>
    <t>FL250355</t>
  </si>
  <si>
    <t>Alexa Gallegos</t>
  </si>
  <si>
    <t>FL250356</t>
  </si>
  <si>
    <t>Charles Pratt</t>
  </si>
  <si>
    <t>FL250357</t>
  </si>
  <si>
    <t>Brian Baker</t>
  </si>
  <si>
    <t>FL250358</t>
  </si>
  <si>
    <t>Christina Norman</t>
  </si>
  <si>
    <t>FL250359</t>
  </si>
  <si>
    <t>Laura Kelly</t>
  </si>
  <si>
    <t>FL250360</t>
  </si>
  <si>
    <t>John Webb</t>
  </si>
  <si>
    <t>FL250361</t>
  </si>
  <si>
    <t>Christopher Burton</t>
  </si>
  <si>
    <t>FL250362</t>
  </si>
  <si>
    <t>Bradley Aguilar</t>
  </si>
  <si>
    <t>FL250363</t>
  </si>
  <si>
    <t>Arthur Vasquez</t>
  </si>
  <si>
    <t>FL250364</t>
  </si>
  <si>
    <t>Angela Castro</t>
  </si>
  <si>
    <t>FL250365</t>
  </si>
  <si>
    <t>Summer Yoder</t>
  </si>
  <si>
    <t>FL250366</t>
  </si>
  <si>
    <t>Jackie Allen</t>
  </si>
  <si>
    <t>FL250367</t>
  </si>
  <si>
    <t>Brandon Williams</t>
  </si>
  <si>
    <t>FL250368</t>
  </si>
  <si>
    <t>Manuel Torres</t>
  </si>
  <si>
    <t>FL250369</t>
  </si>
  <si>
    <t>Scott Keller</t>
  </si>
  <si>
    <t>FL250370</t>
  </si>
  <si>
    <t>Deborah Brown</t>
  </si>
  <si>
    <t>FL250371</t>
  </si>
  <si>
    <t>Jennifer Lara</t>
  </si>
  <si>
    <t>FL250372</t>
  </si>
  <si>
    <t>Jason Scott</t>
  </si>
  <si>
    <t>FL250373</t>
  </si>
  <si>
    <t>Gregory Garrison</t>
  </si>
  <si>
    <t>FL250374</t>
  </si>
  <si>
    <t>Chelsea Anderson</t>
  </si>
  <si>
    <t>FL250375</t>
  </si>
  <si>
    <t>Gerald Johnson</t>
  </si>
  <si>
    <t>FL250376</t>
  </si>
  <si>
    <t>Kevin Ellis</t>
  </si>
  <si>
    <t>FL250377</t>
  </si>
  <si>
    <t>Mitchell Keller</t>
  </si>
  <si>
    <t>FL250378</t>
  </si>
  <si>
    <t>Mary Brown</t>
  </si>
  <si>
    <t>FL250379</t>
  </si>
  <si>
    <t>Ronald Walls</t>
  </si>
  <si>
    <t>FL250380</t>
  </si>
  <si>
    <t>Anthony Avila</t>
  </si>
  <si>
    <t>FL250381</t>
  </si>
  <si>
    <t>Douglas Goodwin</t>
  </si>
  <si>
    <t>FL250382</t>
  </si>
  <si>
    <t>James Mills</t>
  </si>
  <si>
    <t>FL250383</t>
  </si>
  <si>
    <t>Nicole Marks</t>
  </si>
  <si>
    <t>FL250384</t>
  </si>
  <si>
    <t>Phyllis Dawson</t>
  </si>
  <si>
    <t>FL250385</t>
  </si>
  <si>
    <t>Renee Arnold</t>
  </si>
  <si>
    <t>FL250386</t>
  </si>
  <si>
    <t>Eric Robinson</t>
  </si>
  <si>
    <t>FL250387</t>
  </si>
  <si>
    <t>Paul Brown</t>
  </si>
  <si>
    <t>FL250388</t>
  </si>
  <si>
    <t>Sarah Proctor</t>
  </si>
  <si>
    <t>FL250389</t>
  </si>
  <si>
    <t>Matthew Hicks</t>
  </si>
  <si>
    <t>FL250390</t>
  </si>
  <si>
    <t>Christopher Black</t>
  </si>
  <si>
    <t>FL250391</t>
  </si>
  <si>
    <t>Joanne Reyes</t>
  </si>
  <si>
    <t>FL250392</t>
  </si>
  <si>
    <t>Isaac Gray</t>
  </si>
  <si>
    <t>FL250393</t>
  </si>
  <si>
    <t>Joshua Roberts</t>
  </si>
  <si>
    <t>FL250394</t>
  </si>
  <si>
    <t>Elizabeth Estrada</t>
  </si>
  <si>
    <t>FL250395</t>
  </si>
  <si>
    <t>Lori Malone</t>
  </si>
  <si>
    <t>FL250396</t>
  </si>
  <si>
    <t>Anthony Huynh MD</t>
  </si>
  <si>
    <t>FL250397</t>
  </si>
  <si>
    <t>Mindy York</t>
  </si>
  <si>
    <t>FL250398</t>
  </si>
  <si>
    <t>Ms. Christine Cherry</t>
  </si>
  <si>
    <t>FL250399</t>
  </si>
  <si>
    <t>Daniel Foster</t>
  </si>
  <si>
    <t>FL250400</t>
  </si>
  <si>
    <t>Mr. David Valencia</t>
  </si>
  <si>
    <t>FL250401</t>
  </si>
  <si>
    <t>Ethan Adams</t>
  </si>
  <si>
    <t>FL250402</t>
  </si>
  <si>
    <t>Brett Moore</t>
  </si>
  <si>
    <t>FL250403</t>
  </si>
  <si>
    <t>Phillip Griffin</t>
  </si>
  <si>
    <t>FL250404</t>
  </si>
  <si>
    <t>Stacie Wall</t>
  </si>
  <si>
    <t>FL250405</t>
  </si>
  <si>
    <t>Jacob Austin</t>
  </si>
  <si>
    <t>FL250406</t>
  </si>
  <si>
    <t>Sabrina Davidson</t>
  </si>
  <si>
    <t>FL250407</t>
  </si>
  <si>
    <t>Dustin Douglas</t>
  </si>
  <si>
    <t>FL250408</t>
  </si>
  <si>
    <t>Steven Norris</t>
  </si>
  <si>
    <t>FL250409</t>
  </si>
  <si>
    <t>Mindy Sullivan</t>
  </si>
  <si>
    <t>FL250410</t>
  </si>
  <si>
    <t>Elizabeth Stone</t>
  </si>
  <si>
    <t>FL250411</t>
  </si>
  <si>
    <t>Diane Flores</t>
  </si>
  <si>
    <t>FL250412</t>
  </si>
  <si>
    <t>Jessica Erickson</t>
  </si>
  <si>
    <t>FL250413</t>
  </si>
  <si>
    <t>Sara Moses</t>
  </si>
  <si>
    <t>FL250414</t>
  </si>
  <si>
    <t>Allison Henderson</t>
  </si>
  <si>
    <t>FL250415</t>
  </si>
  <si>
    <t>Susan Dixon</t>
  </si>
  <si>
    <t>FL250416</t>
  </si>
  <si>
    <t>David Morrison</t>
  </si>
  <si>
    <t>FL250417</t>
  </si>
  <si>
    <t>FL250418</t>
  </si>
  <si>
    <t>James Jacobs</t>
  </si>
  <si>
    <t>FL250419</t>
  </si>
  <si>
    <t>Kathleen Quinn</t>
  </si>
  <si>
    <t>FL250420</t>
  </si>
  <si>
    <t>Natalie Frank MD</t>
  </si>
  <si>
    <t>FL250421</t>
  </si>
  <si>
    <t>Michael Reed</t>
  </si>
  <si>
    <t>FL250422</t>
  </si>
  <si>
    <t>Sheila Smith</t>
  </si>
  <si>
    <t>FL250423</t>
  </si>
  <si>
    <t>Morgan Ford</t>
  </si>
  <si>
    <t>FL250424</t>
  </si>
  <si>
    <t>Linda Schultz</t>
  </si>
  <si>
    <t>FL250425</t>
  </si>
  <si>
    <t>Regina Daniel</t>
  </si>
  <si>
    <t>FL250426</t>
  </si>
  <si>
    <t>Allison Perkins</t>
  </si>
  <si>
    <t>FL250427</t>
  </si>
  <si>
    <t>Bradley Weaver</t>
  </si>
  <si>
    <t>FL250428</t>
  </si>
  <si>
    <t>Sarah Hall</t>
  </si>
  <si>
    <t>FL250429</t>
  </si>
  <si>
    <t>Diana Walton</t>
  </si>
  <si>
    <t>FL250430</t>
  </si>
  <si>
    <t>Donna Davis</t>
  </si>
  <si>
    <t>FL250431</t>
  </si>
  <si>
    <t>Christopher Mcclain</t>
  </si>
  <si>
    <t>FL250432</t>
  </si>
  <si>
    <t>Dr. Paul Williamson</t>
  </si>
  <si>
    <t>FL250433</t>
  </si>
  <si>
    <t>Barbara Brown</t>
  </si>
  <si>
    <t>FL250434</t>
  </si>
  <si>
    <t>Kimberly Allen</t>
  </si>
  <si>
    <t>FL250435</t>
  </si>
  <si>
    <t>Elizabeth Edwards</t>
  </si>
  <si>
    <t>FL250436</t>
  </si>
  <si>
    <t>Anthony Downs</t>
  </si>
  <si>
    <t>FL250437</t>
  </si>
  <si>
    <t>Jack Ortega</t>
  </si>
  <si>
    <t>FL250438</t>
  </si>
  <si>
    <t>Marvin Moore</t>
  </si>
  <si>
    <t>FL250439</t>
  </si>
  <si>
    <t>Tony French</t>
  </si>
  <si>
    <t>FL250440</t>
  </si>
  <si>
    <t>Stacy Hudson</t>
  </si>
  <si>
    <t>FL250441</t>
  </si>
  <si>
    <t>Scott Washington</t>
  </si>
  <si>
    <t>FL250442</t>
  </si>
  <si>
    <t>Timothy Wright</t>
  </si>
  <si>
    <t>FL250443</t>
  </si>
  <si>
    <t>Joseph Gonzalez</t>
  </si>
  <si>
    <t>FL250444</t>
  </si>
  <si>
    <t>Andrea Perez</t>
  </si>
  <si>
    <t>FL250445</t>
  </si>
  <si>
    <t>Angel Collins</t>
  </si>
  <si>
    <t>FL250446</t>
  </si>
  <si>
    <t>Daniel Terry</t>
  </si>
  <si>
    <t>FL250447</t>
  </si>
  <si>
    <t>Steven Whitaker</t>
  </si>
  <si>
    <t>FL250448</t>
  </si>
  <si>
    <t>Denise Neal</t>
  </si>
  <si>
    <t>FL250449</t>
  </si>
  <si>
    <t>Amanda Jacobs</t>
  </si>
  <si>
    <t>FL250450</t>
  </si>
  <si>
    <t>Karen Mercer</t>
  </si>
  <si>
    <t>FL250451</t>
  </si>
  <si>
    <t>Lindsay Hudson</t>
  </si>
  <si>
    <t>FL250452</t>
  </si>
  <si>
    <t>Stephanie Armstrong</t>
  </si>
  <si>
    <t>FL250453</t>
  </si>
  <si>
    <t>Dr. Jessica Campbell</t>
  </si>
  <si>
    <t>FL250454</t>
  </si>
  <si>
    <t>Curtis Maxwell</t>
  </si>
  <si>
    <t>FL250455</t>
  </si>
  <si>
    <t>Adam Kelly PhD</t>
  </si>
  <si>
    <t>FL250456</t>
  </si>
  <si>
    <t>Julie Becker</t>
  </si>
  <si>
    <t>FL250457</t>
  </si>
  <si>
    <t>James Moore</t>
  </si>
  <si>
    <t>FL250458</t>
  </si>
  <si>
    <t>Danielle Barrera</t>
  </si>
  <si>
    <t>FL250459</t>
  </si>
  <si>
    <t>David Sanchez</t>
  </si>
  <si>
    <t>FL250460</t>
  </si>
  <si>
    <t>Tiffany Bowman</t>
  </si>
  <si>
    <t>FL250461</t>
  </si>
  <si>
    <t>Jesus Quinn</t>
  </si>
  <si>
    <t>FL250462</t>
  </si>
  <si>
    <t>Mr. Danny Morris DDS</t>
  </si>
  <si>
    <t>FL250463</t>
  </si>
  <si>
    <t>Nicole York</t>
  </si>
  <si>
    <t>FL250464</t>
  </si>
  <si>
    <t>John Mathis</t>
  </si>
  <si>
    <t>FL250465</t>
  </si>
  <si>
    <t>Julie Barnett</t>
  </si>
  <si>
    <t>FL250466</t>
  </si>
  <si>
    <t>Jasmine Harris</t>
  </si>
  <si>
    <t>FL250467</t>
  </si>
  <si>
    <t>Mary Henry</t>
  </si>
  <si>
    <t>FL250468</t>
  </si>
  <si>
    <t>Judith Riggs</t>
  </si>
  <si>
    <t>FL250469</t>
  </si>
  <si>
    <t>Justin Ruiz</t>
  </si>
  <si>
    <t>FL250470</t>
  </si>
  <si>
    <t>Jennifer Sullivan</t>
  </si>
  <si>
    <t>FL250471</t>
  </si>
  <si>
    <t>Jesse Moran</t>
  </si>
  <si>
    <t>FL250472</t>
  </si>
  <si>
    <t>Monica Smith</t>
  </si>
  <si>
    <t>FL250473</t>
  </si>
  <si>
    <t>Ian May</t>
  </si>
  <si>
    <t>FL250474</t>
  </si>
  <si>
    <t>Kayla Meyers</t>
  </si>
  <si>
    <t>FL250475</t>
  </si>
  <si>
    <t>John Bray</t>
  </si>
  <si>
    <t>FL250476</t>
  </si>
  <si>
    <t>James Smith</t>
  </si>
  <si>
    <t>FL250477</t>
  </si>
  <si>
    <t>Mark Duncan</t>
  </si>
  <si>
    <t>FL250478</t>
  </si>
  <si>
    <t>Matthew Gay</t>
  </si>
  <si>
    <t>FL250479</t>
  </si>
  <si>
    <t>Cheryl Freeman</t>
  </si>
  <si>
    <t>FL250480</t>
  </si>
  <si>
    <t>Patrick Welch</t>
  </si>
  <si>
    <t>FL250481</t>
  </si>
  <si>
    <t>Craig Levine</t>
  </si>
  <si>
    <t>FL250482</t>
  </si>
  <si>
    <t>Richard Harvey</t>
  </si>
  <si>
    <t>FL250483</t>
  </si>
  <si>
    <t>Bonnie Sherman</t>
  </si>
  <si>
    <t>FL250484</t>
  </si>
  <si>
    <t>Keith Trujillo</t>
  </si>
  <si>
    <t>FL250485</t>
  </si>
  <si>
    <t>Corey Combs</t>
  </si>
  <si>
    <t>FL250486</t>
  </si>
  <si>
    <t>Antonio King</t>
  </si>
  <si>
    <t>FL250487</t>
  </si>
  <si>
    <t>FL250488</t>
  </si>
  <si>
    <t>Jennifer Rogers</t>
  </si>
  <si>
    <t>FL250489</t>
  </si>
  <si>
    <t>Jeffrey Cooper</t>
  </si>
  <si>
    <t>FL250490</t>
  </si>
  <si>
    <t>Allison Williams</t>
  </si>
  <si>
    <t>FL250491</t>
  </si>
  <si>
    <t>Raymond Sherman</t>
  </si>
  <si>
    <t>FL250492</t>
  </si>
  <si>
    <t>Jennifer Nelson</t>
  </si>
  <si>
    <t>FL250493</t>
  </si>
  <si>
    <t>Jennifer Carter</t>
  </si>
  <si>
    <t>FL250494</t>
  </si>
  <si>
    <t>Todd Williams</t>
  </si>
  <si>
    <t>FL250495</t>
  </si>
  <si>
    <t>Emily Horton</t>
  </si>
  <si>
    <t>FL250496</t>
  </si>
  <si>
    <t>Lance Lester</t>
  </si>
  <si>
    <t>FL250497</t>
  </si>
  <si>
    <t>Kevin Flores</t>
  </si>
  <si>
    <t>FL250498</t>
  </si>
  <si>
    <t>Aaron Stewart PhD</t>
  </si>
  <si>
    <t>FL250499</t>
  </si>
  <si>
    <t>Robin Moore</t>
  </si>
  <si>
    <t>FL250500</t>
  </si>
  <si>
    <t>Suzanne Ingram</t>
  </si>
  <si>
    <t>FL250501</t>
  </si>
  <si>
    <t>Jacob Mclaughlin</t>
  </si>
  <si>
    <t>FL250502</t>
  </si>
  <si>
    <t>Michael Nunez</t>
  </si>
  <si>
    <t>FL250503</t>
  </si>
  <si>
    <t>Isabel Brown</t>
  </si>
  <si>
    <t>FL250504</t>
  </si>
  <si>
    <t>Michael Stein</t>
  </si>
  <si>
    <t>FL250505</t>
  </si>
  <si>
    <t>Robert Stone</t>
  </si>
  <si>
    <t>FL250506</t>
  </si>
  <si>
    <t>Dillon Henry</t>
  </si>
  <si>
    <t>FL250507</t>
  </si>
  <si>
    <t>James Todd</t>
  </si>
  <si>
    <t>FL250508</t>
  </si>
  <si>
    <t>Clifford Moore MD</t>
  </si>
  <si>
    <t>FL250509</t>
  </si>
  <si>
    <t>John Rios</t>
  </si>
  <si>
    <t>FL250510</t>
  </si>
  <si>
    <t>Anthony Gaines</t>
  </si>
  <si>
    <t>FL250511</t>
  </si>
  <si>
    <t>Kristi Brown DVM</t>
  </si>
  <si>
    <t>FL250512</t>
  </si>
  <si>
    <t>Ashley Odonnell</t>
  </si>
  <si>
    <t>FL250513</t>
  </si>
  <si>
    <t>Ronald Elliott</t>
  </si>
  <si>
    <t>FL250514</t>
  </si>
  <si>
    <t>Lorraine Lowery</t>
  </si>
  <si>
    <t>FL250515</t>
  </si>
  <si>
    <t>Victoria Chapman</t>
  </si>
  <si>
    <t>FL250516</t>
  </si>
  <si>
    <t>Heather Davis</t>
  </si>
  <si>
    <t>FL250517</t>
  </si>
  <si>
    <t>Diana Chase</t>
  </si>
  <si>
    <t>FL250518</t>
  </si>
  <si>
    <t>Danielle Adkins</t>
  </si>
  <si>
    <t>FL250519</t>
  </si>
  <si>
    <t>Kenneth Arias</t>
  </si>
  <si>
    <t>FL250520</t>
  </si>
  <si>
    <t>Victoria Owen</t>
  </si>
  <si>
    <t>FL250521</t>
  </si>
  <si>
    <t>Christina King</t>
  </si>
  <si>
    <t>FL250522</t>
  </si>
  <si>
    <t>Samantha King</t>
  </si>
  <si>
    <t>FL250523</t>
  </si>
  <si>
    <t>Scott Compton</t>
  </si>
  <si>
    <t>FL250524</t>
  </si>
  <si>
    <t>Monica West</t>
  </si>
  <si>
    <t>FL250525</t>
  </si>
  <si>
    <t>Theresa Stewart</t>
  </si>
  <si>
    <t>FL250526</t>
  </si>
  <si>
    <t>Steven Kim</t>
  </si>
  <si>
    <t>FL250527</t>
  </si>
  <si>
    <t>Kristi Knight</t>
  </si>
  <si>
    <t>FL250528</t>
  </si>
  <si>
    <t>Jason Bryant</t>
  </si>
  <si>
    <t>FL250529</t>
  </si>
  <si>
    <t>Maureen Keith</t>
  </si>
  <si>
    <t>FL250530</t>
  </si>
  <si>
    <t>Shawn Hogan</t>
  </si>
  <si>
    <t>FL250531</t>
  </si>
  <si>
    <t>William Davis</t>
  </si>
  <si>
    <t>FL250532</t>
  </si>
  <si>
    <t>Stacy Bailey</t>
  </si>
  <si>
    <t>FL250533</t>
  </si>
  <si>
    <t>Thomas Dixon</t>
  </si>
  <si>
    <t>FL250534</t>
  </si>
  <si>
    <t>Maria Hall</t>
  </si>
  <si>
    <t>FL250535</t>
  </si>
  <si>
    <t>Tony Lee</t>
  </si>
  <si>
    <t>FL250536</t>
  </si>
  <si>
    <t>Catherine Mccoy MD</t>
  </si>
  <si>
    <t>FL250537</t>
  </si>
  <si>
    <t>Maria Benitez</t>
  </si>
  <si>
    <t>FL250538</t>
  </si>
  <si>
    <t>Joshua Chambers</t>
  </si>
  <si>
    <t>FL250539</t>
  </si>
  <si>
    <t>Janice Daniels</t>
  </si>
  <si>
    <t>FL250540</t>
  </si>
  <si>
    <t>Carla Wood</t>
  </si>
  <si>
    <t>FL250541</t>
  </si>
  <si>
    <t>Kenneth Vasquez</t>
  </si>
  <si>
    <t>FL250542</t>
  </si>
  <si>
    <t>Kevin Smith</t>
  </si>
  <si>
    <t>FL250543</t>
  </si>
  <si>
    <t>Thomas Kim</t>
  </si>
  <si>
    <t>FL250544</t>
  </si>
  <si>
    <t>Sean Park</t>
  </si>
  <si>
    <t>FL250545</t>
  </si>
  <si>
    <t>Judith Poole</t>
  </si>
  <si>
    <t>FL250546</t>
  </si>
  <si>
    <t>Melanie Baird</t>
  </si>
  <si>
    <t>FL250547</t>
  </si>
  <si>
    <t>Erika Mitchell</t>
  </si>
  <si>
    <t>FL250548</t>
  </si>
  <si>
    <t>Ricky Martinez</t>
  </si>
  <si>
    <t>FL250549</t>
  </si>
  <si>
    <t>John Christian</t>
  </si>
  <si>
    <t>FL250550</t>
  </si>
  <si>
    <t>Nancy Smith</t>
  </si>
  <si>
    <t>FL250551</t>
  </si>
  <si>
    <t>Cassandra Stephens</t>
  </si>
  <si>
    <t>FL250552</t>
  </si>
  <si>
    <t>Miss Janet Donovan MD</t>
  </si>
  <si>
    <t>FL250553</t>
  </si>
  <si>
    <t>Kristina Williams</t>
  </si>
  <si>
    <t>FL250554</t>
  </si>
  <si>
    <t>Wayne Barnes</t>
  </si>
  <si>
    <t>FL250555</t>
  </si>
  <si>
    <t>James Hinton</t>
  </si>
  <si>
    <t>FL250556</t>
  </si>
  <si>
    <t>David Spence</t>
  </si>
  <si>
    <t>FL250557</t>
  </si>
  <si>
    <t>Tyler Cooper</t>
  </si>
  <si>
    <t>FL250558</t>
  </si>
  <si>
    <t>Sean Martinez</t>
  </si>
  <si>
    <t>FL250559</t>
  </si>
  <si>
    <t>Janet Barron</t>
  </si>
  <si>
    <t>FL250560</t>
  </si>
  <si>
    <t>Rodney Wilson</t>
  </si>
  <si>
    <t>FL250561</t>
  </si>
  <si>
    <t>Kimberly Fitzgerald</t>
  </si>
  <si>
    <t>FL250562</t>
  </si>
  <si>
    <t>Nicole Davis</t>
  </si>
  <si>
    <t>FL250563</t>
  </si>
  <si>
    <t>Elizabeth Hayes</t>
  </si>
  <si>
    <t>FL250564</t>
  </si>
  <si>
    <t>Kathy Faulkner</t>
  </si>
  <si>
    <t>FL250565</t>
  </si>
  <si>
    <t>John Gonzales</t>
  </si>
  <si>
    <t>FL250566</t>
  </si>
  <si>
    <t>Shannon Luna</t>
  </si>
  <si>
    <t>FL250567</t>
  </si>
  <si>
    <t>Stephanie Burton</t>
  </si>
  <si>
    <t>FL250568</t>
  </si>
  <si>
    <t>Kevin Gonzales</t>
  </si>
  <si>
    <t>FL250569</t>
  </si>
  <si>
    <t>Dawn Hardy</t>
  </si>
  <si>
    <t>FL250570</t>
  </si>
  <si>
    <t>Margaret Perkins</t>
  </si>
  <si>
    <t>FL250571</t>
  </si>
  <si>
    <t>Amanda Vargas</t>
  </si>
  <si>
    <t>FL250572</t>
  </si>
  <si>
    <t>Tonya Gonzalez</t>
  </si>
  <si>
    <t>FL250573</t>
  </si>
  <si>
    <t>Elizabeth Bowman</t>
  </si>
  <si>
    <t>FL250574</t>
  </si>
  <si>
    <t>Ariana Pittman</t>
  </si>
  <si>
    <t>FL250575</t>
  </si>
  <si>
    <t>Antonio Johnson</t>
  </si>
  <si>
    <t>FL250576</t>
  </si>
  <si>
    <t>Justin Lang</t>
  </si>
  <si>
    <t>FL250577</t>
  </si>
  <si>
    <t>Kelli Ramirez</t>
  </si>
  <si>
    <t>FL250578</t>
  </si>
  <si>
    <t>Deborah Torres</t>
  </si>
  <si>
    <t>FL250579</t>
  </si>
  <si>
    <t>Joseph Horn</t>
  </si>
  <si>
    <t>FL250580</t>
  </si>
  <si>
    <t>Christopher Robinson</t>
  </si>
  <si>
    <t>FL250581</t>
  </si>
  <si>
    <t>Sandra Mccormick</t>
  </si>
  <si>
    <t>FL250582</t>
  </si>
  <si>
    <t>Michael Holland</t>
  </si>
  <si>
    <t>FL250583</t>
  </si>
  <si>
    <t>Kenneth Stevenson</t>
  </si>
  <si>
    <t>FL250584</t>
  </si>
  <si>
    <t>Timothy Bennett</t>
  </si>
  <si>
    <t>FL250585</t>
  </si>
  <si>
    <t>Gregory Randall</t>
  </si>
  <si>
    <t>FL250586</t>
  </si>
  <si>
    <t>Charles Martinez</t>
  </si>
  <si>
    <t>FL250587</t>
  </si>
  <si>
    <t>James Hall</t>
  </si>
  <si>
    <t>FL250588</t>
  </si>
  <si>
    <t>Michael Garcia</t>
  </si>
  <si>
    <t>FL250589</t>
  </si>
  <si>
    <t>Michele Duran</t>
  </si>
  <si>
    <t>FL250590</t>
  </si>
  <si>
    <t>Jessica Gray</t>
  </si>
  <si>
    <t>FL250591</t>
  </si>
  <si>
    <t>Keith Shaffer</t>
  </si>
  <si>
    <t>FL250592</t>
  </si>
  <si>
    <t>Jessica Decker</t>
  </si>
  <si>
    <t>FL250593</t>
  </si>
  <si>
    <t>Brianna Pittman</t>
  </si>
  <si>
    <t>FL250594</t>
  </si>
  <si>
    <t>Kimberly Hunter</t>
  </si>
  <si>
    <t>FL250595</t>
  </si>
  <si>
    <t>Daniel Martin</t>
  </si>
  <si>
    <t>FL250596</t>
  </si>
  <si>
    <t>Rachel Smith</t>
  </si>
  <si>
    <t>FL250597</t>
  </si>
  <si>
    <t>Michael Miller</t>
  </si>
  <si>
    <t>FL250598</t>
  </si>
  <si>
    <t>Willie Clark</t>
  </si>
  <si>
    <t>FL250599</t>
  </si>
  <si>
    <t>Jeremy Hernandez</t>
  </si>
  <si>
    <t>FL250600</t>
  </si>
  <si>
    <t>Tina Shelton</t>
  </si>
  <si>
    <t>FL250601</t>
  </si>
  <si>
    <t>Dr. Pamela Larson</t>
  </si>
  <si>
    <t>FL250602</t>
  </si>
  <si>
    <t>Ryan Ewing</t>
  </si>
  <si>
    <t>FL250603</t>
  </si>
  <si>
    <t>Mark Cochran</t>
  </si>
  <si>
    <t>FL250604</t>
  </si>
  <si>
    <t>Martha Carson</t>
  </si>
  <si>
    <t>FL250605</t>
  </si>
  <si>
    <t>Heather Jackson</t>
  </si>
  <si>
    <t>FL250606</t>
  </si>
  <si>
    <t>Megan Young</t>
  </si>
  <si>
    <t>FL250607</t>
  </si>
  <si>
    <t>Thomas Davis</t>
  </si>
  <si>
    <t>FL250608</t>
  </si>
  <si>
    <t>Thomas Mooney</t>
  </si>
  <si>
    <t>FL250609</t>
  </si>
  <si>
    <t>Susan Smith</t>
  </si>
  <si>
    <t>FL250610</t>
  </si>
  <si>
    <t>Brianna Orr</t>
  </si>
  <si>
    <t>FL250611</t>
  </si>
  <si>
    <t>Dustin Smith</t>
  </si>
  <si>
    <t>FL250612</t>
  </si>
  <si>
    <t>Sarah White</t>
  </si>
  <si>
    <t>FL250613</t>
  </si>
  <si>
    <t>Michael Davis</t>
  </si>
  <si>
    <t>FL250614</t>
  </si>
  <si>
    <t>Jennifer Phillips</t>
  </si>
  <si>
    <t>FL250615</t>
  </si>
  <si>
    <t>Dana Sanders</t>
  </si>
  <si>
    <t>FL250616</t>
  </si>
  <si>
    <t>Daniel Quinn</t>
  </si>
  <si>
    <t>FL250617</t>
  </si>
  <si>
    <t>Matthew Steele</t>
  </si>
  <si>
    <t>FL250618</t>
  </si>
  <si>
    <t>Michele Taylor</t>
  </si>
  <si>
    <t>FL250619</t>
  </si>
  <si>
    <t>Ashley Hammond</t>
  </si>
  <si>
    <t>FL250620</t>
  </si>
  <si>
    <t>Nicole Taylor</t>
  </si>
  <si>
    <t>FL250621</t>
  </si>
  <si>
    <t>Casey Bush</t>
  </si>
  <si>
    <t>FL250622</t>
  </si>
  <si>
    <t>Samuel Patterson</t>
  </si>
  <si>
    <t>FL250623</t>
  </si>
  <si>
    <t>Craig Dennis</t>
  </si>
  <si>
    <t>FL250624</t>
  </si>
  <si>
    <t>Heidi Dixon</t>
  </si>
  <si>
    <t>FL250625</t>
  </si>
  <si>
    <t>David Bishop</t>
  </si>
  <si>
    <t>FL250626</t>
  </si>
  <si>
    <t>Laura Butler</t>
  </si>
  <si>
    <t>FL250627</t>
  </si>
  <si>
    <t>Denise Erickson</t>
  </si>
  <si>
    <t>FL250628</t>
  </si>
  <si>
    <t>Nicole Austin</t>
  </si>
  <si>
    <t>FL250629</t>
  </si>
  <si>
    <t>Summer Williams</t>
  </si>
  <si>
    <t>FL250630</t>
  </si>
  <si>
    <t>Angela Blackwell</t>
  </si>
  <si>
    <t>FL250631</t>
  </si>
  <si>
    <t>Thomas Wall</t>
  </si>
  <si>
    <t>FL250632</t>
  </si>
  <si>
    <t>Sarah Anderson</t>
  </si>
  <si>
    <t>FL250633</t>
  </si>
  <si>
    <t>Christian Lane</t>
  </si>
  <si>
    <t>FL250634</t>
  </si>
  <si>
    <t>Todd Casey</t>
  </si>
  <si>
    <t>FL250635</t>
  </si>
  <si>
    <t>David Martinez</t>
  </si>
  <si>
    <t>FL250636</t>
  </si>
  <si>
    <t>Donald Salas</t>
  </si>
  <si>
    <t>FL250637</t>
  </si>
  <si>
    <t>Emma Hicks</t>
  </si>
  <si>
    <t>FL250638</t>
  </si>
  <si>
    <t>Alison Clark</t>
  </si>
  <si>
    <t>FL250639</t>
  </si>
  <si>
    <t>Andrew Barnes</t>
  </si>
  <si>
    <t>FL250640</t>
  </si>
  <si>
    <t>Gina Snyder</t>
  </si>
  <si>
    <t>FL250641</t>
  </si>
  <si>
    <t>David Watson</t>
  </si>
  <si>
    <t>FL250642</t>
  </si>
  <si>
    <t>John Davis</t>
  </si>
  <si>
    <t>FL250643</t>
  </si>
  <si>
    <t>Joseph Thomas</t>
  </si>
  <si>
    <t>FL250644</t>
  </si>
  <si>
    <t>Dean Finley</t>
  </si>
  <si>
    <t>FL250645</t>
  </si>
  <si>
    <t>Ashley Kemp</t>
  </si>
  <si>
    <t>FL250646</t>
  </si>
  <si>
    <t>Kenneth Evans</t>
  </si>
  <si>
    <t>FL250647</t>
  </si>
  <si>
    <t>Brandon Newman</t>
  </si>
  <si>
    <t>FL250648</t>
  </si>
  <si>
    <t>Katie Hensley</t>
  </si>
  <si>
    <t>FL250649</t>
  </si>
  <si>
    <t>Joel Randolph</t>
  </si>
  <si>
    <t>FL250650</t>
  </si>
  <si>
    <t>Andrew Scott</t>
  </si>
  <si>
    <t>FL250651</t>
  </si>
  <si>
    <t>Zachary Ochoa</t>
  </si>
  <si>
    <t>FL250652</t>
  </si>
  <si>
    <t>John Arroyo</t>
  </si>
  <si>
    <t>FL250653</t>
  </si>
  <si>
    <t>Matthew Fernandez</t>
  </si>
  <si>
    <t>FL250654</t>
  </si>
  <si>
    <t>Benjamin Stark</t>
  </si>
  <si>
    <t>FL250655</t>
  </si>
  <si>
    <t>Tammy Greer</t>
  </si>
  <si>
    <t>FL250656</t>
  </si>
  <si>
    <t>Cynthia Mckinney</t>
  </si>
  <si>
    <t>FL250657</t>
  </si>
  <si>
    <t>Wendy Rice</t>
  </si>
  <si>
    <t>FL250658</t>
  </si>
  <si>
    <t>Randy Bender</t>
  </si>
  <si>
    <t>FL250659</t>
  </si>
  <si>
    <t>Richard Dominguez</t>
  </si>
  <si>
    <t>FL250660</t>
  </si>
  <si>
    <t>Melissa Maldonado</t>
  </si>
  <si>
    <t>FL250661</t>
  </si>
  <si>
    <t>Leah Harris</t>
  </si>
  <si>
    <t>FL250662</t>
  </si>
  <si>
    <t>Lynn French</t>
  </si>
  <si>
    <t>FL250663</t>
  </si>
  <si>
    <t>Angela Johnson</t>
  </si>
  <si>
    <t>FL250664</t>
  </si>
  <si>
    <t>Sarah Edwards</t>
  </si>
  <si>
    <t>FL250665</t>
  </si>
  <si>
    <t>Roy Collins</t>
  </si>
  <si>
    <t>FL250666</t>
  </si>
  <si>
    <t>Samantha Porter</t>
  </si>
  <si>
    <t>FL250667</t>
  </si>
  <si>
    <t>Juan Elliott</t>
  </si>
  <si>
    <t>FL250668</t>
  </si>
  <si>
    <t>Elizabeth Phillips</t>
  </si>
  <si>
    <t>FL250669</t>
  </si>
  <si>
    <t>Laura Evans</t>
  </si>
  <si>
    <t>FL250670</t>
  </si>
  <si>
    <t>Amanda Mitchell</t>
  </si>
  <si>
    <t>FL250671</t>
  </si>
  <si>
    <t>Sandra Williams</t>
  </si>
  <si>
    <t>FL250672</t>
  </si>
  <si>
    <t>Eric Johnson</t>
  </si>
  <si>
    <t>FL250673</t>
  </si>
  <si>
    <t>Javier Hobbs</t>
  </si>
  <si>
    <t>FL250674</t>
  </si>
  <si>
    <t>Jacob Jones</t>
  </si>
  <si>
    <t>FL250675</t>
  </si>
  <si>
    <t>Zachary Murphy</t>
  </si>
  <si>
    <t>FL250676</t>
  </si>
  <si>
    <t>Joshua Owens</t>
  </si>
  <si>
    <t>FL250677</t>
  </si>
  <si>
    <t>Dawn Mitchell</t>
  </si>
  <si>
    <t>FL250678</t>
  </si>
  <si>
    <t>Regina Dunn</t>
  </si>
  <si>
    <t>FL250679</t>
  </si>
  <si>
    <t>Ernest Cole</t>
  </si>
  <si>
    <t>FL250680</t>
  </si>
  <si>
    <t>Hannah Sanders</t>
  </si>
  <si>
    <t>FL250681</t>
  </si>
  <si>
    <t>Ellen Bowman</t>
  </si>
  <si>
    <t>FL250682</t>
  </si>
  <si>
    <t>Nancy Moore</t>
  </si>
  <si>
    <t>FL250683</t>
  </si>
  <si>
    <t>Joseph Wood</t>
  </si>
  <si>
    <t>FL250684</t>
  </si>
  <si>
    <t>Michael Harrell</t>
  </si>
  <si>
    <t>FL250685</t>
  </si>
  <si>
    <t>Connie Mcclain</t>
  </si>
  <si>
    <t>FL250686</t>
  </si>
  <si>
    <t>Matthew Baldwin</t>
  </si>
  <si>
    <t>FL250687</t>
  </si>
  <si>
    <t>Danielle Nelson</t>
  </si>
  <si>
    <t>FL250688</t>
  </si>
  <si>
    <t>Steven Moore</t>
  </si>
  <si>
    <t>FL250689</t>
  </si>
  <si>
    <t>Megan Hudson</t>
  </si>
  <si>
    <t>FL250690</t>
  </si>
  <si>
    <t>FL250691</t>
  </si>
  <si>
    <t>Tracy White</t>
  </si>
  <si>
    <t>FL250692</t>
  </si>
  <si>
    <t>Natalie Diaz</t>
  </si>
  <si>
    <t>FL250693</t>
  </si>
  <si>
    <t>FL250694</t>
  </si>
  <si>
    <t>Karen Scott</t>
  </si>
  <si>
    <t>FL250695</t>
  </si>
  <si>
    <t>FL250696</t>
  </si>
  <si>
    <t>Jon Jones</t>
  </si>
  <si>
    <t>FL250697</t>
  </si>
  <si>
    <t>Jason Phillips</t>
  </si>
  <si>
    <t>FL250698</t>
  </si>
  <si>
    <t>Eric Walsh</t>
  </si>
  <si>
    <t>FL250699</t>
  </si>
  <si>
    <t>Carol Schneider</t>
  </si>
  <si>
    <t>FL250700</t>
  </si>
  <si>
    <t>Juan Hines</t>
  </si>
  <si>
    <t xml:space="preserve">Gender </t>
  </si>
  <si>
    <t>Age2</t>
  </si>
  <si>
    <t>Country2</t>
  </si>
  <si>
    <t>Year of Experience</t>
  </si>
  <si>
    <t>Rating *</t>
  </si>
  <si>
    <t>Hourly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</si>
</sst>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[$$-409]#,##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3886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33" borderId="0" xfId="0" applyFill="1"/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" fontId="0" fillId="0" borderId="0" xfId="0" applyNumberFormat="1"/>
    <xf numFmtId="167" fontId="0" fillId="0" borderId="0" xfId="0" applyNumberFormat="1" applyAlignment="1">
      <alignment horizontal="center"/>
    </xf>
    <xf numFmtId="0" fontId="0" fillId="33" borderId="0" xfId="0" applyFill="1" applyAlignment="1">
      <alignment horizontal="center" vertical="center"/>
    </xf>
    <xf numFmtId="167" fontId="0" fillId="0" borderId="0" xfId="0" applyNumberFormat="1"/>
    <xf numFmtId="9" fontId="0" fillId="0" borderId="0" xfId="0" applyNumberFormat="1"/>
    <xf numFmtId="167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3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7" formatCode="[$$-409]#,##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7" formatCode="[$$-409]#,##0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883047-81D1-4E48-930E-708F916CD8F9}" name="Table1" displayName="Table1" ref="A1:S698" totalsRowShown="0">
  <autoFilter ref="A1:S698" xr:uid="{80883047-81D1-4E48-930E-708F916CD8F9}"/>
  <tableColumns count="19">
    <tableColumn id="1" xr3:uid="{68E06AE0-5464-48BA-8A4A-9B48FBB4635B}" name="Freelancer_ID"/>
    <tableColumn id="2" xr3:uid="{7D505E30-D6F3-4653-86A4-95E1A9EA8B4D}" name="Name"/>
    <tableColumn id="17" xr3:uid="{34744E11-225E-4F18-AF7F-44D3F1F31AE4}" name="Gender " dataDxfId="22">
      <calculatedColumnFormula>IF(LEFT(LOWER(TRIM(D2)),1)="f","Female","Male")</calculatedColumnFormula>
    </tableColumn>
    <tableColumn id="3" xr3:uid="{B719EDD8-9821-41C5-971C-4BD7DB5487FA}" name="Gender"/>
    <tableColumn id="20" xr3:uid="{4A445F6E-8AF1-4EDF-B8B5-DC96B9B6191D}" name="Age" dataDxfId="21">
      <calculatedColumnFormula>IF(F2="",MEDIAN($F$2:$F$698),F2)</calculatedColumnFormula>
    </tableColumn>
    <tableColumn id="4" xr3:uid="{39A7B136-6349-4C61-B37A-73FFA25A0732}" name="Age2"/>
    <tableColumn id="5" xr3:uid="{D514B722-F2AE-4FAE-AB5F-D3E5CE19CA12}" name="Country2"/>
    <tableColumn id="6" xr3:uid="{217E8B8E-A7D1-482C-A17C-D17193215463}" name="Language"/>
    <tableColumn id="7" xr3:uid="{D5A2B6C1-CB31-437E-893E-261BD1627F68}" name="Primary_Skill"/>
    <tableColumn id="18" xr3:uid="{F268329E-596A-4844-B2FF-EE7DD08F4721}" name="Year of Experience" dataDxfId="20">
      <calculatedColumnFormula>IF(K2="", AVERAGEIF($I$2:$I$698,I2,$K$2:$K$698),K2)</calculatedColumnFormula>
    </tableColumn>
    <tableColumn id="8" xr3:uid="{BB02C7D7-43B4-4EB6-9A51-2D589830EC72}" name="Years_of_Experience"/>
    <tableColumn id="21" xr3:uid="{34E334A6-09DC-4087-86E3-ABAAC4A97EC2}" name="Hourly Rate" dataDxfId="19">
      <calculatedColumnFormula>IF(M2="", AVERAGE(M2:M698), M2)</calculatedColumnFormula>
    </tableColumn>
    <tableColumn id="9" xr3:uid="{45FBBECB-8538-411D-97C0-F08FB5A67007}" name="Hourly_Rate (USD)" dataDxfId="18"/>
    <tableColumn id="11" xr3:uid="{B92C8289-7439-4110-B940-33A45BFA8375}" name="Rating *" dataDxfId="17">
      <calculatedColumnFormula>IF(O2&gt;=90%,5,IF(O2&gt;=80%,4,IF(O2&gt;=70%,3,IF(O2&gt;=60%,2,1))))</calculatedColumnFormula>
    </tableColumn>
    <tableColumn id="12" xr3:uid="{2F2C5132-E0E0-42D3-998D-881FD09E1487}" name="Client_Satisfaction" dataDxfId="16"/>
    <tableColumn id="13" xr3:uid="{8703A2C8-9218-44DB-9183-3F1EF1278947}" name="Notes"/>
    <tableColumn id="14" xr3:uid="{42BB16F2-44E9-412E-A538-7701AF5FE2E4}" name="Status"/>
    <tableColumn id="15" xr3:uid="{B062CA8C-F3EC-42A6-B936-B41525BB30D5}" name="No of Projects "/>
    <tableColumn id="16" xr3:uid="{21DCD115-F513-4559-BA50-5D0619B59220}" name="Duration_Month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CFDA35C-B147-4F33-9F59-6CE9718C1486}" name="Table2" displayName="Table2" ref="A1:O698" totalsRowShown="0" dataDxfId="0">
  <autoFilter ref="A1:O698" xr:uid="{FCFDA35C-B147-4F33-9F59-6CE9718C1486}"/>
  <tableColumns count="15">
    <tableColumn id="1" xr3:uid="{D4312F16-27C8-4E08-AFE8-CD561E545CCC}" name="Freelancer_ID" dataDxfId="15"/>
    <tableColumn id="2" xr3:uid="{8853CC49-6CB7-49DD-908C-F3F9A66B303B}" name="Name" dataDxfId="14"/>
    <tableColumn id="3" xr3:uid="{95DF2B62-397A-4B4C-9B4C-E71B78E30AA2}" name="Gender " dataDxfId="13"/>
    <tableColumn id="4" xr3:uid="{BE5A6B76-8493-4376-A37D-229EAD20E792}" name="Age" dataDxfId="12"/>
    <tableColumn id="5" xr3:uid="{F50143A6-E6C8-4FF8-8625-08BD37A27E65}" name="Country2" dataDxfId="11"/>
    <tableColumn id="6" xr3:uid="{CAED2A64-9B0F-4657-B91F-09104ADB8BD7}" name="Language" dataDxfId="10"/>
    <tableColumn id="7" xr3:uid="{E4F0EBFB-4B1D-4953-B3BD-BF50EABD0218}" name="Primary_Skill" dataDxfId="9"/>
    <tableColumn id="8" xr3:uid="{7599C0DA-92B1-4856-ABCB-369F10FFCA7E}" name="Year of Experience" dataDxfId="8"/>
    <tableColumn id="9" xr3:uid="{16FF7C00-8DF8-46EB-922F-34B9660CCF32}" name="Hourly Rate" dataDxfId="7"/>
    <tableColumn id="10" xr3:uid="{E22BE586-498A-42A0-A2E8-C2EEFCF1515F}" name="Rating *" dataDxfId="6"/>
    <tableColumn id="11" xr3:uid="{8DB658F4-D421-4548-B46C-A6DA35AE8539}" name="Client_Satisfaction" dataDxfId="5"/>
    <tableColumn id="12" xr3:uid="{D886BA19-265F-4534-8920-CC68C2D47976}" name="Notes" dataDxfId="4"/>
    <tableColumn id="13" xr3:uid="{8D1E72DC-6684-4679-B27B-76E5A9CC9D30}" name="Status" dataDxfId="3"/>
    <tableColumn id="14" xr3:uid="{AAA94B38-D364-4EC8-AC39-653C09042C24}" name="No of Projects " dataDxfId="2"/>
    <tableColumn id="15" xr3:uid="{FBDB6B8B-D298-4A4B-8A44-AA9C2F1E8708}" name="Duration_Month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3CF92-01D8-49ED-ADE6-B3933425E302}">
  <dimension ref="A1:S699"/>
  <sheetViews>
    <sheetView topLeftCell="H1" workbookViewId="0">
      <selection activeCell="N1" sqref="N1:S1048576"/>
    </sheetView>
  </sheetViews>
  <sheetFormatPr defaultRowHeight="14.4" x14ac:dyDescent="0.3"/>
  <cols>
    <col min="1" max="1" width="14.33203125" customWidth="1"/>
    <col min="2" max="2" width="21.33203125" bestFit="1" customWidth="1"/>
    <col min="3" max="3" width="21.33203125" customWidth="1"/>
    <col min="4" max="4" width="9" customWidth="1"/>
    <col min="5" max="5" width="10.77734375" bestFit="1" customWidth="1"/>
    <col min="7" max="7" width="9.6640625" customWidth="1"/>
    <col min="8" max="8" width="11" customWidth="1"/>
    <col min="9" max="9" width="21.44140625" bestFit="1" customWidth="1"/>
    <col min="10" max="10" width="21.44140625" customWidth="1"/>
    <col min="11" max="11" width="20.77734375" bestFit="1" customWidth="1"/>
    <col min="12" max="12" width="20.77734375" style="5" customWidth="1"/>
    <col min="13" max="14" width="18.5546875" style="2" customWidth="1"/>
    <col min="15" max="15" width="18.44140625" style="2" customWidth="1"/>
    <col min="17" max="17" width="9.88671875" bestFit="1" customWidth="1"/>
    <col min="18" max="18" width="15.21875" customWidth="1"/>
    <col min="19" max="19" width="17.77734375" customWidth="1"/>
  </cols>
  <sheetData>
    <row r="1" spans="1:19" x14ac:dyDescent="0.3">
      <c r="A1" t="s">
        <v>0</v>
      </c>
      <c r="B1" t="s">
        <v>1</v>
      </c>
      <c r="C1" t="s">
        <v>1471</v>
      </c>
      <c r="D1" s="1" t="s">
        <v>2</v>
      </c>
      <c r="E1" t="s">
        <v>3</v>
      </c>
      <c r="F1" s="1" t="s">
        <v>1472</v>
      </c>
      <c r="G1" t="s">
        <v>1473</v>
      </c>
      <c r="H1" t="s">
        <v>4</v>
      </c>
      <c r="I1" t="s">
        <v>5</v>
      </c>
      <c r="J1" t="s">
        <v>1474</v>
      </c>
      <c r="K1" s="1" t="s">
        <v>6</v>
      </c>
      <c r="L1" t="s">
        <v>1476</v>
      </c>
      <c r="M1" s="6" t="s">
        <v>7</v>
      </c>
      <c r="N1" s="2" t="s">
        <v>1475</v>
      </c>
      <c r="O1" s="2" t="s">
        <v>8</v>
      </c>
      <c r="P1" t="s">
        <v>9</v>
      </c>
      <c r="Q1" t="s">
        <v>10</v>
      </c>
      <c r="R1" t="s">
        <v>11</v>
      </c>
      <c r="S1" t="s">
        <v>12</v>
      </c>
    </row>
    <row r="2" spans="1:19" x14ac:dyDescent="0.3">
      <c r="A2" t="s">
        <v>13</v>
      </c>
      <c r="B2" t="s">
        <v>14</v>
      </c>
      <c r="C2" t="str">
        <f t="shared" ref="C2:C62" si="0">IF(LEFT(LOWER(TRIM(D2)),1)="f","Female","Male")</f>
        <v>Female</v>
      </c>
      <c r="D2" t="s">
        <v>15</v>
      </c>
      <c r="E2">
        <f t="shared" ref="E2:E65" si="1">IF(F2="",MEDIAN($F$2:$F$698),F2)</f>
        <v>52</v>
      </c>
      <c r="F2">
        <v>52</v>
      </c>
      <c r="G2" t="s">
        <v>16</v>
      </c>
      <c r="H2" t="s">
        <v>17</v>
      </c>
      <c r="I2" t="s">
        <v>18</v>
      </c>
      <c r="J2">
        <f t="shared" ref="J2:J65" si="2">IF(K2="", AVERAGEIF($I$2:$I$698,I2,$K$2:$K$698),K2)</f>
        <v>11</v>
      </c>
      <c r="K2">
        <v>11</v>
      </c>
      <c r="L2" s="5">
        <f>IF(M2="", AVERAGE(M2:M698), M2)</f>
        <v>100</v>
      </c>
      <c r="M2" s="2">
        <v>100</v>
      </c>
      <c r="N2" s="2">
        <f>IF(O2&gt;=90%,5,IF(O2&gt;=80%,4,IF(O2&gt;=70%,3,IF(O2&gt;=60%,2,1))))</f>
        <v>1</v>
      </c>
      <c r="O2" s="3">
        <v>0.5</v>
      </c>
      <c r="P2" t="s">
        <v>19</v>
      </c>
      <c r="Q2" t="s">
        <v>20</v>
      </c>
      <c r="R2">
        <v>13</v>
      </c>
      <c r="S2">
        <v>6</v>
      </c>
    </row>
    <row r="3" spans="1:19" x14ac:dyDescent="0.3">
      <c r="A3" t="s">
        <v>21</v>
      </c>
      <c r="B3" t="s">
        <v>22</v>
      </c>
      <c r="C3" t="str">
        <f t="shared" si="0"/>
        <v>Female</v>
      </c>
      <c r="D3" t="s">
        <v>23</v>
      </c>
      <c r="E3">
        <f t="shared" si="1"/>
        <v>52</v>
      </c>
      <c r="F3">
        <v>52</v>
      </c>
      <c r="G3" t="s">
        <v>24</v>
      </c>
      <c r="H3" t="s">
        <v>25</v>
      </c>
      <c r="I3" t="s">
        <v>26</v>
      </c>
      <c r="J3">
        <f t="shared" si="2"/>
        <v>34</v>
      </c>
      <c r="K3">
        <v>34</v>
      </c>
      <c r="L3" s="5" t="str">
        <f t="shared" ref="L3:L66" si="3">IF(M3="", AVERAGE(M3:M699), M3)</f>
        <v>$100</v>
      </c>
      <c r="M3" s="2" t="s">
        <v>222</v>
      </c>
      <c r="N3" s="2">
        <f>IF(O3&gt;=90%,5,IF(O3&gt;=80%,4,IF(O3&gt;=70%,3,IF(O3&gt;=60%,2,1))))</f>
        <v>4</v>
      </c>
      <c r="O3" s="3">
        <v>0.84</v>
      </c>
      <c r="P3" t="s">
        <v>19</v>
      </c>
      <c r="Q3" t="s">
        <v>27</v>
      </c>
      <c r="R3">
        <v>10</v>
      </c>
      <c r="S3">
        <v>7</v>
      </c>
    </row>
    <row r="4" spans="1:19" x14ac:dyDescent="0.3">
      <c r="A4" t="s">
        <v>28</v>
      </c>
      <c r="B4" t="s">
        <v>29</v>
      </c>
      <c r="C4" t="str">
        <f t="shared" si="0"/>
        <v>Male</v>
      </c>
      <c r="D4" t="s">
        <v>30</v>
      </c>
      <c r="E4">
        <f t="shared" si="1"/>
        <v>53</v>
      </c>
      <c r="F4">
        <v>53</v>
      </c>
      <c r="G4" t="s">
        <v>31</v>
      </c>
      <c r="H4" t="s">
        <v>31</v>
      </c>
      <c r="I4" t="s">
        <v>32</v>
      </c>
      <c r="J4">
        <f t="shared" si="2"/>
        <v>31</v>
      </c>
      <c r="K4">
        <v>31</v>
      </c>
      <c r="L4" s="5">
        <f t="shared" si="3"/>
        <v>50</v>
      </c>
      <c r="M4" s="2">
        <v>50</v>
      </c>
      <c r="N4" s="2">
        <f>IF(O4&gt;=90%,5,IF(O4&gt;=80%,4,IF(O4&gt;=70%,3,IF(O4&gt;=60%,2,1))))</f>
        <v>3</v>
      </c>
      <c r="O4" s="3">
        <v>0.71</v>
      </c>
      <c r="P4" t="s">
        <v>19</v>
      </c>
      <c r="Q4" t="s">
        <v>33</v>
      </c>
      <c r="R4">
        <v>16</v>
      </c>
      <c r="S4">
        <v>16</v>
      </c>
    </row>
    <row r="5" spans="1:19" x14ac:dyDescent="0.3">
      <c r="A5" t="s">
        <v>34</v>
      </c>
      <c r="B5" t="s">
        <v>35</v>
      </c>
      <c r="C5" t="str">
        <f t="shared" si="0"/>
        <v>Female</v>
      </c>
      <c r="D5" t="s">
        <v>36</v>
      </c>
      <c r="E5">
        <f t="shared" si="1"/>
        <v>38</v>
      </c>
      <c r="F5">
        <v>38</v>
      </c>
      <c r="G5" t="s">
        <v>24</v>
      </c>
      <c r="H5" t="s">
        <v>25</v>
      </c>
      <c r="I5" t="s">
        <v>37</v>
      </c>
      <c r="J5">
        <f t="shared" si="2"/>
        <v>4</v>
      </c>
      <c r="K5">
        <v>4</v>
      </c>
      <c r="L5" s="5" t="str">
        <f t="shared" si="3"/>
        <v>$40</v>
      </c>
      <c r="M5" s="2" t="s">
        <v>38</v>
      </c>
      <c r="N5" s="2">
        <f>IF(O5&gt;=90%,5,IF(O5&gt;=80%,4,IF(O5&gt;=70%,3,IF(O5&gt;=60%,2,1))))</f>
        <v>5</v>
      </c>
      <c r="O5" s="3">
        <v>0.9</v>
      </c>
      <c r="P5" t="s">
        <v>19</v>
      </c>
      <c r="Q5" t="s">
        <v>27</v>
      </c>
      <c r="R5">
        <v>5</v>
      </c>
      <c r="S5">
        <v>1</v>
      </c>
    </row>
    <row r="6" spans="1:19" x14ac:dyDescent="0.3">
      <c r="A6" t="s">
        <v>40</v>
      </c>
      <c r="B6" t="s">
        <v>41</v>
      </c>
      <c r="C6" t="str">
        <f t="shared" si="0"/>
        <v>Female</v>
      </c>
      <c r="D6" t="s">
        <v>39</v>
      </c>
      <c r="E6">
        <f t="shared" si="1"/>
        <v>59</v>
      </c>
      <c r="F6">
        <v>59</v>
      </c>
      <c r="G6" t="s">
        <v>42</v>
      </c>
      <c r="H6" t="s">
        <v>43</v>
      </c>
      <c r="I6" t="s">
        <v>44</v>
      </c>
      <c r="J6">
        <f t="shared" si="2"/>
        <v>14</v>
      </c>
      <c r="K6">
        <v>14</v>
      </c>
      <c r="L6" s="5" t="str">
        <f t="shared" si="3"/>
        <v>$30</v>
      </c>
      <c r="M6" s="2" t="s">
        <v>45</v>
      </c>
      <c r="N6" s="2">
        <f>IF(O6&gt;=90%,5,IF(O6&gt;=80%,4,IF(O6&gt;=70%,3,IF(O6&gt;=60%,2,1))))</f>
        <v>1</v>
      </c>
      <c r="O6" s="3">
        <v>0.5</v>
      </c>
      <c r="P6" t="s">
        <v>46</v>
      </c>
      <c r="Q6" t="s">
        <v>33</v>
      </c>
      <c r="R6">
        <v>8</v>
      </c>
      <c r="S6">
        <v>3</v>
      </c>
    </row>
    <row r="7" spans="1:19" x14ac:dyDescent="0.3">
      <c r="A7" t="s">
        <v>47</v>
      </c>
      <c r="B7" t="s">
        <v>48</v>
      </c>
      <c r="C7" t="str">
        <f t="shared" si="0"/>
        <v>Male</v>
      </c>
      <c r="D7" t="s">
        <v>49</v>
      </c>
      <c r="E7">
        <f t="shared" si="1"/>
        <v>52</v>
      </c>
      <c r="F7">
        <v>52</v>
      </c>
      <c r="G7" t="s">
        <v>50</v>
      </c>
      <c r="H7" t="s">
        <v>51</v>
      </c>
      <c r="I7" t="s">
        <v>52</v>
      </c>
      <c r="J7">
        <f t="shared" si="2"/>
        <v>10</v>
      </c>
      <c r="K7">
        <v>10</v>
      </c>
      <c r="L7" s="5" t="str">
        <f t="shared" si="3"/>
        <v>$75</v>
      </c>
      <c r="M7" s="2" t="s">
        <v>163</v>
      </c>
      <c r="N7" s="2">
        <f>IF(O7&gt;=90%,5,IF(O7&gt;=80%,4,IF(O7&gt;=70%,3,IF(O7&gt;=60%,2,1))))</f>
        <v>5</v>
      </c>
      <c r="O7" s="3">
        <v>0.94</v>
      </c>
      <c r="P7" t="s">
        <v>19</v>
      </c>
      <c r="Q7" t="s">
        <v>20</v>
      </c>
      <c r="R7">
        <v>10</v>
      </c>
      <c r="S7">
        <v>3</v>
      </c>
    </row>
    <row r="8" spans="1:19" x14ac:dyDescent="0.3">
      <c r="A8" t="s">
        <v>53</v>
      </c>
      <c r="B8" t="s">
        <v>54</v>
      </c>
      <c r="C8" t="str">
        <f t="shared" si="0"/>
        <v>Male</v>
      </c>
      <c r="D8" t="s">
        <v>30</v>
      </c>
      <c r="E8">
        <f t="shared" si="1"/>
        <v>43</v>
      </c>
      <c r="F8">
        <v>43</v>
      </c>
      <c r="G8" t="s">
        <v>16</v>
      </c>
      <c r="H8" t="s">
        <v>17</v>
      </c>
      <c r="I8" t="s">
        <v>18</v>
      </c>
      <c r="J8">
        <f t="shared" si="2"/>
        <v>14</v>
      </c>
      <c r="K8">
        <v>14</v>
      </c>
      <c r="L8" s="5" t="str">
        <f t="shared" si="3"/>
        <v>$40</v>
      </c>
      <c r="M8" s="2" t="s">
        <v>38</v>
      </c>
      <c r="N8" s="2">
        <f>IF(O8&gt;=90%,5,IF(O8&gt;=80%,4,IF(O8&gt;=70%,3,IF(O8&gt;=60%,2,1))))</f>
        <v>5</v>
      </c>
      <c r="O8" s="3">
        <v>0.94</v>
      </c>
      <c r="P8" t="s">
        <v>46</v>
      </c>
      <c r="Q8" t="s">
        <v>20</v>
      </c>
      <c r="R8">
        <v>7</v>
      </c>
      <c r="S8">
        <v>10</v>
      </c>
    </row>
    <row r="9" spans="1:19" x14ac:dyDescent="0.3">
      <c r="A9" t="s">
        <v>55</v>
      </c>
      <c r="B9" t="s">
        <v>56</v>
      </c>
      <c r="C9" t="str">
        <f t="shared" si="0"/>
        <v>Male</v>
      </c>
      <c r="D9" t="s">
        <v>30</v>
      </c>
      <c r="E9">
        <f t="shared" si="1"/>
        <v>26</v>
      </c>
      <c r="F9">
        <v>26</v>
      </c>
      <c r="G9" t="s">
        <v>57</v>
      </c>
      <c r="H9" t="s">
        <v>25</v>
      </c>
      <c r="I9" t="s">
        <v>18</v>
      </c>
      <c r="J9">
        <f t="shared" si="2"/>
        <v>4</v>
      </c>
      <c r="K9">
        <v>4</v>
      </c>
      <c r="L9" s="5">
        <f t="shared" si="3"/>
        <v>53.842443729903536</v>
      </c>
      <c r="N9" s="2">
        <f>IF(O9&gt;=90%,5,IF(O9&gt;=80%,4,IF(O9&gt;=70%,3,IF(O9&gt;=60%,2,1))))</f>
        <v>3</v>
      </c>
      <c r="O9" s="3">
        <v>0.76</v>
      </c>
      <c r="P9" t="s">
        <v>19</v>
      </c>
      <c r="Q9" t="s">
        <v>58</v>
      </c>
      <c r="R9">
        <v>2</v>
      </c>
      <c r="S9">
        <v>4</v>
      </c>
    </row>
    <row r="10" spans="1:19" x14ac:dyDescent="0.3">
      <c r="A10" t="s">
        <v>59</v>
      </c>
      <c r="B10" t="s">
        <v>60</v>
      </c>
      <c r="C10" t="str">
        <f t="shared" si="0"/>
        <v>Male</v>
      </c>
      <c r="D10" t="s">
        <v>61</v>
      </c>
      <c r="E10">
        <f t="shared" si="1"/>
        <v>52</v>
      </c>
      <c r="F10">
        <v>52</v>
      </c>
      <c r="G10" t="s">
        <v>62</v>
      </c>
      <c r="H10" t="s">
        <v>63</v>
      </c>
      <c r="I10" t="s">
        <v>44</v>
      </c>
      <c r="J10">
        <f t="shared" si="2"/>
        <v>22</v>
      </c>
      <c r="K10">
        <v>22</v>
      </c>
      <c r="L10" s="5" t="str">
        <f t="shared" si="3"/>
        <v>$50</v>
      </c>
      <c r="M10" s="2" t="s">
        <v>64</v>
      </c>
      <c r="N10" s="2">
        <f>IF(O10&gt;=90%,5,IF(O10&gt;=80%,4,IF(O10&gt;=70%,3,IF(O10&gt;=60%,2,1))))</f>
        <v>1</v>
      </c>
      <c r="O10" s="3">
        <v>0.5</v>
      </c>
      <c r="P10" t="s">
        <v>65</v>
      </c>
      <c r="Q10" t="s">
        <v>33</v>
      </c>
      <c r="R10">
        <v>16</v>
      </c>
      <c r="S10">
        <v>5</v>
      </c>
    </row>
    <row r="11" spans="1:19" x14ac:dyDescent="0.3">
      <c r="A11" t="s">
        <v>66</v>
      </c>
      <c r="B11" t="s">
        <v>67</v>
      </c>
      <c r="C11" t="str">
        <f t="shared" si="0"/>
        <v>Male</v>
      </c>
      <c r="D11" t="s">
        <v>49</v>
      </c>
      <c r="E11">
        <f t="shared" si="1"/>
        <v>40</v>
      </c>
      <c r="F11">
        <v>40</v>
      </c>
      <c r="G11" t="s">
        <v>68</v>
      </c>
      <c r="H11" t="s">
        <v>25</v>
      </c>
      <c r="I11" t="s">
        <v>52</v>
      </c>
      <c r="J11">
        <f t="shared" si="2"/>
        <v>17</v>
      </c>
      <c r="K11">
        <v>17</v>
      </c>
      <c r="L11" s="5">
        <f t="shared" si="3"/>
        <v>40</v>
      </c>
      <c r="M11" s="2">
        <v>40</v>
      </c>
      <c r="N11" s="2">
        <f>IF(O11&gt;=90%,5,IF(O11&gt;=80%,4,IF(O11&gt;=70%,3,IF(O11&gt;=60%,2,1))))</f>
        <v>3</v>
      </c>
      <c r="O11" s="3">
        <v>0.77</v>
      </c>
      <c r="P11" t="s">
        <v>69</v>
      </c>
      <c r="Q11" t="s">
        <v>58</v>
      </c>
      <c r="R11">
        <v>20</v>
      </c>
      <c r="S11">
        <v>5</v>
      </c>
    </row>
    <row r="12" spans="1:19" x14ac:dyDescent="0.3">
      <c r="A12" t="s">
        <v>70</v>
      </c>
      <c r="B12" t="s">
        <v>71</v>
      </c>
      <c r="C12" t="str">
        <f t="shared" si="0"/>
        <v>Female</v>
      </c>
      <c r="D12" t="s">
        <v>23</v>
      </c>
      <c r="E12">
        <f t="shared" si="1"/>
        <v>55</v>
      </c>
      <c r="F12">
        <v>55</v>
      </c>
      <c r="G12" t="s">
        <v>72</v>
      </c>
      <c r="H12" t="s">
        <v>73</v>
      </c>
      <c r="I12" t="s">
        <v>74</v>
      </c>
      <c r="J12">
        <f t="shared" si="2"/>
        <v>15</v>
      </c>
      <c r="K12">
        <v>15</v>
      </c>
      <c r="L12" s="5">
        <f t="shared" si="3"/>
        <v>53.887096774193552</v>
      </c>
      <c r="N12" s="2">
        <f>IF(O12&gt;=90%,5,IF(O12&gt;=80%,4,IF(O12&gt;=70%,3,IF(O12&gt;=60%,2,1))))</f>
        <v>4</v>
      </c>
      <c r="O12" s="3">
        <v>0.86</v>
      </c>
      <c r="P12" t="s">
        <v>46</v>
      </c>
      <c r="Q12" t="s">
        <v>33</v>
      </c>
      <c r="R12">
        <v>13</v>
      </c>
      <c r="S12">
        <v>4</v>
      </c>
    </row>
    <row r="13" spans="1:19" x14ac:dyDescent="0.3">
      <c r="A13" t="s">
        <v>75</v>
      </c>
      <c r="B13" t="s">
        <v>76</v>
      </c>
      <c r="C13" t="str">
        <f t="shared" si="0"/>
        <v>Female</v>
      </c>
      <c r="D13" t="s">
        <v>77</v>
      </c>
      <c r="E13">
        <f t="shared" si="1"/>
        <v>57</v>
      </c>
      <c r="F13">
        <v>57</v>
      </c>
      <c r="G13" t="s">
        <v>68</v>
      </c>
      <c r="H13" t="s">
        <v>25</v>
      </c>
      <c r="I13" t="s">
        <v>78</v>
      </c>
      <c r="J13">
        <f t="shared" si="2"/>
        <v>18</v>
      </c>
      <c r="K13">
        <v>18</v>
      </c>
      <c r="L13" s="5">
        <f t="shared" si="3"/>
        <v>53.887096774193552</v>
      </c>
      <c r="N13" s="2">
        <f>IF(O13&gt;=90%,5,IF(O13&gt;=80%,4,IF(O13&gt;=70%,3,IF(O13&gt;=60%,2,1))))</f>
        <v>4</v>
      </c>
      <c r="O13" s="3">
        <v>0.86</v>
      </c>
      <c r="P13" t="s">
        <v>19</v>
      </c>
      <c r="Q13" t="s">
        <v>20</v>
      </c>
      <c r="R13">
        <v>16</v>
      </c>
      <c r="S13">
        <v>15</v>
      </c>
    </row>
    <row r="14" spans="1:19" x14ac:dyDescent="0.3">
      <c r="A14" t="s">
        <v>79</v>
      </c>
      <c r="B14" t="s">
        <v>80</v>
      </c>
      <c r="C14" t="str">
        <f t="shared" si="0"/>
        <v>Male</v>
      </c>
      <c r="D14" t="s">
        <v>61</v>
      </c>
      <c r="E14">
        <f t="shared" si="1"/>
        <v>38</v>
      </c>
      <c r="F14">
        <v>38</v>
      </c>
      <c r="G14" t="s">
        <v>72</v>
      </c>
      <c r="H14" t="s">
        <v>73</v>
      </c>
      <c r="I14" t="s">
        <v>32</v>
      </c>
      <c r="J14">
        <f t="shared" si="2"/>
        <v>20</v>
      </c>
      <c r="K14">
        <v>20</v>
      </c>
      <c r="L14" s="5" t="str">
        <f t="shared" si="3"/>
        <v>$75</v>
      </c>
      <c r="M14" s="2" t="s">
        <v>163</v>
      </c>
      <c r="N14" s="2">
        <f>IF(O14&gt;=90%,5,IF(O14&gt;=80%,4,IF(O14&gt;=70%,3,IF(O14&gt;=60%,2,1))))</f>
        <v>5</v>
      </c>
      <c r="O14" s="3">
        <v>0.93</v>
      </c>
      <c r="P14" t="s">
        <v>65</v>
      </c>
      <c r="Q14" t="s">
        <v>20</v>
      </c>
      <c r="R14">
        <v>17</v>
      </c>
      <c r="S14">
        <v>12</v>
      </c>
    </row>
    <row r="15" spans="1:19" x14ac:dyDescent="0.3">
      <c r="A15" t="s">
        <v>81</v>
      </c>
      <c r="B15" t="s">
        <v>82</v>
      </c>
      <c r="C15" t="str">
        <f t="shared" si="0"/>
        <v>Male</v>
      </c>
      <c r="D15" t="s">
        <v>61</v>
      </c>
      <c r="E15">
        <f t="shared" si="1"/>
        <v>50</v>
      </c>
      <c r="F15">
        <v>50</v>
      </c>
      <c r="G15" t="s">
        <v>31</v>
      </c>
      <c r="H15" t="s">
        <v>31</v>
      </c>
      <c r="I15" t="s">
        <v>52</v>
      </c>
      <c r="J15">
        <f t="shared" si="2"/>
        <v>22</v>
      </c>
      <c r="K15">
        <v>22</v>
      </c>
      <c r="L15" s="5">
        <f t="shared" si="3"/>
        <v>75</v>
      </c>
      <c r="M15" s="2">
        <v>75</v>
      </c>
      <c r="N15" s="2">
        <f>IF(O15&gt;=90%,5,IF(O15&gt;=80%,4,IF(O15&gt;=70%,3,IF(O15&gt;=60%,2,1))))</f>
        <v>3</v>
      </c>
      <c r="O15" s="3">
        <v>0.7</v>
      </c>
      <c r="P15" t="s">
        <v>69</v>
      </c>
      <c r="Q15" t="s">
        <v>27</v>
      </c>
      <c r="R15">
        <v>14</v>
      </c>
      <c r="S15">
        <v>6</v>
      </c>
    </row>
    <row r="16" spans="1:19" x14ac:dyDescent="0.3">
      <c r="A16" t="s">
        <v>85</v>
      </c>
      <c r="B16" t="s">
        <v>86</v>
      </c>
      <c r="C16" t="str">
        <f t="shared" si="0"/>
        <v>Female</v>
      </c>
      <c r="D16" t="s">
        <v>77</v>
      </c>
      <c r="E16">
        <f t="shared" si="1"/>
        <v>39</v>
      </c>
      <c r="F16">
        <v>39</v>
      </c>
      <c r="G16" t="s">
        <v>24</v>
      </c>
      <c r="H16" t="s">
        <v>25</v>
      </c>
      <c r="I16" t="s">
        <v>87</v>
      </c>
      <c r="J16">
        <f t="shared" si="2"/>
        <v>13</v>
      </c>
      <c r="K16">
        <v>13</v>
      </c>
      <c r="L16" s="5" t="str">
        <f t="shared" si="3"/>
        <v>$30</v>
      </c>
      <c r="M16" s="2" t="s">
        <v>45</v>
      </c>
      <c r="N16" s="2">
        <f>IF(O16&gt;=90%,5,IF(O16&gt;=80%,4,IF(O16&gt;=70%,3,IF(O16&gt;=60%,2,1))))</f>
        <v>2</v>
      </c>
      <c r="O16" s="3">
        <v>0.6</v>
      </c>
      <c r="P16" t="s">
        <v>69</v>
      </c>
      <c r="Q16" t="s">
        <v>58</v>
      </c>
      <c r="R16">
        <v>7</v>
      </c>
      <c r="S16">
        <v>1</v>
      </c>
    </row>
    <row r="17" spans="1:19" x14ac:dyDescent="0.3">
      <c r="A17" t="s">
        <v>88</v>
      </c>
      <c r="B17" t="s">
        <v>89</v>
      </c>
      <c r="C17" t="str">
        <f t="shared" si="0"/>
        <v>Male</v>
      </c>
      <c r="D17" t="s">
        <v>90</v>
      </c>
      <c r="E17">
        <f t="shared" si="1"/>
        <v>56</v>
      </c>
      <c r="F17">
        <v>56</v>
      </c>
      <c r="G17" t="s">
        <v>91</v>
      </c>
      <c r="H17" t="s">
        <v>92</v>
      </c>
      <c r="I17" t="s">
        <v>18</v>
      </c>
      <c r="J17" s="4">
        <f t="shared" si="2"/>
        <v>10.380952380952381</v>
      </c>
      <c r="L17" s="5">
        <f t="shared" si="3"/>
        <v>53.818770226537218</v>
      </c>
      <c r="N17" s="2">
        <f>IF(O17&gt;=90%,5,IF(O17&gt;=80%,4,IF(O17&gt;=70%,3,IF(O17&gt;=60%,2,1))))</f>
        <v>4</v>
      </c>
      <c r="O17" s="3">
        <v>0.87</v>
      </c>
      <c r="P17" t="s">
        <v>65</v>
      </c>
      <c r="Q17" t="s">
        <v>27</v>
      </c>
      <c r="R17">
        <v>1</v>
      </c>
      <c r="S17">
        <v>2</v>
      </c>
    </row>
    <row r="18" spans="1:19" x14ac:dyDescent="0.3">
      <c r="A18" t="s">
        <v>93</v>
      </c>
      <c r="B18" t="s">
        <v>94</v>
      </c>
      <c r="C18" t="str">
        <f t="shared" si="0"/>
        <v>Male</v>
      </c>
      <c r="D18" t="s">
        <v>95</v>
      </c>
      <c r="E18">
        <f t="shared" si="1"/>
        <v>56</v>
      </c>
      <c r="F18">
        <v>56</v>
      </c>
      <c r="G18" t="s">
        <v>57</v>
      </c>
      <c r="H18" t="s">
        <v>25</v>
      </c>
      <c r="I18" t="s">
        <v>74</v>
      </c>
      <c r="J18">
        <f t="shared" si="2"/>
        <v>31</v>
      </c>
      <c r="K18">
        <v>31</v>
      </c>
      <c r="L18" s="5" t="str">
        <f t="shared" si="3"/>
        <v>$50</v>
      </c>
      <c r="M18" s="2" t="s">
        <v>64</v>
      </c>
      <c r="N18" s="2">
        <f>IF(O18&gt;=90%,5,IF(O18&gt;=80%,4,IF(O18&gt;=70%,3,IF(O18&gt;=60%,2,1))))</f>
        <v>3</v>
      </c>
      <c r="O18" s="3">
        <v>0.75</v>
      </c>
      <c r="P18" t="s">
        <v>46</v>
      </c>
      <c r="Q18" t="s">
        <v>27</v>
      </c>
      <c r="R18">
        <v>13</v>
      </c>
      <c r="S18">
        <v>3</v>
      </c>
    </row>
    <row r="19" spans="1:19" x14ac:dyDescent="0.3">
      <c r="A19" t="s">
        <v>96</v>
      </c>
      <c r="B19" t="s">
        <v>97</v>
      </c>
      <c r="C19" t="str">
        <f t="shared" si="0"/>
        <v>Male</v>
      </c>
      <c r="D19" t="s">
        <v>95</v>
      </c>
      <c r="E19">
        <f t="shared" si="1"/>
        <v>57</v>
      </c>
      <c r="F19">
        <v>57</v>
      </c>
      <c r="G19" t="s">
        <v>16</v>
      </c>
      <c r="H19" t="s">
        <v>17</v>
      </c>
      <c r="I19" t="s">
        <v>37</v>
      </c>
      <c r="J19">
        <f t="shared" si="2"/>
        <v>3</v>
      </c>
      <c r="K19">
        <v>3</v>
      </c>
      <c r="L19" s="5" t="str">
        <f t="shared" si="3"/>
        <v>$100</v>
      </c>
      <c r="M19" s="2" t="s">
        <v>222</v>
      </c>
      <c r="N19" s="2">
        <f>IF(O19&gt;=90%,5,IF(O19&gt;=80%,4,IF(O19&gt;=70%,3,IF(O19&gt;=60%,2,1))))</f>
        <v>2</v>
      </c>
      <c r="O19" s="3">
        <v>0.68</v>
      </c>
      <c r="P19" t="s">
        <v>69</v>
      </c>
      <c r="Q19" t="s">
        <v>27</v>
      </c>
      <c r="R19">
        <v>1</v>
      </c>
      <c r="S19">
        <v>1</v>
      </c>
    </row>
    <row r="20" spans="1:19" x14ac:dyDescent="0.3">
      <c r="A20" t="s">
        <v>98</v>
      </c>
      <c r="B20" t="s">
        <v>99</v>
      </c>
      <c r="C20" t="str">
        <f t="shared" si="0"/>
        <v>Male</v>
      </c>
      <c r="D20" t="s">
        <v>95</v>
      </c>
      <c r="E20">
        <f t="shared" si="1"/>
        <v>41</v>
      </c>
      <c r="G20" t="s">
        <v>50</v>
      </c>
      <c r="H20" t="s">
        <v>51</v>
      </c>
      <c r="I20" t="s">
        <v>44</v>
      </c>
      <c r="J20">
        <f t="shared" si="2"/>
        <v>9</v>
      </c>
      <c r="K20">
        <v>9</v>
      </c>
      <c r="L20" s="5">
        <f t="shared" si="3"/>
        <v>50</v>
      </c>
      <c r="M20" s="2">
        <v>50</v>
      </c>
      <c r="N20" s="2">
        <f>IF(O20&gt;=90%,5,IF(O20&gt;=80%,4,IF(O20&gt;=70%,3,IF(O20&gt;=60%,2,1))))</f>
        <v>2</v>
      </c>
      <c r="O20" s="3">
        <v>0.65</v>
      </c>
      <c r="P20" t="s">
        <v>19</v>
      </c>
      <c r="Q20" t="s">
        <v>58</v>
      </c>
      <c r="R20">
        <v>15</v>
      </c>
      <c r="S20">
        <v>6</v>
      </c>
    </row>
    <row r="21" spans="1:19" x14ac:dyDescent="0.3">
      <c r="A21" t="s">
        <v>100</v>
      </c>
      <c r="B21" t="s">
        <v>101</v>
      </c>
      <c r="C21" t="str">
        <f t="shared" si="0"/>
        <v>Male</v>
      </c>
      <c r="D21" t="s">
        <v>49</v>
      </c>
      <c r="E21">
        <f t="shared" si="1"/>
        <v>51</v>
      </c>
      <c r="F21">
        <v>51</v>
      </c>
      <c r="G21" t="s">
        <v>83</v>
      </c>
      <c r="H21" t="s">
        <v>84</v>
      </c>
      <c r="I21" t="s">
        <v>87</v>
      </c>
      <c r="J21" s="4">
        <f t="shared" si="2"/>
        <v>11.191780821917808</v>
      </c>
      <c r="L21" s="5">
        <f t="shared" si="3"/>
        <v>53.831168831168831</v>
      </c>
      <c r="N21" s="2">
        <f>IF(O21&gt;=90%,5,IF(O21&gt;=80%,4,IF(O21&gt;=70%,3,IF(O21&gt;=60%,2,1))))</f>
        <v>2</v>
      </c>
      <c r="O21" s="3">
        <v>0.69</v>
      </c>
      <c r="P21" t="s">
        <v>46</v>
      </c>
      <c r="Q21" t="s">
        <v>27</v>
      </c>
      <c r="R21">
        <v>3</v>
      </c>
      <c r="S21">
        <v>5</v>
      </c>
    </row>
    <row r="22" spans="1:19" x14ac:dyDescent="0.3">
      <c r="A22" t="s">
        <v>102</v>
      </c>
      <c r="B22" t="s">
        <v>103</v>
      </c>
      <c r="C22" t="str">
        <f t="shared" si="0"/>
        <v>Male</v>
      </c>
      <c r="D22" t="s">
        <v>49</v>
      </c>
      <c r="E22">
        <f t="shared" si="1"/>
        <v>51</v>
      </c>
      <c r="F22">
        <v>51</v>
      </c>
      <c r="G22" t="s">
        <v>104</v>
      </c>
      <c r="H22" t="s">
        <v>105</v>
      </c>
      <c r="I22" t="s">
        <v>78</v>
      </c>
      <c r="J22">
        <f t="shared" si="2"/>
        <v>21</v>
      </c>
      <c r="K22">
        <v>21</v>
      </c>
      <c r="L22" s="5" t="str">
        <f t="shared" si="3"/>
        <v>$30</v>
      </c>
      <c r="M22" s="2" t="s">
        <v>45</v>
      </c>
      <c r="N22" s="2">
        <f>IF(O22&gt;=90%,5,IF(O22&gt;=80%,4,IF(O22&gt;=70%,3,IF(O22&gt;=60%,2,1))))</f>
        <v>1</v>
      </c>
      <c r="O22" s="3">
        <v>0.5</v>
      </c>
      <c r="P22" t="s">
        <v>69</v>
      </c>
      <c r="Q22" t="s">
        <v>58</v>
      </c>
      <c r="R22">
        <v>14</v>
      </c>
      <c r="S22">
        <v>2</v>
      </c>
    </row>
    <row r="23" spans="1:19" x14ac:dyDescent="0.3">
      <c r="A23" t="s">
        <v>106</v>
      </c>
      <c r="B23" t="s">
        <v>107</v>
      </c>
      <c r="C23" t="str">
        <f t="shared" si="0"/>
        <v>Female</v>
      </c>
      <c r="D23" t="s">
        <v>39</v>
      </c>
      <c r="E23">
        <f t="shared" si="1"/>
        <v>51</v>
      </c>
      <c r="F23">
        <v>51</v>
      </c>
      <c r="G23" t="s">
        <v>108</v>
      </c>
      <c r="H23" t="s">
        <v>109</v>
      </c>
      <c r="I23" t="s">
        <v>110</v>
      </c>
      <c r="J23">
        <f t="shared" si="2"/>
        <v>15</v>
      </c>
      <c r="K23">
        <v>15</v>
      </c>
      <c r="L23" s="5" t="str">
        <f t="shared" si="3"/>
        <v>$50</v>
      </c>
      <c r="M23" s="2" t="s">
        <v>64</v>
      </c>
      <c r="N23" s="2">
        <f>IF(O23&gt;=90%,5,IF(O23&gt;=80%,4,IF(O23&gt;=70%,3,IF(O23&gt;=60%,2,1))))</f>
        <v>5</v>
      </c>
      <c r="O23" s="3">
        <v>1</v>
      </c>
      <c r="P23" t="s">
        <v>65</v>
      </c>
      <c r="Q23" t="s">
        <v>27</v>
      </c>
      <c r="R23">
        <v>9</v>
      </c>
      <c r="S23">
        <v>3</v>
      </c>
    </row>
    <row r="24" spans="1:19" x14ac:dyDescent="0.3">
      <c r="A24" t="s">
        <v>111</v>
      </c>
      <c r="B24" t="s">
        <v>112</v>
      </c>
      <c r="C24" t="str">
        <f t="shared" si="0"/>
        <v>Female</v>
      </c>
      <c r="D24" t="s">
        <v>15</v>
      </c>
      <c r="E24">
        <f t="shared" si="1"/>
        <v>54</v>
      </c>
      <c r="F24">
        <v>54</v>
      </c>
      <c r="G24" t="s">
        <v>50</v>
      </c>
      <c r="H24" t="s">
        <v>51</v>
      </c>
      <c r="I24" t="s">
        <v>110</v>
      </c>
      <c r="J24">
        <f t="shared" si="2"/>
        <v>13</v>
      </c>
      <c r="K24">
        <v>13</v>
      </c>
      <c r="L24" s="5">
        <f t="shared" si="3"/>
        <v>75</v>
      </c>
      <c r="M24" s="2">
        <v>75</v>
      </c>
      <c r="N24" s="2">
        <f>IF(O24&gt;=90%,5,IF(O24&gt;=80%,4,IF(O24&gt;=70%,3,IF(O24&gt;=60%,2,1))))</f>
        <v>5</v>
      </c>
      <c r="O24" s="3">
        <v>0.92</v>
      </c>
      <c r="P24" t="s">
        <v>65</v>
      </c>
      <c r="Q24" t="s">
        <v>58</v>
      </c>
      <c r="R24">
        <v>15</v>
      </c>
      <c r="S24">
        <v>3</v>
      </c>
    </row>
    <row r="25" spans="1:19" x14ac:dyDescent="0.3">
      <c r="A25" t="s">
        <v>113</v>
      </c>
      <c r="B25" t="s">
        <v>114</v>
      </c>
      <c r="C25" t="str">
        <f t="shared" si="0"/>
        <v>Female</v>
      </c>
      <c r="D25" t="s">
        <v>23</v>
      </c>
      <c r="E25">
        <f t="shared" si="1"/>
        <v>22</v>
      </c>
      <c r="F25">
        <v>22</v>
      </c>
      <c r="G25" t="s">
        <v>108</v>
      </c>
      <c r="H25" t="s">
        <v>109</v>
      </c>
      <c r="I25" t="s">
        <v>87</v>
      </c>
      <c r="J25">
        <f t="shared" si="2"/>
        <v>0</v>
      </c>
      <c r="K25">
        <v>0</v>
      </c>
      <c r="L25" s="5" t="str">
        <f t="shared" si="3"/>
        <v>$30</v>
      </c>
      <c r="M25" s="2" t="s">
        <v>45</v>
      </c>
      <c r="N25" s="2">
        <f>IF(O25&gt;=90%,5,IF(O25&gt;=80%,4,IF(O25&gt;=70%,3,IF(O25&gt;=60%,2,1))))</f>
        <v>3</v>
      </c>
      <c r="O25" s="3">
        <v>0.7</v>
      </c>
      <c r="P25" t="s">
        <v>46</v>
      </c>
      <c r="Q25" t="s">
        <v>20</v>
      </c>
      <c r="R25">
        <v>5</v>
      </c>
      <c r="S25">
        <v>2</v>
      </c>
    </row>
    <row r="26" spans="1:19" x14ac:dyDescent="0.3">
      <c r="A26" t="s">
        <v>115</v>
      </c>
      <c r="B26" t="s">
        <v>116</v>
      </c>
      <c r="C26" t="str">
        <f t="shared" si="0"/>
        <v>Female</v>
      </c>
      <c r="D26" t="s">
        <v>39</v>
      </c>
      <c r="E26">
        <f t="shared" si="1"/>
        <v>34</v>
      </c>
      <c r="F26">
        <v>34</v>
      </c>
      <c r="G26" t="s">
        <v>83</v>
      </c>
      <c r="H26" t="s">
        <v>84</v>
      </c>
      <c r="I26" t="s">
        <v>18</v>
      </c>
      <c r="J26">
        <f t="shared" si="2"/>
        <v>8</v>
      </c>
      <c r="K26">
        <v>8</v>
      </c>
      <c r="L26" s="5" t="str">
        <f t="shared" si="3"/>
        <v>$20</v>
      </c>
      <c r="M26" s="2" t="s">
        <v>117</v>
      </c>
      <c r="N26" s="2">
        <f>IF(O26&gt;=90%,5,IF(O26&gt;=80%,4,IF(O26&gt;=70%,3,IF(O26&gt;=60%,2,1))))</f>
        <v>4</v>
      </c>
      <c r="O26" s="3">
        <v>0.89</v>
      </c>
      <c r="P26" t="s">
        <v>69</v>
      </c>
      <c r="Q26" t="s">
        <v>20</v>
      </c>
      <c r="R26">
        <v>6</v>
      </c>
      <c r="S26">
        <v>1</v>
      </c>
    </row>
    <row r="27" spans="1:19" x14ac:dyDescent="0.3">
      <c r="A27" t="s">
        <v>118</v>
      </c>
      <c r="B27" t="s">
        <v>119</v>
      </c>
      <c r="C27" t="str">
        <f t="shared" si="0"/>
        <v>Female</v>
      </c>
      <c r="D27" t="s">
        <v>77</v>
      </c>
      <c r="E27">
        <f t="shared" si="1"/>
        <v>36</v>
      </c>
      <c r="F27">
        <v>36</v>
      </c>
      <c r="G27" t="s">
        <v>120</v>
      </c>
      <c r="H27" t="s">
        <v>121</v>
      </c>
      <c r="I27" t="s">
        <v>32</v>
      </c>
      <c r="J27">
        <f t="shared" si="2"/>
        <v>11</v>
      </c>
      <c r="K27">
        <v>11</v>
      </c>
      <c r="L27" s="5">
        <f t="shared" si="3"/>
        <v>53.762214983713356</v>
      </c>
      <c r="N27" s="2">
        <f>IF(O27&gt;=90%,5,IF(O27&gt;=80%,4,IF(O27&gt;=70%,3,IF(O27&gt;=60%,2,1))))</f>
        <v>4</v>
      </c>
      <c r="O27" s="3">
        <v>0.86</v>
      </c>
      <c r="P27" t="s">
        <v>46</v>
      </c>
      <c r="Q27" t="s">
        <v>20</v>
      </c>
      <c r="R27">
        <v>12</v>
      </c>
      <c r="S27">
        <v>4</v>
      </c>
    </row>
    <row r="28" spans="1:19" x14ac:dyDescent="0.3">
      <c r="A28" t="s">
        <v>122</v>
      </c>
      <c r="B28" t="s">
        <v>123</v>
      </c>
      <c r="C28" t="str">
        <f t="shared" si="0"/>
        <v>Female</v>
      </c>
      <c r="D28" t="s">
        <v>39</v>
      </c>
      <c r="E28">
        <f t="shared" si="1"/>
        <v>47</v>
      </c>
      <c r="F28">
        <v>47</v>
      </c>
      <c r="G28" t="s">
        <v>124</v>
      </c>
      <c r="H28" t="s">
        <v>25</v>
      </c>
      <c r="I28" t="s">
        <v>44</v>
      </c>
      <c r="J28">
        <f t="shared" si="2"/>
        <v>22</v>
      </c>
      <c r="K28">
        <v>22</v>
      </c>
      <c r="L28" s="5">
        <f t="shared" si="3"/>
        <v>30</v>
      </c>
      <c r="M28" s="2">
        <v>30</v>
      </c>
      <c r="N28" s="2">
        <f>IF(O28&gt;=90%,5,IF(O28&gt;=80%,4,IF(O28&gt;=70%,3,IF(O28&gt;=60%,2,1))))</f>
        <v>2</v>
      </c>
      <c r="O28" s="3">
        <v>0.62</v>
      </c>
      <c r="P28" t="s">
        <v>46</v>
      </c>
      <c r="Q28" t="s">
        <v>20</v>
      </c>
      <c r="R28">
        <v>14</v>
      </c>
      <c r="S28">
        <v>2</v>
      </c>
    </row>
    <row r="29" spans="1:19" x14ac:dyDescent="0.3">
      <c r="A29" t="s">
        <v>125</v>
      </c>
      <c r="B29" t="s">
        <v>126</v>
      </c>
      <c r="C29" t="str">
        <f t="shared" si="0"/>
        <v>Female</v>
      </c>
      <c r="D29" t="s">
        <v>23</v>
      </c>
      <c r="E29">
        <f t="shared" si="1"/>
        <v>41</v>
      </c>
      <c r="F29">
        <v>41</v>
      </c>
      <c r="G29" t="s">
        <v>42</v>
      </c>
      <c r="H29" t="s">
        <v>43</v>
      </c>
      <c r="I29" t="s">
        <v>52</v>
      </c>
      <c r="J29">
        <f t="shared" si="2"/>
        <v>14</v>
      </c>
      <c r="K29">
        <v>14</v>
      </c>
      <c r="L29" s="5" t="str">
        <f t="shared" si="3"/>
        <v>$75</v>
      </c>
      <c r="M29" s="2" t="s">
        <v>163</v>
      </c>
      <c r="N29" s="2">
        <f>IF(O29&gt;=90%,5,IF(O29&gt;=80%,4,IF(O29&gt;=70%,3,IF(O29&gt;=60%,2,1))))</f>
        <v>1</v>
      </c>
      <c r="O29" s="3">
        <v>0.5</v>
      </c>
      <c r="P29" t="s">
        <v>69</v>
      </c>
      <c r="Q29" t="s">
        <v>20</v>
      </c>
      <c r="R29">
        <v>6</v>
      </c>
      <c r="S29">
        <v>5</v>
      </c>
    </row>
    <row r="30" spans="1:19" x14ac:dyDescent="0.3">
      <c r="A30" t="s">
        <v>127</v>
      </c>
      <c r="B30" t="s">
        <v>128</v>
      </c>
      <c r="C30" t="str">
        <f t="shared" si="0"/>
        <v>Male</v>
      </c>
      <c r="D30" t="s">
        <v>95</v>
      </c>
      <c r="E30">
        <f t="shared" si="1"/>
        <v>22</v>
      </c>
      <c r="F30">
        <v>22</v>
      </c>
      <c r="G30" t="s">
        <v>42</v>
      </c>
      <c r="H30" t="s">
        <v>43</v>
      </c>
      <c r="I30" t="s">
        <v>87</v>
      </c>
      <c r="J30">
        <f t="shared" si="2"/>
        <v>4</v>
      </c>
      <c r="K30">
        <v>4</v>
      </c>
      <c r="L30" s="5">
        <f t="shared" si="3"/>
        <v>53.83986928104575</v>
      </c>
      <c r="N30" s="2">
        <f>IF(O30&gt;=90%,5,IF(O30&gt;=80%,4,IF(O30&gt;=70%,3,IF(O30&gt;=60%,2,1))))</f>
        <v>1</v>
      </c>
      <c r="O30" s="3">
        <v>0.5</v>
      </c>
      <c r="P30" t="s">
        <v>69</v>
      </c>
      <c r="Q30" t="s">
        <v>27</v>
      </c>
      <c r="R30">
        <v>3</v>
      </c>
      <c r="S30">
        <v>1</v>
      </c>
    </row>
    <row r="31" spans="1:19" x14ac:dyDescent="0.3">
      <c r="A31" t="s">
        <v>129</v>
      </c>
      <c r="B31" t="s">
        <v>130</v>
      </c>
      <c r="C31" t="str">
        <f t="shared" si="0"/>
        <v>Male</v>
      </c>
      <c r="D31" t="s">
        <v>95</v>
      </c>
      <c r="E31">
        <f t="shared" si="1"/>
        <v>38</v>
      </c>
      <c r="F31">
        <v>38</v>
      </c>
      <c r="G31" t="s">
        <v>131</v>
      </c>
      <c r="H31" t="s">
        <v>132</v>
      </c>
      <c r="I31" t="s">
        <v>110</v>
      </c>
      <c r="J31">
        <f t="shared" si="2"/>
        <v>19</v>
      </c>
      <c r="K31">
        <v>19</v>
      </c>
      <c r="L31" s="5" t="str">
        <f t="shared" si="3"/>
        <v>$100</v>
      </c>
      <c r="M31" s="2" t="s">
        <v>222</v>
      </c>
      <c r="N31" s="2">
        <f>IF(O31&gt;=90%,5,IF(O31&gt;=80%,4,IF(O31&gt;=70%,3,IF(O31&gt;=60%,2,1))))</f>
        <v>2</v>
      </c>
      <c r="O31" s="3">
        <v>0.68</v>
      </c>
      <c r="P31" t="s">
        <v>19</v>
      </c>
      <c r="Q31" t="s">
        <v>27</v>
      </c>
      <c r="R31">
        <v>10</v>
      </c>
      <c r="S31">
        <v>10</v>
      </c>
    </row>
    <row r="32" spans="1:19" x14ac:dyDescent="0.3">
      <c r="A32" t="s">
        <v>133</v>
      </c>
      <c r="B32" t="s">
        <v>134</v>
      </c>
      <c r="C32" t="str">
        <f t="shared" si="0"/>
        <v>Male</v>
      </c>
      <c r="D32" t="s">
        <v>90</v>
      </c>
      <c r="E32">
        <f t="shared" si="1"/>
        <v>46</v>
      </c>
      <c r="F32">
        <v>46</v>
      </c>
      <c r="G32" t="s">
        <v>135</v>
      </c>
      <c r="H32" t="s">
        <v>136</v>
      </c>
      <c r="I32" t="s">
        <v>44</v>
      </c>
      <c r="J32">
        <f t="shared" si="2"/>
        <v>9</v>
      </c>
      <c r="K32">
        <v>9</v>
      </c>
      <c r="L32" s="5">
        <f t="shared" si="3"/>
        <v>20</v>
      </c>
      <c r="M32" s="2">
        <v>20</v>
      </c>
      <c r="N32" s="2">
        <f>IF(O32&gt;=90%,5,IF(O32&gt;=80%,4,IF(O32&gt;=70%,3,IF(O32&gt;=60%,2,1))))</f>
        <v>3</v>
      </c>
      <c r="O32" s="3">
        <v>0.76</v>
      </c>
      <c r="P32" t="s">
        <v>69</v>
      </c>
      <c r="Q32" t="s">
        <v>27</v>
      </c>
      <c r="R32">
        <v>13</v>
      </c>
      <c r="S32">
        <v>6</v>
      </c>
    </row>
    <row r="33" spans="1:19" x14ac:dyDescent="0.3">
      <c r="A33" t="s">
        <v>137</v>
      </c>
      <c r="B33" t="s">
        <v>138</v>
      </c>
      <c r="C33" t="str">
        <f t="shared" si="0"/>
        <v>Male</v>
      </c>
      <c r="D33" t="s">
        <v>30</v>
      </c>
      <c r="E33">
        <f t="shared" si="1"/>
        <v>41</v>
      </c>
      <c r="G33" t="s">
        <v>108</v>
      </c>
      <c r="H33" t="s">
        <v>109</v>
      </c>
      <c r="I33" t="s">
        <v>44</v>
      </c>
      <c r="J33">
        <f t="shared" si="2"/>
        <v>9</v>
      </c>
      <c r="K33">
        <v>9</v>
      </c>
      <c r="L33" s="5">
        <f t="shared" si="3"/>
        <v>40</v>
      </c>
      <c r="M33" s="2">
        <v>40</v>
      </c>
      <c r="N33" s="2">
        <f>IF(O33&gt;=90%,5,IF(O33&gt;=80%,4,IF(O33&gt;=70%,3,IF(O33&gt;=60%,2,1))))</f>
        <v>4</v>
      </c>
      <c r="O33" s="3">
        <v>0.82</v>
      </c>
      <c r="P33" t="s">
        <v>65</v>
      </c>
      <c r="Q33" t="s">
        <v>58</v>
      </c>
      <c r="R33">
        <v>15</v>
      </c>
      <c r="S33">
        <v>3</v>
      </c>
    </row>
    <row r="34" spans="1:19" x14ac:dyDescent="0.3">
      <c r="A34" t="s">
        <v>139</v>
      </c>
      <c r="B34" t="s">
        <v>140</v>
      </c>
      <c r="C34" t="str">
        <f t="shared" si="0"/>
        <v>Female</v>
      </c>
      <c r="D34" t="s">
        <v>23</v>
      </c>
      <c r="E34">
        <f t="shared" si="1"/>
        <v>54</v>
      </c>
      <c r="F34">
        <v>54</v>
      </c>
      <c r="G34" t="s">
        <v>57</v>
      </c>
      <c r="H34" t="s">
        <v>25</v>
      </c>
      <c r="I34" t="s">
        <v>37</v>
      </c>
      <c r="J34">
        <f t="shared" si="2"/>
        <v>32</v>
      </c>
      <c r="K34">
        <v>32</v>
      </c>
      <c r="L34" s="5">
        <f t="shared" si="3"/>
        <v>75</v>
      </c>
      <c r="M34" s="2">
        <v>75</v>
      </c>
      <c r="N34" s="2">
        <f>IF(O34&gt;=90%,5,IF(O34&gt;=80%,4,IF(O34&gt;=70%,3,IF(O34&gt;=60%,2,1))))</f>
        <v>4</v>
      </c>
      <c r="O34" s="3">
        <v>0.81</v>
      </c>
      <c r="P34" t="s">
        <v>46</v>
      </c>
      <c r="Q34" t="s">
        <v>58</v>
      </c>
      <c r="R34">
        <v>18</v>
      </c>
      <c r="S34">
        <v>10</v>
      </c>
    </row>
    <row r="35" spans="1:19" x14ac:dyDescent="0.3">
      <c r="A35" t="s">
        <v>141</v>
      </c>
      <c r="B35" t="s">
        <v>142</v>
      </c>
      <c r="C35" t="str">
        <f t="shared" si="0"/>
        <v>Female</v>
      </c>
      <c r="D35" t="s">
        <v>15</v>
      </c>
      <c r="E35">
        <f t="shared" si="1"/>
        <v>42</v>
      </c>
      <c r="F35">
        <v>42</v>
      </c>
      <c r="G35" t="s">
        <v>83</v>
      </c>
      <c r="H35" t="s">
        <v>84</v>
      </c>
      <c r="I35" t="s">
        <v>26</v>
      </c>
      <c r="J35">
        <f t="shared" si="2"/>
        <v>6</v>
      </c>
      <c r="K35">
        <v>6</v>
      </c>
      <c r="L35" s="5">
        <f t="shared" si="3"/>
        <v>40</v>
      </c>
      <c r="M35" s="2">
        <v>40</v>
      </c>
      <c r="N35" s="2">
        <f>IF(O35&gt;=90%,5,IF(O35&gt;=80%,4,IF(O35&gt;=70%,3,IF(O35&gt;=60%,2,1))))</f>
        <v>2</v>
      </c>
      <c r="O35" s="3">
        <v>0.63</v>
      </c>
      <c r="P35" t="s">
        <v>65</v>
      </c>
      <c r="Q35" t="s">
        <v>58</v>
      </c>
      <c r="R35">
        <v>15</v>
      </c>
      <c r="S35">
        <v>6</v>
      </c>
    </row>
    <row r="36" spans="1:19" x14ac:dyDescent="0.3">
      <c r="A36" t="s">
        <v>143</v>
      </c>
      <c r="B36" t="s">
        <v>144</v>
      </c>
      <c r="C36" t="str">
        <f t="shared" si="0"/>
        <v>Female</v>
      </c>
      <c r="D36" t="s">
        <v>36</v>
      </c>
      <c r="E36">
        <f t="shared" si="1"/>
        <v>29</v>
      </c>
      <c r="F36">
        <v>29</v>
      </c>
      <c r="G36" t="s">
        <v>42</v>
      </c>
      <c r="H36" t="s">
        <v>43</v>
      </c>
      <c r="I36" t="s">
        <v>32</v>
      </c>
      <c r="J36">
        <f t="shared" si="2"/>
        <v>10</v>
      </c>
      <c r="K36">
        <v>10</v>
      </c>
      <c r="L36" s="5">
        <f t="shared" si="3"/>
        <v>40</v>
      </c>
      <c r="M36" s="2">
        <v>40</v>
      </c>
      <c r="N36" s="2">
        <f>IF(O36&gt;=90%,5,IF(O36&gt;=80%,4,IF(O36&gt;=70%,3,IF(O36&gt;=60%,2,1))))</f>
        <v>2</v>
      </c>
      <c r="O36" s="3">
        <v>0.67</v>
      </c>
      <c r="P36" t="s">
        <v>69</v>
      </c>
      <c r="Q36" t="s">
        <v>20</v>
      </c>
      <c r="R36">
        <v>10</v>
      </c>
      <c r="S36">
        <v>9</v>
      </c>
    </row>
    <row r="37" spans="1:19" x14ac:dyDescent="0.3">
      <c r="A37" t="s">
        <v>145</v>
      </c>
      <c r="B37" t="s">
        <v>146</v>
      </c>
      <c r="C37" t="str">
        <f t="shared" si="0"/>
        <v>Female</v>
      </c>
      <c r="D37" t="s">
        <v>36</v>
      </c>
      <c r="E37">
        <f t="shared" si="1"/>
        <v>42</v>
      </c>
      <c r="F37">
        <v>42</v>
      </c>
      <c r="G37" t="s">
        <v>147</v>
      </c>
      <c r="H37" t="s">
        <v>148</v>
      </c>
      <c r="I37" t="s">
        <v>26</v>
      </c>
      <c r="J37">
        <f t="shared" si="2"/>
        <v>23</v>
      </c>
      <c r="K37">
        <v>23</v>
      </c>
      <c r="L37" s="5">
        <f t="shared" si="3"/>
        <v>50</v>
      </c>
      <c r="M37" s="2">
        <v>50</v>
      </c>
      <c r="N37" s="2">
        <f>IF(O37&gt;=90%,5,IF(O37&gt;=80%,4,IF(O37&gt;=70%,3,IF(O37&gt;=60%,2,1))))</f>
        <v>1</v>
      </c>
      <c r="O37" s="3">
        <v>0.5</v>
      </c>
      <c r="P37" t="s">
        <v>65</v>
      </c>
      <c r="Q37" t="s">
        <v>20</v>
      </c>
      <c r="R37">
        <v>13</v>
      </c>
      <c r="S37">
        <v>3</v>
      </c>
    </row>
    <row r="38" spans="1:19" x14ac:dyDescent="0.3">
      <c r="A38" t="s">
        <v>149</v>
      </c>
      <c r="B38" t="s">
        <v>150</v>
      </c>
      <c r="C38" t="str">
        <f t="shared" si="0"/>
        <v>Male</v>
      </c>
      <c r="D38" t="s">
        <v>95</v>
      </c>
      <c r="E38">
        <f t="shared" si="1"/>
        <v>60</v>
      </c>
      <c r="F38">
        <v>60</v>
      </c>
      <c r="G38" t="s">
        <v>83</v>
      </c>
      <c r="H38" t="s">
        <v>84</v>
      </c>
      <c r="I38" t="s">
        <v>37</v>
      </c>
      <c r="J38">
        <f t="shared" si="2"/>
        <v>13</v>
      </c>
      <c r="K38">
        <v>13</v>
      </c>
      <c r="L38" s="5" t="str">
        <f t="shared" si="3"/>
        <v>$20</v>
      </c>
      <c r="M38" s="2" t="s">
        <v>117</v>
      </c>
      <c r="N38" s="2">
        <f>IF(O38&gt;=90%,5,IF(O38&gt;=80%,4,IF(O38&gt;=70%,3,IF(O38&gt;=60%,2,1))))</f>
        <v>4</v>
      </c>
      <c r="O38" s="3">
        <v>0.8</v>
      </c>
      <c r="P38" t="s">
        <v>65</v>
      </c>
      <c r="Q38" t="s">
        <v>20</v>
      </c>
      <c r="R38">
        <v>9</v>
      </c>
      <c r="S38">
        <v>3</v>
      </c>
    </row>
    <row r="39" spans="1:19" x14ac:dyDescent="0.3">
      <c r="A39" t="s">
        <v>151</v>
      </c>
      <c r="B39" t="s">
        <v>152</v>
      </c>
      <c r="C39" t="str">
        <f t="shared" si="0"/>
        <v>Female</v>
      </c>
      <c r="D39" t="s">
        <v>77</v>
      </c>
      <c r="E39">
        <f t="shared" si="1"/>
        <v>59</v>
      </c>
      <c r="F39">
        <v>59</v>
      </c>
      <c r="G39" t="s">
        <v>68</v>
      </c>
      <c r="H39" t="s">
        <v>25</v>
      </c>
      <c r="I39" t="s">
        <v>44</v>
      </c>
      <c r="J39">
        <f t="shared" si="2"/>
        <v>3</v>
      </c>
      <c r="K39">
        <v>3</v>
      </c>
      <c r="L39" s="5" t="str">
        <f t="shared" si="3"/>
        <v>$50</v>
      </c>
      <c r="M39" s="2" t="s">
        <v>64</v>
      </c>
      <c r="N39" s="2">
        <f>IF(O39&gt;=90%,5,IF(O39&gt;=80%,4,IF(O39&gt;=70%,3,IF(O39&gt;=60%,2,1))))</f>
        <v>1</v>
      </c>
      <c r="O39" s="3">
        <v>0.5</v>
      </c>
      <c r="P39" t="s">
        <v>19</v>
      </c>
      <c r="Q39" t="s">
        <v>33</v>
      </c>
      <c r="R39">
        <v>3</v>
      </c>
      <c r="S39">
        <v>1</v>
      </c>
    </row>
    <row r="40" spans="1:19" x14ac:dyDescent="0.3">
      <c r="A40" t="s">
        <v>153</v>
      </c>
      <c r="B40" t="s">
        <v>154</v>
      </c>
      <c r="C40" t="str">
        <f t="shared" si="0"/>
        <v>Female</v>
      </c>
      <c r="D40" t="s">
        <v>77</v>
      </c>
      <c r="E40">
        <f t="shared" si="1"/>
        <v>21</v>
      </c>
      <c r="F40">
        <v>21</v>
      </c>
      <c r="G40" t="s">
        <v>124</v>
      </c>
      <c r="H40" t="s">
        <v>25</v>
      </c>
      <c r="I40" t="s">
        <v>37</v>
      </c>
      <c r="J40">
        <f t="shared" si="2"/>
        <v>0</v>
      </c>
      <c r="K40">
        <v>0</v>
      </c>
      <c r="L40" s="5">
        <f t="shared" si="3"/>
        <v>30</v>
      </c>
      <c r="M40" s="2">
        <v>30</v>
      </c>
      <c r="N40" s="2">
        <f>IF(O40&gt;=90%,5,IF(O40&gt;=80%,4,IF(O40&gt;=70%,3,IF(O40&gt;=60%,2,1))))</f>
        <v>4</v>
      </c>
      <c r="O40" s="3">
        <v>0.84</v>
      </c>
      <c r="P40" t="s">
        <v>65</v>
      </c>
      <c r="Q40" t="s">
        <v>27</v>
      </c>
      <c r="R40">
        <v>5</v>
      </c>
      <c r="S40">
        <v>1</v>
      </c>
    </row>
    <row r="41" spans="1:19" x14ac:dyDescent="0.3">
      <c r="A41" t="s">
        <v>155</v>
      </c>
      <c r="B41" t="s">
        <v>156</v>
      </c>
      <c r="C41" t="str">
        <f t="shared" si="0"/>
        <v>Female</v>
      </c>
      <c r="D41" t="s">
        <v>77</v>
      </c>
      <c r="E41">
        <f t="shared" si="1"/>
        <v>35</v>
      </c>
      <c r="F41">
        <v>35</v>
      </c>
      <c r="G41" t="s">
        <v>31</v>
      </c>
      <c r="H41" t="s">
        <v>31</v>
      </c>
      <c r="I41" t="s">
        <v>87</v>
      </c>
      <c r="J41">
        <f t="shared" si="2"/>
        <v>10</v>
      </c>
      <c r="K41">
        <v>10</v>
      </c>
      <c r="L41" s="5" t="str">
        <f t="shared" si="3"/>
        <v>$50</v>
      </c>
      <c r="M41" s="2" t="s">
        <v>64</v>
      </c>
      <c r="N41" s="2">
        <f>IF(O41&gt;=90%,5,IF(O41&gt;=80%,4,IF(O41&gt;=70%,3,IF(O41&gt;=60%,2,1))))</f>
        <v>1</v>
      </c>
      <c r="O41" s="3">
        <v>0.5</v>
      </c>
      <c r="P41" t="s">
        <v>46</v>
      </c>
      <c r="Q41" t="s">
        <v>58</v>
      </c>
      <c r="R41">
        <v>7</v>
      </c>
      <c r="S41">
        <v>6</v>
      </c>
    </row>
    <row r="42" spans="1:19" x14ac:dyDescent="0.3">
      <c r="A42" t="s">
        <v>157</v>
      </c>
      <c r="B42" t="s">
        <v>158</v>
      </c>
      <c r="C42" t="str">
        <f t="shared" si="0"/>
        <v>Male</v>
      </c>
      <c r="D42" t="s">
        <v>30</v>
      </c>
      <c r="E42">
        <f t="shared" si="1"/>
        <v>41</v>
      </c>
      <c r="F42">
        <v>41</v>
      </c>
      <c r="G42" t="s">
        <v>68</v>
      </c>
      <c r="H42" t="s">
        <v>25</v>
      </c>
      <c r="I42" t="s">
        <v>52</v>
      </c>
      <c r="J42" s="4">
        <f t="shared" si="2"/>
        <v>9.7424242424242422</v>
      </c>
      <c r="L42" s="5">
        <f t="shared" si="3"/>
        <v>20</v>
      </c>
      <c r="M42" s="2">
        <v>20</v>
      </c>
      <c r="N42" s="2">
        <f>IF(O42&gt;=90%,5,IF(O42&gt;=80%,4,IF(O42&gt;=70%,3,IF(O42&gt;=60%,2,1))))</f>
        <v>2</v>
      </c>
      <c r="O42" s="3">
        <v>0.63</v>
      </c>
      <c r="P42" t="s">
        <v>65</v>
      </c>
      <c r="Q42" t="s">
        <v>58</v>
      </c>
      <c r="R42">
        <v>1</v>
      </c>
      <c r="S42">
        <v>1</v>
      </c>
    </row>
    <row r="43" spans="1:19" x14ac:dyDescent="0.3">
      <c r="A43" t="s">
        <v>159</v>
      </c>
      <c r="B43" t="s">
        <v>160</v>
      </c>
      <c r="C43" t="str">
        <f t="shared" si="0"/>
        <v>Female</v>
      </c>
      <c r="D43" t="s">
        <v>77</v>
      </c>
      <c r="E43">
        <f t="shared" si="1"/>
        <v>51</v>
      </c>
      <c r="F43">
        <v>51</v>
      </c>
      <c r="G43" t="s">
        <v>42</v>
      </c>
      <c r="H43" t="s">
        <v>43</v>
      </c>
      <c r="I43" t="s">
        <v>110</v>
      </c>
      <c r="J43">
        <f t="shared" si="2"/>
        <v>23</v>
      </c>
      <c r="K43">
        <v>23</v>
      </c>
      <c r="L43" s="5">
        <f t="shared" si="3"/>
        <v>20</v>
      </c>
      <c r="M43" s="2">
        <v>20</v>
      </c>
      <c r="N43" s="2">
        <f>IF(O43&gt;=90%,5,IF(O43&gt;=80%,4,IF(O43&gt;=70%,3,IF(O43&gt;=60%,2,1))))</f>
        <v>4</v>
      </c>
      <c r="O43" s="3">
        <v>0.8</v>
      </c>
      <c r="P43" t="s">
        <v>46</v>
      </c>
      <c r="Q43" t="s">
        <v>20</v>
      </c>
      <c r="R43">
        <v>17</v>
      </c>
      <c r="S43">
        <v>15</v>
      </c>
    </row>
    <row r="44" spans="1:19" x14ac:dyDescent="0.3">
      <c r="A44" t="s">
        <v>161</v>
      </c>
      <c r="B44" t="s">
        <v>162</v>
      </c>
      <c r="C44" t="str">
        <f t="shared" si="0"/>
        <v>Male</v>
      </c>
      <c r="D44" t="s">
        <v>30</v>
      </c>
      <c r="E44">
        <f t="shared" si="1"/>
        <v>41</v>
      </c>
      <c r="F44">
        <v>41</v>
      </c>
      <c r="G44" t="s">
        <v>147</v>
      </c>
      <c r="H44" t="s">
        <v>148</v>
      </c>
      <c r="I44" t="s">
        <v>37</v>
      </c>
      <c r="J44">
        <f t="shared" si="2"/>
        <v>9</v>
      </c>
      <c r="K44">
        <v>9</v>
      </c>
      <c r="L44" s="5" t="str">
        <f t="shared" si="3"/>
        <v>$75</v>
      </c>
      <c r="M44" s="2" t="s">
        <v>163</v>
      </c>
      <c r="N44" s="2">
        <f>IF(O44&gt;=90%,5,IF(O44&gt;=80%,4,IF(O44&gt;=70%,3,IF(O44&gt;=60%,2,1))))</f>
        <v>3</v>
      </c>
      <c r="O44" s="3">
        <v>0.74</v>
      </c>
      <c r="P44" t="s">
        <v>46</v>
      </c>
      <c r="Q44" t="s">
        <v>58</v>
      </c>
      <c r="R44">
        <v>13</v>
      </c>
      <c r="S44">
        <v>8</v>
      </c>
    </row>
    <row r="45" spans="1:19" x14ac:dyDescent="0.3">
      <c r="A45" t="s">
        <v>164</v>
      </c>
      <c r="B45" t="s">
        <v>165</v>
      </c>
      <c r="C45" t="str">
        <f t="shared" si="0"/>
        <v>Female</v>
      </c>
      <c r="D45" t="s">
        <v>77</v>
      </c>
      <c r="E45">
        <f t="shared" si="1"/>
        <v>47</v>
      </c>
      <c r="F45">
        <v>47</v>
      </c>
      <c r="G45" t="s">
        <v>135</v>
      </c>
      <c r="H45" t="s">
        <v>136</v>
      </c>
      <c r="I45" t="s">
        <v>87</v>
      </c>
      <c r="J45">
        <f t="shared" si="2"/>
        <v>15</v>
      </c>
      <c r="K45">
        <v>15</v>
      </c>
      <c r="L45" s="5" t="str">
        <f t="shared" si="3"/>
        <v>$30</v>
      </c>
      <c r="M45" s="2" t="s">
        <v>45</v>
      </c>
      <c r="N45" s="2">
        <f>IF(O45&gt;=90%,5,IF(O45&gt;=80%,4,IF(O45&gt;=70%,3,IF(O45&gt;=60%,2,1))))</f>
        <v>4</v>
      </c>
      <c r="O45" s="3">
        <v>0.85</v>
      </c>
      <c r="P45" t="s">
        <v>46</v>
      </c>
      <c r="Q45" t="s">
        <v>58</v>
      </c>
      <c r="R45">
        <v>12</v>
      </c>
      <c r="S45">
        <v>4</v>
      </c>
    </row>
    <row r="46" spans="1:19" x14ac:dyDescent="0.3">
      <c r="A46" t="s">
        <v>166</v>
      </c>
      <c r="B46" t="s">
        <v>167</v>
      </c>
      <c r="C46" t="str">
        <f t="shared" si="0"/>
        <v>Male</v>
      </c>
      <c r="D46" t="s">
        <v>30</v>
      </c>
      <c r="E46">
        <f t="shared" si="1"/>
        <v>25</v>
      </c>
      <c r="F46">
        <v>25</v>
      </c>
      <c r="G46" t="s">
        <v>168</v>
      </c>
      <c r="H46" t="s">
        <v>169</v>
      </c>
      <c r="I46" t="s">
        <v>32</v>
      </c>
      <c r="J46">
        <f t="shared" si="2"/>
        <v>4</v>
      </c>
      <c r="K46">
        <v>4</v>
      </c>
      <c r="L46" s="5">
        <f t="shared" si="3"/>
        <v>50</v>
      </c>
      <c r="M46" s="2">
        <v>50</v>
      </c>
      <c r="N46" s="2">
        <f>IF(O46&gt;=90%,5,IF(O46&gt;=80%,4,IF(O46&gt;=70%,3,IF(O46&gt;=60%,2,1))))</f>
        <v>3</v>
      </c>
      <c r="O46" s="3">
        <v>0.77</v>
      </c>
      <c r="P46" t="s">
        <v>69</v>
      </c>
      <c r="Q46" t="s">
        <v>27</v>
      </c>
      <c r="R46">
        <v>4</v>
      </c>
      <c r="S46">
        <v>3</v>
      </c>
    </row>
    <row r="47" spans="1:19" x14ac:dyDescent="0.3">
      <c r="A47" t="s">
        <v>170</v>
      </c>
      <c r="B47" t="s">
        <v>171</v>
      </c>
      <c r="C47" t="str">
        <f t="shared" si="0"/>
        <v>Female</v>
      </c>
      <c r="D47" t="s">
        <v>36</v>
      </c>
      <c r="E47">
        <f t="shared" si="1"/>
        <v>25</v>
      </c>
      <c r="F47">
        <v>25</v>
      </c>
      <c r="G47" t="s">
        <v>172</v>
      </c>
      <c r="H47" t="s">
        <v>73</v>
      </c>
      <c r="I47" t="s">
        <v>26</v>
      </c>
      <c r="J47">
        <f t="shared" si="2"/>
        <v>7</v>
      </c>
      <c r="K47">
        <v>7</v>
      </c>
      <c r="L47" s="5">
        <f t="shared" si="3"/>
        <v>20</v>
      </c>
      <c r="M47" s="2">
        <v>20</v>
      </c>
      <c r="N47" s="2">
        <f>IF(O47&gt;=90%,5,IF(O47&gt;=80%,4,IF(O47&gt;=70%,3,IF(O47&gt;=60%,2,1))))</f>
        <v>1</v>
      </c>
      <c r="O47" s="3">
        <v>0.5</v>
      </c>
      <c r="P47" t="s">
        <v>19</v>
      </c>
      <c r="Q47" t="s">
        <v>20</v>
      </c>
      <c r="R47">
        <v>12</v>
      </c>
      <c r="S47">
        <v>10</v>
      </c>
    </row>
    <row r="48" spans="1:19" x14ac:dyDescent="0.3">
      <c r="A48" t="s">
        <v>173</v>
      </c>
      <c r="B48" t="s">
        <v>174</v>
      </c>
      <c r="C48" t="str">
        <f t="shared" si="0"/>
        <v>Male</v>
      </c>
      <c r="D48" t="s">
        <v>49</v>
      </c>
      <c r="E48">
        <f t="shared" si="1"/>
        <v>29</v>
      </c>
      <c r="F48">
        <v>29</v>
      </c>
      <c r="G48" t="s">
        <v>42</v>
      </c>
      <c r="H48" t="s">
        <v>43</v>
      </c>
      <c r="I48" t="s">
        <v>74</v>
      </c>
      <c r="J48">
        <f t="shared" si="2"/>
        <v>1</v>
      </c>
      <c r="K48">
        <v>1</v>
      </c>
      <c r="L48" s="5">
        <f t="shared" si="3"/>
        <v>20</v>
      </c>
      <c r="M48" s="2">
        <v>20</v>
      </c>
      <c r="N48" s="2">
        <f>IF(O48&gt;=90%,5,IF(O48&gt;=80%,4,IF(O48&gt;=70%,3,IF(O48&gt;=60%,2,1))))</f>
        <v>2</v>
      </c>
      <c r="O48" s="3">
        <v>0.63</v>
      </c>
      <c r="P48" t="s">
        <v>46</v>
      </c>
      <c r="Q48" t="s">
        <v>27</v>
      </c>
      <c r="R48">
        <v>2</v>
      </c>
      <c r="S48">
        <v>1</v>
      </c>
    </row>
    <row r="49" spans="1:19" x14ac:dyDescent="0.3">
      <c r="A49" t="s">
        <v>175</v>
      </c>
      <c r="B49" t="s">
        <v>176</v>
      </c>
      <c r="C49" t="str">
        <f t="shared" si="0"/>
        <v>Female</v>
      </c>
      <c r="D49" t="s">
        <v>23</v>
      </c>
      <c r="E49">
        <f t="shared" si="1"/>
        <v>23</v>
      </c>
      <c r="F49">
        <v>23</v>
      </c>
      <c r="G49" t="s">
        <v>72</v>
      </c>
      <c r="H49" t="s">
        <v>73</v>
      </c>
      <c r="I49" t="s">
        <v>78</v>
      </c>
      <c r="J49">
        <f t="shared" si="2"/>
        <v>0</v>
      </c>
      <c r="K49">
        <v>0</v>
      </c>
      <c r="L49" s="5">
        <f t="shared" si="3"/>
        <v>75</v>
      </c>
      <c r="M49" s="2">
        <v>75</v>
      </c>
      <c r="N49" s="2">
        <f>IF(O49&gt;=90%,5,IF(O49&gt;=80%,4,IF(O49&gt;=70%,3,IF(O49&gt;=60%,2,1))))</f>
        <v>3</v>
      </c>
      <c r="O49" s="3">
        <v>0.79</v>
      </c>
      <c r="P49" t="s">
        <v>46</v>
      </c>
      <c r="Q49" t="s">
        <v>33</v>
      </c>
      <c r="R49">
        <v>2</v>
      </c>
      <c r="S49">
        <v>5</v>
      </c>
    </row>
    <row r="50" spans="1:19" x14ac:dyDescent="0.3">
      <c r="A50" t="s">
        <v>177</v>
      </c>
      <c r="B50" t="s">
        <v>178</v>
      </c>
      <c r="C50" t="str">
        <f t="shared" si="0"/>
        <v>Male</v>
      </c>
      <c r="D50" t="s">
        <v>30</v>
      </c>
      <c r="E50">
        <f t="shared" si="1"/>
        <v>31</v>
      </c>
      <c r="F50">
        <v>31</v>
      </c>
      <c r="G50" t="s">
        <v>131</v>
      </c>
      <c r="H50" t="s">
        <v>132</v>
      </c>
      <c r="I50" t="s">
        <v>52</v>
      </c>
      <c r="J50">
        <f t="shared" si="2"/>
        <v>8</v>
      </c>
      <c r="K50">
        <v>8</v>
      </c>
      <c r="L50" s="5">
        <f t="shared" si="3"/>
        <v>50</v>
      </c>
      <c r="M50" s="2">
        <v>50</v>
      </c>
      <c r="N50" s="2">
        <f>IF(O50&gt;=90%,5,IF(O50&gt;=80%,4,IF(O50&gt;=70%,3,IF(O50&gt;=60%,2,1))))</f>
        <v>1</v>
      </c>
      <c r="O50" s="3">
        <v>0.5</v>
      </c>
      <c r="P50" t="s">
        <v>69</v>
      </c>
      <c r="Q50" t="s">
        <v>33</v>
      </c>
      <c r="R50">
        <v>11</v>
      </c>
      <c r="S50">
        <v>3</v>
      </c>
    </row>
    <row r="51" spans="1:19" x14ac:dyDescent="0.3">
      <c r="A51" t="s">
        <v>179</v>
      </c>
      <c r="B51" t="s">
        <v>180</v>
      </c>
      <c r="C51" t="str">
        <f t="shared" si="0"/>
        <v>Male</v>
      </c>
      <c r="D51" t="s">
        <v>95</v>
      </c>
      <c r="E51">
        <f t="shared" si="1"/>
        <v>51</v>
      </c>
      <c r="F51">
        <v>51</v>
      </c>
      <c r="G51" t="s">
        <v>31</v>
      </c>
      <c r="H51" t="s">
        <v>31</v>
      </c>
      <c r="I51" t="s">
        <v>110</v>
      </c>
      <c r="J51">
        <f t="shared" si="2"/>
        <v>33</v>
      </c>
      <c r="K51">
        <v>33</v>
      </c>
      <c r="L51" s="5">
        <f t="shared" si="3"/>
        <v>75</v>
      </c>
      <c r="M51" s="2">
        <v>75</v>
      </c>
      <c r="N51" s="2">
        <f>IF(O51&gt;=90%,5,IF(O51&gt;=80%,4,IF(O51&gt;=70%,3,IF(O51&gt;=60%,2,1))))</f>
        <v>2</v>
      </c>
      <c r="O51" s="3">
        <v>0.68</v>
      </c>
      <c r="P51" t="s">
        <v>46</v>
      </c>
      <c r="Q51" t="s">
        <v>33</v>
      </c>
      <c r="R51">
        <v>17</v>
      </c>
      <c r="S51">
        <v>8</v>
      </c>
    </row>
    <row r="52" spans="1:19" x14ac:dyDescent="0.3">
      <c r="A52" t="s">
        <v>181</v>
      </c>
      <c r="B52" t="s">
        <v>182</v>
      </c>
      <c r="C52" t="str">
        <f t="shared" si="0"/>
        <v>Male</v>
      </c>
      <c r="D52" t="s">
        <v>49</v>
      </c>
      <c r="E52">
        <f t="shared" si="1"/>
        <v>41</v>
      </c>
      <c r="G52" t="s">
        <v>183</v>
      </c>
      <c r="H52" t="s">
        <v>73</v>
      </c>
      <c r="I52" t="s">
        <v>74</v>
      </c>
      <c r="J52">
        <f t="shared" si="2"/>
        <v>1</v>
      </c>
      <c r="K52">
        <v>1</v>
      </c>
      <c r="L52" s="5">
        <f t="shared" si="3"/>
        <v>30</v>
      </c>
      <c r="M52" s="2">
        <v>30</v>
      </c>
      <c r="N52" s="2">
        <f>IF(O52&gt;=90%,5,IF(O52&gt;=80%,4,IF(O52&gt;=70%,3,IF(O52&gt;=60%,2,1))))</f>
        <v>2</v>
      </c>
      <c r="O52" s="3">
        <v>0.68</v>
      </c>
      <c r="P52" t="s">
        <v>65</v>
      </c>
      <c r="Q52" t="s">
        <v>20</v>
      </c>
      <c r="R52">
        <v>1</v>
      </c>
      <c r="S52">
        <v>2</v>
      </c>
    </row>
    <row r="53" spans="1:19" x14ac:dyDescent="0.3">
      <c r="A53" t="s">
        <v>184</v>
      </c>
      <c r="B53" t="s">
        <v>185</v>
      </c>
      <c r="C53" t="str">
        <f t="shared" si="0"/>
        <v>Female</v>
      </c>
      <c r="D53" t="s">
        <v>15</v>
      </c>
      <c r="E53">
        <f t="shared" si="1"/>
        <v>29</v>
      </c>
      <c r="F53">
        <v>29</v>
      </c>
      <c r="G53" t="s">
        <v>62</v>
      </c>
      <c r="H53" t="s">
        <v>63</v>
      </c>
      <c r="I53" t="s">
        <v>78</v>
      </c>
      <c r="J53">
        <f t="shared" si="2"/>
        <v>11</v>
      </c>
      <c r="K53">
        <v>11</v>
      </c>
      <c r="L53" s="5">
        <f t="shared" si="3"/>
        <v>100</v>
      </c>
      <c r="M53" s="2">
        <v>100</v>
      </c>
      <c r="N53" s="2">
        <f>IF(O53&gt;=90%,5,IF(O53&gt;=80%,4,IF(O53&gt;=70%,3,IF(O53&gt;=60%,2,1))))</f>
        <v>3</v>
      </c>
      <c r="O53" s="3">
        <v>0.72</v>
      </c>
      <c r="P53" t="s">
        <v>65</v>
      </c>
      <c r="Q53" t="s">
        <v>58</v>
      </c>
      <c r="R53">
        <v>7</v>
      </c>
      <c r="S53">
        <v>7</v>
      </c>
    </row>
    <row r="54" spans="1:19" x14ac:dyDescent="0.3">
      <c r="A54" t="s">
        <v>186</v>
      </c>
      <c r="B54" t="s">
        <v>187</v>
      </c>
      <c r="C54" t="str">
        <f t="shared" si="0"/>
        <v>Male</v>
      </c>
      <c r="D54" t="s">
        <v>49</v>
      </c>
      <c r="E54">
        <f t="shared" si="1"/>
        <v>50</v>
      </c>
      <c r="F54">
        <v>50</v>
      </c>
      <c r="G54" t="s">
        <v>68</v>
      </c>
      <c r="H54" t="s">
        <v>25</v>
      </c>
      <c r="I54" t="s">
        <v>44</v>
      </c>
      <c r="J54">
        <f t="shared" si="2"/>
        <v>15</v>
      </c>
      <c r="K54">
        <v>15</v>
      </c>
      <c r="L54" s="5">
        <f t="shared" si="3"/>
        <v>54.394463667820069</v>
      </c>
      <c r="N54" s="2">
        <f>IF(O54&gt;=90%,5,IF(O54&gt;=80%,4,IF(O54&gt;=70%,3,IF(O54&gt;=60%,2,1))))</f>
        <v>2</v>
      </c>
      <c r="O54" s="3">
        <v>0.65</v>
      </c>
      <c r="P54" t="s">
        <v>19</v>
      </c>
      <c r="Q54" t="s">
        <v>20</v>
      </c>
      <c r="R54">
        <v>7</v>
      </c>
      <c r="S54">
        <v>7</v>
      </c>
    </row>
    <row r="55" spans="1:19" x14ac:dyDescent="0.3">
      <c r="A55" t="s">
        <v>188</v>
      </c>
      <c r="B55" t="s">
        <v>189</v>
      </c>
      <c r="C55" t="str">
        <f t="shared" si="0"/>
        <v>Female</v>
      </c>
      <c r="D55" t="s">
        <v>15</v>
      </c>
      <c r="E55">
        <f t="shared" si="1"/>
        <v>26</v>
      </c>
      <c r="F55">
        <v>26</v>
      </c>
      <c r="G55" t="s">
        <v>68</v>
      </c>
      <c r="H55" t="s">
        <v>25</v>
      </c>
      <c r="I55" t="s">
        <v>87</v>
      </c>
      <c r="J55">
        <f t="shared" si="2"/>
        <v>8</v>
      </c>
      <c r="K55">
        <v>8</v>
      </c>
      <c r="L55" s="5">
        <f t="shared" si="3"/>
        <v>50</v>
      </c>
      <c r="M55" s="2">
        <v>50</v>
      </c>
      <c r="N55" s="2">
        <f>IF(O55&gt;=90%,5,IF(O55&gt;=80%,4,IF(O55&gt;=70%,3,IF(O55&gt;=60%,2,1))))</f>
        <v>3</v>
      </c>
      <c r="O55" s="3">
        <v>0.76</v>
      </c>
      <c r="P55" t="s">
        <v>46</v>
      </c>
      <c r="Q55" t="s">
        <v>20</v>
      </c>
      <c r="R55">
        <v>7</v>
      </c>
      <c r="S55">
        <v>5</v>
      </c>
    </row>
    <row r="56" spans="1:19" x14ac:dyDescent="0.3">
      <c r="A56" t="s">
        <v>190</v>
      </c>
      <c r="B56" t="s">
        <v>191</v>
      </c>
      <c r="C56" t="str">
        <f t="shared" si="0"/>
        <v>Male</v>
      </c>
      <c r="D56" t="s">
        <v>95</v>
      </c>
      <c r="E56">
        <f t="shared" si="1"/>
        <v>38</v>
      </c>
      <c r="F56">
        <v>38</v>
      </c>
      <c r="G56" t="s">
        <v>124</v>
      </c>
      <c r="H56" t="s">
        <v>25</v>
      </c>
      <c r="I56" t="s">
        <v>44</v>
      </c>
      <c r="J56">
        <f t="shared" si="2"/>
        <v>17</v>
      </c>
      <c r="K56">
        <v>17</v>
      </c>
      <c r="L56" s="5" t="str">
        <f t="shared" si="3"/>
        <v>$40</v>
      </c>
      <c r="M56" s="2" t="s">
        <v>38</v>
      </c>
      <c r="N56" s="2">
        <f>IF(O56&gt;=90%,5,IF(O56&gt;=80%,4,IF(O56&gt;=70%,3,IF(O56&gt;=60%,2,1))))</f>
        <v>5</v>
      </c>
      <c r="O56" s="3">
        <v>0.9</v>
      </c>
      <c r="P56" t="s">
        <v>69</v>
      </c>
      <c r="Q56" t="s">
        <v>58</v>
      </c>
      <c r="R56">
        <v>16</v>
      </c>
      <c r="S56">
        <v>11</v>
      </c>
    </row>
    <row r="57" spans="1:19" x14ac:dyDescent="0.3">
      <c r="A57" t="s">
        <v>192</v>
      </c>
      <c r="B57" t="s">
        <v>193</v>
      </c>
      <c r="C57" t="str">
        <f t="shared" si="0"/>
        <v>Female</v>
      </c>
      <c r="D57" t="s">
        <v>23</v>
      </c>
      <c r="E57">
        <f t="shared" si="1"/>
        <v>23</v>
      </c>
      <c r="F57">
        <v>23</v>
      </c>
      <c r="G57" t="s">
        <v>91</v>
      </c>
      <c r="H57" t="s">
        <v>92</v>
      </c>
      <c r="I57" t="s">
        <v>26</v>
      </c>
      <c r="J57" s="4">
        <f t="shared" si="2"/>
        <v>11.507692307692308</v>
      </c>
      <c r="L57" s="5">
        <f t="shared" si="3"/>
        <v>75</v>
      </c>
      <c r="M57" s="2">
        <v>75</v>
      </c>
      <c r="N57" s="2">
        <f>IF(O57&gt;=90%,5,IF(O57&gt;=80%,4,IF(O57&gt;=70%,3,IF(O57&gt;=60%,2,1))))</f>
        <v>2</v>
      </c>
      <c r="O57" s="3">
        <v>0.65</v>
      </c>
      <c r="P57" t="s">
        <v>65</v>
      </c>
      <c r="Q57" t="s">
        <v>27</v>
      </c>
      <c r="R57">
        <v>2</v>
      </c>
      <c r="S57">
        <v>4</v>
      </c>
    </row>
    <row r="58" spans="1:19" x14ac:dyDescent="0.3">
      <c r="A58" t="s">
        <v>194</v>
      </c>
      <c r="B58" t="s">
        <v>195</v>
      </c>
      <c r="C58" t="str">
        <f t="shared" si="0"/>
        <v>Female</v>
      </c>
      <c r="D58" t="s">
        <v>77</v>
      </c>
      <c r="E58">
        <f t="shared" si="1"/>
        <v>51</v>
      </c>
      <c r="F58">
        <v>51</v>
      </c>
      <c r="G58" t="s">
        <v>147</v>
      </c>
      <c r="H58" t="s">
        <v>148</v>
      </c>
      <c r="I58" t="s">
        <v>87</v>
      </c>
      <c r="J58">
        <f t="shared" si="2"/>
        <v>28</v>
      </c>
      <c r="K58">
        <v>28</v>
      </c>
      <c r="L58" s="5">
        <f t="shared" si="3"/>
        <v>40</v>
      </c>
      <c r="M58" s="2">
        <v>40</v>
      </c>
      <c r="N58" s="2">
        <f>IF(O58&gt;=90%,5,IF(O58&gt;=80%,4,IF(O58&gt;=70%,3,IF(O58&gt;=60%,2,1))))</f>
        <v>2</v>
      </c>
      <c r="O58" s="3">
        <v>0.63</v>
      </c>
      <c r="P58" t="s">
        <v>69</v>
      </c>
      <c r="Q58" t="s">
        <v>33</v>
      </c>
      <c r="R58">
        <v>13</v>
      </c>
      <c r="S58">
        <v>6</v>
      </c>
    </row>
    <row r="59" spans="1:19" x14ac:dyDescent="0.3">
      <c r="A59" t="s">
        <v>196</v>
      </c>
      <c r="B59" t="s">
        <v>197</v>
      </c>
      <c r="C59" t="str">
        <f t="shared" si="0"/>
        <v>Female</v>
      </c>
      <c r="D59" t="s">
        <v>36</v>
      </c>
      <c r="E59">
        <f t="shared" si="1"/>
        <v>51</v>
      </c>
      <c r="F59">
        <v>51</v>
      </c>
      <c r="G59" t="s">
        <v>50</v>
      </c>
      <c r="H59" t="s">
        <v>51</v>
      </c>
      <c r="I59" t="s">
        <v>44</v>
      </c>
      <c r="J59">
        <f t="shared" si="2"/>
        <v>33</v>
      </c>
      <c r="K59">
        <v>33</v>
      </c>
      <c r="L59" s="5" t="str">
        <f t="shared" si="3"/>
        <v>$75</v>
      </c>
      <c r="M59" s="2" t="s">
        <v>163</v>
      </c>
      <c r="N59" s="2">
        <f>IF(O59&gt;=90%,5,IF(O59&gt;=80%,4,IF(O59&gt;=70%,3,IF(O59&gt;=60%,2,1))))</f>
        <v>1</v>
      </c>
      <c r="O59" s="3">
        <v>0.5</v>
      </c>
      <c r="P59" t="s">
        <v>69</v>
      </c>
      <c r="Q59" t="s">
        <v>27</v>
      </c>
      <c r="R59">
        <v>14</v>
      </c>
      <c r="S59">
        <v>8</v>
      </c>
    </row>
    <row r="60" spans="1:19" x14ac:dyDescent="0.3">
      <c r="A60" t="s">
        <v>198</v>
      </c>
      <c r="B60" t="s">
        <v>199</v>
      </c>
      <c r="C60" t="str">
        <f t="shared" si="0"/>
        <v>Male</v>
      </c>
      <c r="D60" t="s">
        <v>95</v>
      </c>
      <c r="E60">
        <f t="shared" si="1"/>
        <v>47</v>
      </c>
      <c r="F60">
        <v>47</v>
      </c>
      <c r="G60" t="s">
        <v>31</v>
      </c>
      <c r="H60" t="s">
        <v>31</v>
      </c>
      <c r="I60" t="s">
        <v>44</v>
      </c>
      <c r="J60">
        <f t="shared" si="2"/>
        <v>18</v>
      </c>
      <c r="K60">
        <v>18</v>
      </c>
      <c r="L60" s="5">
        <f t="shared" si="3"/>
        <v>75</v>
      </c>
      <c r="M60" s="2">
        <v>75</v>
      </c>
      <c r="N60" s="2">
        <f>IF(O60&gt;=90%,5,IF(O60&gt;=80%,4,IF(O60&gt;=70%,3,IF(O60&gt;=60%,2,1))))</f>
        <v>1</v>
      </c>
      <c r="O60" s="3">
        <v>0.5</v>
      </c>
      <c r="P60" t="s">
        <v>65</v>
      </c>
      <c r="Q60" t="s">
        <v>33</v>
      </c>
      <c r="R60">
        <v>11</v>
      </c>
      <c r="S60">
        <v>8</v>
      </c>
    </row>
    <row r="61" spans="1:19" x14ac:dyDescent="0.3">
      <c r="A61" t="s">
        <v>200</v>
      </c>
      <c r="B61" t="s">
        <v>201</v>
      </c>
      <c r="C61" t="str">
        <f t="shared" si="0"/>
        <v>Female</v>
      </c>
      <c r="D61" t="s">
        <v>77</v>
      </c>
      <c r="E61">
        <f t="shared" si="1"/>
        <v>34</v>
      </c>
      <c r="F61">
        <v>34</v>
      </c>
      <c r="G61" t="s">
        <v>120</v>
      </c>
      <c r="H61" t="s">
        <v>121</v>
      </c>
      <c r="I61" t="s">
        <v>74</v>
      </c>
      <c r="J61">
        <f t="shared" si="2"/>
        <v>16</v>
      </c>
      <c r="K61">
        <v>16</v>
      </c>
      <c r="L61" s="5" t="str">
        <f t="shared" si="3"/>
        <v>$20</v>
      </c>
      <c r="M61" s="2" t="s">
        <v>117</v>
      </c>
      <c r="N61" s="2">
        <f>IF(O61&gt;=90%,5,IF(O61&gt;=80%,4,IF(O61&gt;=70%,3,IF(O61&gt;=60%,2,1))))</f>
        <v>5</v>
      </c>
      <c r="O61" s="3">
        <v>0.93</v>
      </c>
      <c r="P61" t="s">
        <v>69</v>
      </c>
      <c r="Q61" t="s">
        <v>20</v>
      </c>
      <c r="R61">
        <v>15</v>
      </c>
      <c r="S61">
        <v>5</v>
      </c>
    </row>
    <row r="62" spans="1:19" x14ac:dyDescent="0.3">
      <c r="A62" t="s">
        <v>202</v>
      </c>
      <c r="B62" t="s">
        <v>203</v>
      </c>
      <c r="C62" t="str">
        <f t="shared" si="0"/>
        <v>Female</v>
      </c>
      <c r="D62" t="s">
        <v>15</v>
      </c>
      <c r="E62">
        <f t="shared" si="1"/>
        <v>58</v>
      </c>
      <c r="F62">
        <v>58</v>
      </c>
      <c r="G62" t="s">
        <v>50</v>
      </c>
      <c r="H62" t="s">
        <v>51</v>
      </c>
      <c r="I62" t="s">
        <v>52</v>
      </c>
      <c r="J62">
        <f t="shared" si="2"/>
        <v>35</v>
      </c>
      <c r="K62">
        <v>35</v>
      </c>
      <c r="L62" s="5" t="str">
        <f t="shared" si="3"/>
        <v>$50</v>
      </c>
      <c r="M62" s="2" t="s">
        <v>64</v>
      </c>
      <c r="N62" s="2">
        <f>IF(O62&gt;=90%,5,IF(O62&gt;=80%,4,IF(O62&gt;=70%,3,IF(O62&gt;=60%,2,1))))</f>
        <v>3</v>
      </c>
      <c r="O62" s="3">
        <v>0.7</v>
      </c>
      <c r="P62" t="s">
        <v>65</v>
      </c>
      <c r="Q62" t="s">
        <v>33</v>
      </c>
      <c r="R62">
        <v>17</v>
      </c>
      <c r="S62">
        <v>13</v>
      </c>
    </row>
    <row r="63" spans="1:19" x14ac:dyDescent="0.3">
      <c r="A63" t="s">
        <v>204</v>
      </c>
      <c r="B63" t="s">
        <v>205</v>
      </c>
      <c r="C63" t="str">
        <f t="shared" ref="C63:C126" si="4">IF(LEFT(LOWER(TRIM(D63)),1)="f","Female","Male")</f>
        <v>Female</v>
      </c>
      <c r="D63" t="s">
        <v>36</v>
      </c>
      <c r="E63">
        <f t="shared" si="1"/>
        <v>50</v>
      </c>
      <c r="F63">
        <v>50</v>
      </c>
      <c r="G63" t="s">
        <v>120</v>
      </c>
      <c r="H63" t="s">
        <v>121</v>
      </c>
      <c r="I63" t="s">
        <v>44</v>
      </c>
      <c r="J63">
        <f t="shared" si="2"/>
        <v>14</v>
      </c>
      <c r="K63">
        <v>14</v>
      </c>
      <c r="L63" s="5">
        <f t="shared" si="3"/>
        <v>54.315789473684212</v>
      </c>
      <c r="N63" s="2">
        <f>IF(O63&gt;=90%,5,IF(O63&gt;=80%,4,IF(O63&gt;=70%,3,IF(O63&gt;=60%,2,1))))</f>
        <v>4</v>
      </c>
      <c r="O63" s="3">
        <v>0.83</v>
      </c>
      <c r="P63" t="s">
        <v>69</v>
      </c>
      <c r="Q63" t="s">
        <v>20</v>
      </c>
      <c r="R63">
        <v>13</v>
      </c>
      <c r="S63">
        <v>8</v>
      </c>
    </row>
    <row r="64" spans="1:19" x14ac:dyDescent="0.3">
      <c r="A64" t="s">
        <v>206</v>
      </c>
      <c r="B64" t="s">
        <v>207</v>
      </c>
      <c r="C64" t="str">
        <f t="shared" si="4"/>
        <v>Female</v>
      </c>
      <c r="D64" t="s">
        <v>23</v>
      </c>
      <c r="E64">
        <f t="shared" si="1"/>
        <v>34</v>
      </c>
      <c r="F64">
        <v>34</v>
      </c>
      <c r="G64" t="s">
        <v>183</v>
      </c>
      <c r="H64" t="s">
        <v>73</v>
      </c>
      <c r="I64" t="s">
        <v>37</v>
      </c>
      <c r="J64">
        <f t="shared" si="2"/>
        <v>12</v>
      </c>
      <c r="K64">
        <v>12</v>
      </c>
      <c r="L64" s="5">
        <f t="shared" si="3"/>
        <v>40</v>
      </c>
      <c r="M64" s="2">
        <v>40</v>
      </c>
      <c r="N64" s="2">
        <f>IF(O64&gt;=90%,5,IF(O64&gt;=80%,4,IF(O64&gt;=70%,3,IF(O64&gt;=60%,2,1))))</f>
        <v>2</v>
      </c>
      <c r="O64" s="3">
        <v>0.64</v>
      </c>
      <c r="P64" t="s">
        <v>65</v>
      </c>
      <c r="Q64" t="s">
        <v>27</v>
      </c>
      <c r="R64">
        <v>14</v>
      </c>
      <c r="S64">
        <v>12</v>
      </c>
    </row>
    <row r="65" spans="1:19" x14ac:dyDescent="0.3">
      <c r="A65" t="s">
        <v>208</v>
      </c>
      <c r="B65" t="s">
        <v>209</v>
      </c>
      <c r="C65" t="str">
        <f t="shared" si="4"/>
        <v>Female</v>
      </c>
      <c r="D65" t="s">
        <v>77</v>
      </c>
      <c r="E65">
        <f t="shared" si="1"/>
        <v>45</v>
      </c>
      <c r="F65">
        <v>45</v>
      </c>
      <c r="G65" t="s">
        <v>104</v>
      </c>
      <c r="H65" t="s">
        <v>105</v>
      </c>
      <c r="I65" t="s">
        <v>44</v>
      </c>
      <c r="J65">
        <f t="shared" si="2"/>
        <v>11</v>
      </c>
      <c r="K65">
        <v>11</v>
      </c>
      <c r="L65" s="5" t="str">
        <f t="shared" si="3"/>
        <v>$75</v>
      </c>
      <c r="M65" s="2" t="s">
        <v>163</v>
      </c>
      <c r="N65" s="2">
        <f>IF(O65&gt;=90%,5,IF(O65&gt;=80%,4,IF(O65&gt;=70%,3,IF(O65&gt;=60%,2,1))))</f>
        <v>5</v>
      </c>
      <c r="O65" s="3">
        <v>1</v>
      </c>
      <c r="P65" t="s">
        <v>46</v>
      </c>
      <c r="Q65" t="s">
        <v>20</v>
      </c>
      <c r="R65">
        <v>9</v>
      </c>
      <c r="S65">
        <v>2</v>
      </c>
    </row>
    <row r="66" spans="1:19" x14ac:dyDescent="0.3">
      <c r="A66" t="s">
        <v>210</v>
      </c>
      <c r="B66" t="s">
        <v>211</v>
      </c>
      <c r="C66" t="str">
        <f t="shared" si="4"/>
        <v>Female</v>
      </c>
      <c r="D66" t="s">
        <v>23</v>
      </c>
      <c r="E66">
        <f t="shared" ref="E66:E129" si="5">IF(F66="",MEDIAN($F$2:$F$698),F66)</f>
        <v>55</v>
      </c>
      <c r="F66">
        <v>55</v>
      </c>
      <c r="G66" t="s">
        <v>104</v>
      </c>
      <c r="H66" t="s">
        <v>105</v>
      </c>
      <c r="I66" t="s">
        <v>37</v>
      </c>
      <c r="J66">
        <f t="shared" ref="J66:J129" si="6">IF(K66="", AVERAGEIF($I$2:$I$698,I66,$K$2:$K$698),K66)</f>
        <v>0</v>
      </c>
      <c r="K66">
        <v>0</v>
      </c>
      <c r="L66" s="5" t="str">
        <f t="shared" si="3"/>
        <v>$40</v>
      </c>
      <c r="M66" s="2" t="s">
        <v>38</v>
      </c>
      <c r="N66" s="2">
        <f>IF(O66&gt;=90%,5,IF(O66&gt;=80%,4,IF(O66&gt;=70%,3,IF(O66&gt;=60%,2,1))))</f>
        <v>1</v>
      </c>
      <c r="O66" s="3">
        <v>0.5</v>
      </c>
      <c r="P66" t="s">
        <v>19</v>
      </c>
      <c r="Q66" t="s">
        <v>27</v>
      </c>
      <c r="R66">
        <v>5</v>
      </c>
      <c r="S66">
        <v>5</v>
      </c>
    </row>
    <row r="67" spans="1:19" x14ac:dyDescent="0.3">
      <c r="A67" t="s">
        <v>212</v>
      </c>
      <c r="B67" t="s">
        <v>213</v>
      </c>
      <c r="C67" t="str">
        <f t="shared" si="4"/>
        <v>Male</v>
      </c>
      <c r="D67" t="s">
        <v>49</v>
      </c>
      <c r="E67">
        <f t="shared" si="5"/>
        <v>41</v>
      </c>
      <c r="G67" t="s">
        <v>72</v>
      </c>
      <c r="H67" t="s">
        <v>73</v>
      </c>
      <c r="I67" t="s">
        <v>74</v>
      </c>
      <c r="J67">
        <f t="shared" si="6"/>
        <v>6</v>
      </c>
      <c r="K67">
        <v>6</v>
      </c>
      <c r="L67" s="5">
        <f t="shared" ref="L67:L130" si="7">IF(M67="", AVERAGE(M67:M763), M67)</f>
        <v>100</v>
      </c>
      <c r="M67" s="2">
        <v>100</v>
      </c>
      <c r="N67" s="2">
        <f>IF(O67&gt;=90%,5,IF(O67&gt;=80%,4,IF(O67&gt;=70%,3,IF(O67&gt;=60%,2,1))))</f>
        <v>1</v>
      </c>
      <c r="O67" s="3">
        <v>0.5</v>
      </c>
      <c r="P67" t="s">
        <v>65</v>
      </c>
      <c r="Q67" t="s">
        <v>58</v>
      </c>
      <c r="R67">
        <v>8</v>
      </c>
      <c r="S67">
        <v>2</v>
      </c>
    </row>
    <row r="68" spans="1:19" x14ac:dyDescent="0.3">
      <c r="A68" t="s">
        <v>214</v>
      </c>
      <c r="B68" t="s">
        <v>215</v>
      </c>
      <c r="C68" t="str">
        <f t="shared" si="4"/>
        <v>Female</v>
      </c>
      <c r="D68" t="s">
        <v>23</v>
      </c>
      <c r="E68">
        <f t="shared" si="5"/>
        <v>60</v>
      </c>
      <c r="F68">
        <v>60</v>
      </c>
      <c r="G68" t="s">
        <v>168</v>
      </c>
      <c r="H68" t="s">
        <v>169</v>
      </c>
      <c r="I68" t="s">
        <v>74</v>
      </c>
      <c r="J68">
        <f t="shared" si="6"/>
        <v>38</v>
      </c>
      <c r="K68">
        <v>38</v>
      </c>
      <c r="L68" s="5" t="str">
        <f t="shared" si="7"/>
        <v>$20</v>
      </c>
      <c r="M68" s="2" t="s">
        <v>117</v>
      </c>
      <c r="N68" s="2">
        <f>IF(O68&gt;=90%,5,IF(O68&gt;=80%,4,IF(O68&gt;=70%,3,IF(O68&gt;=60%,2,1))))</f>
        <v>3</v>
      </c>
      <c r="O68" s="3">
        <v>0.71</v>
      </c>
      <c r="P68" t="s">
        <v>65</v>
      </c>
      <c r="Q68" t="s">
        <v>58</v>
      </c>
      <c r="R68">
        <v>19</v>
      </c>
      <c r="S68">
        <v>7</v>
      </c>
    </row>
    <row r="69" spans="1:19" x14ac:dyDescent="0.3">
      <c r="A69" t="s">
        <v>216</v>
      </c>
      <c r="B69" t="s">
        <v>217</v>
      </c>
      <c r="C69" t="str">
        <f t="shared" si="4"/>
        <v>Female</v>
      </c>
      <c r="D69" t="s">
        <v>15</v>
      </c>
      <c r="E69">
        <f t="shared" si="5"/>
        <v>33</v>
      </c>
      <c r="F69">
        <v>33</v>
      </c>
      <c r="G69" t="s">
        <v>147</v>
      </c>
      <c r="H69" t="s">
        <v>148</v>
      </c>
      <c r="I69" t="s">
        <v>26</v>
      </c>
      <c r="J69">
        <f t="shared" si="6"/>
        <v>11</v>
      </c>
      <c r="K69">
        <v>11</v>
      </c>
      <c r="L69" s="5">
        <f t="shared" si="7"/>
        <v>54.204946996466433</v>
      </c>
      <c r="N69" s="2">
        <f>IF(O69&gt;=90%,5,IF(O69&gt;=80%,4,IF(O69&gt;=70%,3,IF(O69&gt;=60%,2,1))))</f>
        <v>4</v>
      </c>
      <c r="O69" s="3">
        <v>0.84</v>
      </c>
      <c r="P69" t="s">
        <v>19</v>
      </c>
      <c r="Q69" t="s">
        <v>58</v>
      </c>
      <c r="R69">
        <v>6</v>
      </c>
      <c r="S69">
        <v>3</v>
      </c>
    </row>
    <row r="70" spans="1:19" x14ac:dyDescent="0.3">
      <c r="A70" t="s">
        <v>218</v>
      </c>
      <c r="B70" t="s">
        <v>219</v>
      </c>
      <c r="C70" t="str">
        <f t="shared" si="4"/>
        <v>Male</v>
      </c>
      <c r="D70" t="s">
        <v>90</v>
      </c>
      <c r="E70">
        <f t="shared" si="5"/>
        <v>60</v>
      </c>
      <c r="F70">
        <v>60</v>
      </c>
      <c r="G70" t="s">
        <v>16</v>
      </c>
      <c r="H70" t="s">
        <v>17</v>
      </c>
      <c r="I70" t="s">
        <v>87</v>
      </c>
      <c r="J70">
        <f t="shared" si="6"/>
        <v>13</v>
      </c>
      <c r="K70">
        <v>13</v>
      </c>
      <c r="L70" s="5" t="str">
        <f t="shared" si="7"/>
        <v>$50</v>
      </c>
      <c r="M70" s="2" t="s">
        <v>64</v>
      </c>
      <c r="N70" s="2">
        <f>IF(O70&gt;=90%,5,IF(O70&gt;=80%,4,IF(O70&gt;=70%,3,IF(O70&gt;=60%,2,1))))</f>
        <v>1</v>
      </c>
      <c r="O70" s="3">
        <v>0.5</v>
      </c>
      <c r="P70" t="s">
        <v>65</v>
      </c>
      <c r="Q70" t="s">
        <v>20</v>
      </c>
      <c r="R70">
        <v>15</v>
      </c>
      <c r="S70">
        <v>1</v>
      </c>
    </row>
    <row r="71" spans="1:19" x14ac:dyDescent="0.3">
      <c r="A71" t="s">
        <v>220</v>
      </c>
      <c r="B71" t="s">
        <v>221</v>
      </c>
      <c r="C71" t="str">
        <f t="shared" si="4"/>
        <v>Male</v>
      </c>
      <c r="D71" t="s">
        <v>61</v>
      </c>
      <c r="E71">
        <f t="shared" si="5"/>
        <v>40</v>
      </c>
      <c r="F71">
        <v>40</v>
      </c>
      <c r="G71" t="s">
        <v>57</v>
      </c>
      <c r="H71" t="s">
        <v>25</v>
      </c>
      <c r="I71" t="s">
        <v>37</v>
      </c>
      <c r="J71">
        <f t="shared" si="6"/>
        <v>9</v>
      </c>
      <c r="K71">
        <v>9</v>
      </c>
      <c r="L71" s="5" t="str">
        <f t="shared" si="7"/>
        <v>$100</v>
      </c>
      <c r="M71" s="2" t="s">
        <v>222</v>
      </c>
      <c r="N71" s="2">
        <f>IF(O71&gt;=90%,5,IF(O71&gt;=80%,4,IF(O71&gt;=70%,3,IF(O71&gt;=60%,2,1))))</f>
        <v>2</v>
      </c>
      <c r="O71" s="3">
        <v>0.69</v>
      </c>
      <c r="P71" t="s">
        <v>65</v>
      </c>
      <c r="Q71" t="s">
        <v>58</v>
      </c>
      <c r="R71">
        <v>11</v>
      </c>
      <c r="S71">
        <v>10</v>
      </c>
    </row>
    <row r="72" spans="1:19" x14ac:dyDescent="0.3">
      <c r="A72" t="s">
        <v>223</v>
      </c>
      <c r="B72" t="s">
        <v>224</v>
      </c>
      <c r="C72" t="str">
        <f t="shared" si="4"/>
        <v>Male</v>
      </c>
      <c r="D72" t="s">
        <v>95</v>
      </c>
      <c r="E72">
        <f t="shared" si="5"/>
        <v>59</v>
      </c>
      <c r="F72">
        <v>59</v>
      </c>
      <c r="G72" t="s">
        <v>24</v>
      </c>
      <c r="H72" t="s">
        <v>25</v>
      </c>
      <c r="I72" t="s">
        <v>18</v>
      </c>
      <c r="J72">
        <f t="shared" si="6"/>
        <v>4</v>
      </c>
      <c r="K72">
        <v>4</v>
      </c>
      <c r="L72" s="5">
        <f t="shared" si="7"/>
        <v>54.204946996466433</v>
      </c>
      <c r="N72" s="2">
        <f>IF(O72&gt;=90%,5,IF(O72&gt;=80%,4,IF(O72&gt;=70%,3,IF(O72&gt;=60%,2,1))))</f>
        <v>4</v>
      </c>
      <c r="O72" s="3">
        <v>0.88</v>
      </c>
      <c r="P72" t="s">
        <v>69</v>
      </c>
      <c r="Q72" t="s">
        <v>33</v>
      </c>
      <c r="R72">
        <v>5</v>
      </c>
      <c r="S72">
        <v>1</v>
      </c>
    </row>
    <row r="73" spans="1:19" x14ac:dyDescent="0.3">
      <c r="A73" t="s">
        <v>225</v>
      </c>
      <c r="B73" t="s">
        <v>226</v>
      </c>
      <c r="C73" t="str">
        <f t="shared" si="4"/>
        <v>Male</v>
      </c>
      <c r="D73" t="s">
        <v>90</v>
      </c>
      <c r="E73">
        <f t="shared" si="5"/>
        <v>36</v>
      </c>
      <c r="F73">
        <v>36</v>
      </c>
      <c r="G73" t="s">
        <v>16</v>
      </c>
      <c r="H73" t="s">
        <v>17</v>
      </c>
      <c r="I73" t="s">
        <v>110</v>
      </c>
      <c r="J73">
        <f t="shared" si="6"/>
        <v>14</v>
      </c>
      <c r="K73">
        <v>14</v>
      </c>
      <c r="L73" s="5" t="str">
        <f t="shared" si="7"/>
        <v>$100</v>
      </c>
      <c r="M73" s="2" t="s">
        <v>222</v>
      </c>
      <c r="N73" s="2">
        <f>IF(O73&gt;=90%,5,IF(O73&gt;=80%,4,IF(O73&gt;=70%,3,IF(O73&gt;=60%,2,1))))</f>
        <v>1</v>
      </c>
      <c r="O73" s="3">
        <v>0.5</v>
      </c>
      <c r="P73" t="s">
        <v>19</v>
      </c>
      <c r="Q73" t="s">
        <v>27</v>
      </c>
      <c r="R73">
        <v>9</v>
      </c>
      <c r="S73">
        <v>5</v>
      </c>
    </row>
    <row r="74" spans="1:19" x14ac:dyDescent="0.3">
      <c r="A74" t="s">
        <v>227</v>
      </c>
      <c r="B74" t="s">
        <v>228</v>
      </c>
      <c r="C74" t="str">
        <f t="shared" si="4"/>
        <v>Male</v>
      </c>
      <c r="D74" t="s">
        <v>95</v>
      </c>
      <c r="E74">
        <f t="shared" si="5"/>
        <v>32</v>
      </c>
      <c r="F74">
        <v>32</v>
      </c>
      <c r="G74" t="s">
        <v>91</v>
      </c>
      <c r="H74" t="s">
        <v>92</v>
      </c>
      <c r="I74" t="s">
        <v>52</v>
      </c>
      <c r="J74" s="4">
        <f t="shared" si="6"/>
        <v>9.7424242424242422</v>
      </c>
      <c r="L74" s="5">
        <f t="shared" si="7"/>
        <v>30</v>
      </c>
      <c r="M74" s="2">
        <v>30</v>
      </c>
      <c r="N74" s="2">
        <f>IF(O74&gt;=90%,5,IF(O74&gt;=80%,4,IF(O74&gt;=70%,3,IF(O74&gt;=60%,2,1))))</f>
        <v>5</v>
      </c>
      <c r="O74" s="3">
        <v>0.96</v>
      </c>
      <c r="P74" t="s">
        <v>46</v>
      </c>
      <c r="Q74" t="s">
        <v>27</v>
      </c>
      <c r="R74">
        <v>2</v>
      </c>
      <c r="S74">
        <v>2</v>
      </c>
    </row>
    <row r="75" spans="1:19" x14ac:dyDescent="0.3">
      <c r="A75" t="s">
        <v>229</v>
      </c>
      <c r="B75" t="s">
        <v>230</v>
      </c>
      <c r="C75" t="str">
        <f t="shared" si="4"/>
        <v>Male</v>
      </c>
      <c r="D75" t="s">
        <v>30</v>
      </c>
      <c r="E75">
        <f t="shared" si="5"/>
        <v>59</v>
      </c>
      <c r="F75">
        <v>59</v>
      </c>
      <c r="G75" t="s">
        <v>24</v>
      </c>
      <c r="H75" t="s">
        <v>25</v>
      </c>
      <c r="I75" t="s">
        <v>44</v>
      </c>
      <c r="J75">
        <f t="shared" si="6"/>
        <v>9</v>
      </c>
      <c r="K75">
        <v>9</v>
      </c>
      <c r="L75" s="5" t="str">
        <f t="shared" si="7"/>
        <v>$75</v>
      </c>
      <c r="M75" s="2" t="s">
        <v>163</v>
      </c>
      <c r="N75" s="2">
        <f>IF(O75&gt;=90%,5,IF(O75&gt;=80%,4,IF(O75&gt;=70%,3,IF(O75&gt;=60%,2,1))))</f>
        <v>5</v>
      </c>
      <c r="O75" s="3">
        <v>0.96</v>
      </c>
      <c r="P75" t="s">
        <v>65</v>
      </c>
      <c r="Q75" t="s">
        <v>33</v>
      </c>
      <c r="R75">
        <v>14</v>
      </c>
      <c r="S75">
        <v>5</v>
      </c>
    </row>
    <row r="76" spans="1:19" x14ac:dyDescent="0.3">
      <c r="A76" t="s">
        <v>231</v>
      </c>
      <c r="B76" t="s">
        <v>232</v>
      </c>
      <c r="C76" t="str">
        <f t="shared" si="4"/>
        <v>Female</v>
      </c>
      <c r="D76" t="s">
        <v>36</v>
      </c>
      <c r="E76">
        <f t="shared" si="5"/>
        <v>54</v>
      </c>
      <c r="F76">
        <v>54</v>
      </c>
      <c r="G76" t="s">
        <v>183</v>
      </c>
      <c r="H76" t="s">
        <v>73</v>
      </c>
      <c r="I76" t="s">
        <v>87</v>
      </c>
      <c r="J76">
        <f t="shared" si="6"/>
        <v>32</v>
      </c>
      <c r="K76">
        <v>32</v>
      </c>
      <c r="L76" s="5" t="str">
        <f t="shared" si="7"/>
        <v>$40</v>
      </c>
      <c r="M76" s="2" t="s">
        <v>38</v>
      </c>
      <c r="N76" s="2">
        <f>IF(O76&gt;=90%,5,IF(O76&gt;=80%,4,IF(O76&gt;=70%,3,IF(O76&gt;=60%,2,1))))</f>
        <v>1</v>
      </c>
      <c r="O76" s="3">
        <v>0.5</v>
      </c>
      <c r="P76" t="s">
        <v>19</v>
      </c>
      <c r="Q76" t="s">
        <v>20</v>
      </c>
      <c r="R76">
        <v>10</v>
      </c>
      <c r="S76">
        <v>7</v>
      </c>
    </row>
    <row r="77" spans="1:19" x14ac:dyDescent="0.3">
      <c r="A77" t="s">
        <v>233</v>
      </c>
      <c r="B77" t="s">
        <v>234</v>
      </c>
      <c r="C77" t="str">
        <f t="shared" si="4"/>
        <v>Female</v>
      </c>
      <c r="D77" t="s">
        <v>15</v>
      </c>
      <c r="E77">
        <f t="shared" si="5"/>
        <v>37</v>
      </c>
      <c r="F77">
        <v>37</v>
      </c>
      <c r="G77" t="s">
        <v>124</v>
      </c>
      <c r="H77" t="s">
        <v>25</v>
      </c>
      <c r="I77" t="s">
        <v>32</v>
      </c>
      <c r="J77">
        <f t="shared" si="6"/>
        <v>9</v>
      </c>
      <c r="K77">
        <v>9</v>
      </c>
      <c r="L77" s="5">
        <f t="shared" si="7"/>
        <v>54.290780141843975</v>
      </c>
      <c r="N77" s="2">
        <f>IF(O77&gt;=90%,5,IF(O77&gt;=80%,4,IF(O77&gt;=70%,3,IF(O77&gt;=60%,2,1))))</f>
        <v>4</v>
      </c>
      <c r="O77" s="3">
        <v>0.89</v>
      </c>
      <c r="P77" t="s">
        <v>69</v>
      </c>
      <c r="Q77" t="s">
        <v>20</v>
      </c>
      <c r="R77">
        <v>14</v>
      </c>
      <c r="S77">
        <v>6</v>
      </c>
    </row>
    <row r="78" spans="1:19" x14ac:dyDescent="0.3">
      <c r="A78" t="s">
        <v>235</v>
      </c>
      <c r="B78" t="s">
        <v>236</v>
      </c>
      <c r="C78" t="str">
        <f t="shared" si="4"/>
        <v>Male</v>
      </c>
      <c r="D78" t="s">
        <v>61</v>
      </c>
      <c r="E78">
        <f t="shared" si="5"/>
        <v>54</v>
      </c>
      <c r="F78">
        <v>54</v>
      </c>
      <c r="G78" t="s">
        <v>91</v>
      </c>
      <c r="H78" t="s">
        <v>92</v>
      </c>
      <c r="I78" t="s">
        <v>110</v>
      </c>
      <c r="J78">
        <f t="shared" si="6"/>
        <v>21</v>
      </c>
      <c r="K78">
        <v>21</v>
      </c>
      <c r="L78" s="5" t="str">
        <f t="shared" si="7"/>
        <v>$100</v>
      </c>
      <c r="M78" s="2" t="s">
        <v>222</v>
      </c>
      <c r="N78" s="2">
        <f>IF(O78&gt;=90%,5,IF(O78&gt;=80%,4,IF(O78&gt;=70%,3,IF(O78&gt;=60%,2,1))))</f>
        <v>1</v>
      </c>
      <c r="O78" s="3">
        <v>0.5</v>
      </c>
      <c r="P78" t="s">
        <v>46</v>
      </c>
      <c r="Q78" t="s">
        <v>27</v>
      </c>
      <c r="R78">
        <v>20</v>
      </c>
      <c r="S78">
        <v>3</v>
      </c>
    </row>
    <row r="79" spans="1:19" x14ac:dyDescent="0.3">
      <c r="A79" t="s">
        <v>237</v>
      </c>
      <c r="B79" t="s">
        <v>238</v>
      </c>
      <c r="C79" t="str">
        <f t="shared" si="4"/>
        <v>Female</v>
      </c>
      <c r="D79" t="s">
        <v>77</v>
      </c>
      <c r="E79">
        <f t="shared" si="5"/>
        <v>33</v>
      </c>
      <c r="F79">
        <v>33</v>
      </c>
      <c r="G79" t="s">
        <v>72</v>
      </c>
      <c r="H79" t="s">
        <v>73</v>
      </c>
      <c r="I79" t="s">
        <v>74</v>
      </c>
      <c r="J79">
        <f t="shared" si="6"/>
        <v>12</v>
      </c>
      <c r="K79">
        <v>12</v>
      </c>
      <c r="L79" s="5">
        <f t="shared" si="7"/>
        <v>100</v>
      </c>
      <c r="M79" s="2">
        <v>100</v>
      </c>
      <c r="N79" s="2">
        <f>IF(O79&gt;=90%,5,IF(O79&gt;=80%,4,IF(O79&gt;=70%,3,IF(O79&gt;=60%,2,1))))</f>
        <v>2</v>
      </c>
      <c r="O79" s="3">
        <v>0.63</v>
      </c>
      <c r="P79" t="s">
        <v>19</v>
      </c>
      <c r="Q79" t="s">
        <v>58</v>
      </c>
      <c r="R79">
        <v>10</v>
      </c>
      <c r="S79">
        <v>2</v>
      </c>
    </row>
    <row r="80" spans="1:19" x14ac:dyDescent="0.3">
      <c r="A80" t="s">
        <v>239</v>
      </c>
      <c r="B80" t="s">
        <v>240</v>
      </c>
      <c r="C80" t="str">
        <f t="shared" si="4"/>
        <v>Female</v>
      </c>
      <c r="D80" t="s">
        <v>15</v>
      </c>
      <c r="E80">
        <f t="shared" si="5"/>
        <v>25</v>
      </c>
      <c r="F80">
        <v>25</v>
      </c>
      <c r="G80" t="s">
        <v>135</v>
      </c>
      <c r="H80" t="s">
        <v>136</v>
      </c>
      <c r="I80" t="s">
        <v>37</v>
      </c>
      <c r="J80">
        <f t="shared" si="6"/>
        <v>7</v>
      </c>
      <c r="K80">
        <v>7</v>
      </c>
      <c r="L80" s="5" t="str">
        <f t="shared" si="7"/>
        <v>$40</v>
      </c>
      <c r="M80" s="2" t="s">
        <v>38</v>
      </c>
      <c r="N80" s="2">
        <f>IF(O80&gt;=90%,5,IF(O80&gt;=80%,4,IF(O80&gt;=70%,3,IF(O80&gt;=60%,2,1))))</f>
        <v>4</v>
      </c>
      <c r="O80" s="3">
        <v>0.81</v>
      </c>
      <c r="P80" t="s">
        <v>46</v>
      </c>
      <c r="Q80" t="s">
        <v>20</v>
      </c>
      <c r="R80">
        <v>11</v>
      </c>
      <c r="S80">
        <v>8</v>
      </c>
    </row>
    <row r="81" spans="1:19" x14ac:dyDescent="0.3">
      <c r="A81" t="s">
        <v>241</v>
      </c>
      <c r="B81" t="s">
        <v>242</v>
      </c>
      <c r="C81" t="str">
        <f t="shared" si="4"/>
        <v>Male</v>
      </c>
      <c r="D81" t="s">
        <v>95</v>
      </c>
      <c r="E81">
        <f t="shared" si="5"/>
        <v>41</v>
      </c>
      <c r="G81" t="s">
        <v>168</v>
      </c>
      <c r="H81" t="s">
        <v>169</v>
      </c>
      <c r="I81" t="s">
        <v>87</v>
      </c>
      <c r="J81">
        <f t="shared" si="6"/>
        <v>3</v>
      </c>
      <c r="K81">
        <v>3</v>
      </c>
      <c r="L81" s="5">
        <f t="shared" si="7"/>
        <v>40</v>
      </c>
      <c r="M81" s="2">
        <v>40</v>
      </c>
      <c r="N81" s="2">
        <f>IF(O81&gt;=90%,5,IF(O81&gt;=80%,4,IF(O81&gt;=70%,3,IF(O81&gt;=60%,2,1))))</f>
        <v>3</v>
      </c>
      <c r="O81" s="3">
        <v>0.74</v>
      </c>
      <c r="P81" t="s">
        <v>46</v>
      </c>
      <c r="Q81" t="s">
        <v>20</v>
      </c>
      <c r="R81">
        <v>1</v>
      </c>
      <c r="S81">
        <v>1</v>
      </c>
    </row>
    <row r="82" spans="1:19" x14ac:dyDescent="0.3">
      <c r="A82" t="s">
        <v>243</v>
      </c>
      <c r="B82" t="s">
        <v>244</v>
      </c>
      <c r="C82" t="str">
        <f t="shared" si="4"/>
        <v>Male</v>
      </c>
      <c r="D82" t="s">
        <v>30</v>
      </c>
      <c r="E82">
        <f t="shared" si="5"/>
        <v>35</v>
      </c>
      <c r="F82">
        <v>35</v>
      </c>
      <c r="G82" t="s">
        <v>108</v>
      </c>
      <c r="H82" t="s">
        <v>109</v>
      </c>
      <c r="I82" t="s">
        <v>37</v>
      </c>
      <c r="J82">
        <f t="shared" si="6"/>
        <v>5</v>
      </c>
      <c r="K82">
        <v>5</v>
      </c>
      <c r="L82" s="5" t="str">
        <f t="shared" si="7"/>
        <v>$75</v>
      </c>
      <c r="M82" s="2" t="s">
        <v>163</v>
      </c>
      <c r="N82" s="2">
        <f>IF(O82&gt;=90%,5,IF(O82&gt;=80%,4,IF(O82&gt;=70%,3,IF(O82&gt;=60%,2,1))))</f>
        <v>3</v>
      </c>
      <c r="O82" s="3">
        <v>0.72</v>
      </c>
      <c r="P82" t="s">
        <v>46</v>
      </c>
      <c r="Q82" t="s">
        <v>33</v>
      </c>
      <c r="R82">
        <v>2</v>
      </c>
      <c r="S82">
        <v>1</v>
      </c>
    </row>
    <row r="83" spans="1:19" x14ac:dyDescent="0.3">
      <c r="A83" t="s">
        <v>245</v>
      </c>
      <c r="B83" t="s">
        <v>246</v>
      </c>
      <c r="C83" t="str">
        <f t="shared" si="4"/>
        <v>Male</v>
      </c>
      <c r="D83" t="s">
        <v>95</v>
      </c>
      <c r="E83">
        <f t="shared" si="5"/>
        <v>59</v>
      </c>
      <c r="F83">
        <v>59</v>
      </c>
      <c r="G83" t="s">
        <v>108</v>
      </c>
      <c r="H83" t="s">
        <v>109</v>
      </c>
      <c r="I83" t="s">
        <v>44</v>
      </c>
      <c r="J83">
        <f t="shared" si="6"/>
        <v>30</v>
      </c>
      <c r="K83">
        <v>30</v>
      </c>
      <c r="L83" s="5" t="str">
        <f t="shared" si="7"/>
        <v>$40</v>
      </c>
      <c r="M83" s="2" t="s">
        <v>38</v>
      </c>
      <c r="N83" s="2">
        <f>IF(O83&gt;=90%,5,IF(O83&gt;=80%,4,IF(O83&gt;=70%,3,IF(O83&gt;=60%,2,1))))</f>
        <v>1</v>
      </c>
      <c r="O83" s="3">
        <v>0.5</v>
      </c>
      <c r="P83" t="s">
        <v>65</v>
      </c>
      <c r="Q83" t="s">
        <v>33</v>
      </c>
      <c r="R83">
        <v>13</v>
      </c>
      <c r="S83">
        <v>13</v>
      </c>
    </row>
    <row r="84" spans="1:19" x14ac:dyDescent="0.3">
      <c r="A84" t="s">
        <v>247</v>
      </c>
      <c r="B84" t="s">
        <v>248</v>
      </c>
      <c r="C84" t="str">
        <f t="shared" si="4"/>
        <v>Female</v>
      </c>
      <c r="D84" t="s">
        <v>39</v>
      </c>
      <c r="E84">
        <f t="shared" si="5"/>
        <v>21</v>
      </c>
      <c r="F84">
        <v>21</v>
      </c>
      <c r="G84" t="s">
        <v>168</v>
      </c>
      <c r="H84" t="s">
        <v>169</v>
      </c>
      <c r="I84" t="s">
        <v>87</v>
      </c>
      <c r="J84">
        <f t="shared" si="6"/>
        <v>2</v>
      </c>
      <c r="K84">
        <v>2</v>
      </c>
      <c r="L84" s="5">
        <f t="shared" si="7"/>
        <v>100</v>
      </c>
      <c r="M84" s="2">
        <v>100</v>
      </c>
      <c r="N84" s="2">
        <f>IF(O84&gt;=90%,5,IF(O84&gt;=80%,4,IF(O84&gt;=70%,3,IF(O84&gt;=60%,2,1))))</f>
        <v>4</v>
      </c>
      <c r="O84" s="3">
        <v>0.85</v>
      </c>
      <c r="P84" t="s">
        <v>65</v>
      </c>
      <c r="Q84" t="s">
        <v>58</v>
      </c>
      <c r="R84">
        <v>5</v>
      </c>
      <c r="S84">
        <v>3</v>
      </c>
    </row>
    <row r="85" spans="1:19" x14ac:dyDescent="0.3">
      <c r="A85" t="s">
        <v>249</v>
      </c>
      <c r="B85" t="s">
        <v>250</v>
      </c>
      <c r="C85" t="str">
        <f t="shared" si="4"/>
        <v>Male</v>
      </c>
      <c r="D85" t="s">
        <v>90</v>
      </c>
      <c r="E85">
        <f t="shared" si="5"/>
        <v>25</v>
      </c>
      <c r="F85">
        <v>25</v>
      </c>
      <c r="G85" t="s">
        <v>57</v>
      </c>
      <c r="H85" t="s">
        <v>25</v>
      </c>
      <c r="I85" t="s">
        <v>26</v>
      </c>
      <c r="J85">
        <f t="shared" si="6"/>
        <v>2</v>
      </c>
      <c r="K85">
        <v>2</v>
      </c>
      <c r="L85" s="5" t="str">
        <f t="shared" si="7"/>
        <v>$75</v>
      </c>
      <c r="M85" s="2" t="s">
        <v>163</v>
      </c>
      <c r="N85" s="2">
        <f>IF(O85&gt;=90%,5,IF(O85&gt;=80%,4,IF(O85&gt;=70%,3,IF(O85&gt;=60%,2,1))))</f>
        <v>1</v>
      </c>
      <c r="O85" s="3">
        <v>0.5</v>
      </c>
      <c r="P85" t="s">
        <v>69</v>
      </c>
      <c r="Q85" t="s">
        <v>20</v>
      </c>
      <c r="R85">
        <v>1</v>
      </c>
      <c r="S85">
        <v>1</v>
      </c>
    </row>
    <row r="86" spans="1:19" x14ac:dyDescent="0.3">
      <c r="A86" t="s">
        <v>251</v>
      </c>
      <c r="B86" t="s">
        <v>252</v>
      </c>
      <c r="C86" t="str">
        <f t="shared" si="4"/>
        <v>Female</v>
      </c>
      <c r="D86" t="s">
        <v>15</v>
      </c>
      <c r="E86">
        <f t="shared" si="5"/>
        <v>38</v>
      </c>
      <c r="F86">
        <v>38</v>
      </c>
      <c r="G86" t="s">
        <v>172</v>
      </c>
      <c r="H86" t="s">
        <v>73</v>
      </c>
      <c r="I86" t="s">
        <v>37</v>
      </c>
      <c r="J86">
        <f t="shared" si="6"/>
        <v>19</v>
      </c>
      <c r="K86">
        <v>19</v>
      </c>
      <c r="L86" s="5">
        <f t="shared" si="7"/>
        <v>75</v>
      </c>
      <c r="M86" s="2">
        <v>75</v>
      </c>
      <c r="N86" s="2">
        <f>IF(O86&gt;=90%,5,IF(O86&gt;=80%,4,IF(O86&gt;=70%,3,IF(O86&gt;=60%,2,1))))</f>
        <v>2</v>
      </c>
      <c r="O86" s="3">
        <v>0.61</v>
      </c>
      <c r="P86" t="s">
        <v>69</v>
      </c>
      <c r="Q86" t="s">
        <v>20</v>
      </c>
      <c r="R86">
        <v>20</v>
      </c>
      <c r="S86">
        <v>9</v>
      </c>
    </row>
    <row r="87" spans="1:19" x14ac:dyDescent="0.3">
      <c r="A87" t="s">
        <v>253</v>
      </c>
      <c r="B87" t="s">
        <v>254</v>
      </c>
      <c r="C87" t="str">
        <f t="shared" si="4"/>
        <v>Male</v>
      </c>
      <c r="D87" t="s">
        <v>95</v>
      </c>
      <c r="E87">
        <f t="shared" si="5"/>
        <v>57</v>
      </c>
      <c r="F87">
        <v>57</v>
      </c>
      <c r="G87" t="s">
        <v>120</v>
      </c>
      <c r="H87" t="s">
        <v>121</v>
      </c>
      <c r="I87" t="s">
        <v>44</v>
      </c>
      <c r="J87">
        <f t="shared" si="6"/>
        <v>16</v>
      </c>
      <c r="K87">
        <v>16</v>
      </c>
      <c r="L87" s="5">
        <f t="shared" si="7"/>
        <v>100</v>
      </c>
      <c r="M87" s="2">
        <v>100</v>
      </c>
      <c r="N87" s="2">
        <f>IF(O87&gt;=90%,5,IF(O87&gt;=80%,4,IF(O87&gt;=70%,3,IF(O87&gt;=60%,2,1))))</f>
        <v>1</v>
      </c>
      <c r="O87" s="3">
        <v>0.5</v>
      </c>
      <c r="P87" t="s">
        <v>19</v>
      </c>
      <c r="Q87" t="s">
        <v>33</v>
      </c>
      <c r="R87">
        <v>18</v>
      </c>
      <c r="S87">
        <v>4</v>
      </c>
    </row>
    <row r="88" spans="1:19" x14ac:dyDescent="0.3">
      <c r="A88" t="s">
        <v>255</v>
      </c>
      <c r="B88" t="s">
        <v>256</v>
      </c>
      <c r="C88" t="str">
        <f t="shared" si="4"/>
        <v>Male</v>
      </c>
      <c r="D88" t="s">
        <v>49</v>
      </c>
      <c r="E88">
        <f t="shared" si="5"/>
        <v>32</v>
      </c>
      <c r="F88">
        <v>32</v>
      </c>
      <c r="G88" t="s">
        <v>91</v>
      </c>
      <c r="H88" t="s">
        <v>92</v>
      </c>
      <c r="I88" t="s">
        <v>26</v>
      </c>
      <c r="J88">
        <f t="shared" si="6"/>
        <v>10</v>
      </c>
      <c r="K88">
        <v>10</v>
      </c>
      <c r="L88" s="5" t="str">
        <f t="shared" si="7"/>
        <v>$20</v>
      </c>
      <c r="M88" s="2" t="s">
        <v>117</v>
      </c>
      <c r="N88" s="2">
        <f>IF(O88&gt;=90%,5,IF(O88&gt;=80%,4,IF(O88&gt;=70%,3,IF(O88&gt;=60%,2,1))))</f>
        <v>4</v>
      </c>
      <c r="O88" s="3">
        <v>0.86</v>
      </c>
      <c r="P88" t="s">
        <v>69</v>
      </c>
      <c r="Q88" t="s">
        <v>20</v>
      </c>
      <c r="R88">
        <v>9</v>
      </c>
      <c r="S88">
        <v>3</v>
      </c>
    </row>
    <row r="89" spans="1:19" x14ac:dyDescent="0.3">
      <c r="A89" t="s">
        <v>257</v>
      </c>
      <c r="B89" t="s">
        <v>258</v>
      </c>
      <c r="C89" t="str">
        <f t="shared" si="4"/>
        <v>Male</v>
      </c>
      <c r="D89" t="s">
        <v>30</v>
      </c>
      <c r="E89">
        <f t="shared" si="5"/>
        <v>21</v>
      </c>
      <c r="F89">
        <v>21</v>
      </c>
      <c r="G89" t="s">
        <v>16</v>
      </c>
      <c r="H89" t="s">
        <v>17</v>
      </c>
      <c r="I89" t="s">
        <v>87</v>
      </c>
      <c r="J89">
        <f t="shared" si="6"/>
        <v>2</v>
      </c>
      <c r="K89">
        <v>2</v>
      </c>
      <c r="L89" s="5" t="str">
        <f t="shared" si="7"/>
        <v>$100</v>
      </c>
      <c r="M89" s="2" t="s">
        <v>222</v>
      </c>
      <c r="N89" s="2">
        <f>IF(O89&gt;=90%,5,IF(O89&gt;=80%,4,IF(O89&gt;=70%,3,IF(O89&gt;=60%,2,1))))</f>
        <v>5</v>
      </c>
      <c r="O89" s="3">
        <v>0.97</v>
      </c>
      <c r="P89" t="s">
        <v>46</v>
      </c>
      <c r="Q89" t="s">
        <v>27</v>
      </c>
      <c r="R89">
        <v>4</v>
      </c>
      <c r="S89">
        <v>2</v>
      </c>
    </row>
    <row r="90" spans="1:19" x14ac:dyDescent="0.3">
      <c r="A90" t="s">
        <v>259</v>
      </c>
      <c r="B90" t="s">
        <v>260</v>
      </c>
      <c r="C90" t="str">
        <f t="shared" si="4"/>
        <v>Female</v>
      </c>
      <c r="D90" t="s">
        <v>77</v>
      </c>
      <c r="E90">
        <f t="shared" si="5"/>
        <v>57</v>
      </c>
      <c r="F90">
        <v>57</v>
      </c>
      <c r="G90" t="s">
        <v>124</v>
      </c>
      <c r="H90" t="s">
        <v>25</v>
      </c>
      <c r="I90" t="s">
        <v>78</v>
      </c>
      <c r="J90">
        <f t="shared" si="6"/>
        <v>18</v>
      </c>
      <c r="K90">
        <v>18</v>
      </c>
      <c r="L90" s="5">
        <f t="shared" si="7"/>
        <v>50</v>
      </c>
      <c r="M90" s="2">
        <v>50</v>
      </c>
      <c r="N90" s="2">
        <f>IF(O90&gt;=90%,5,IF(O90&gt;=80%,4,IF(O90&gt;=70%,3,IF(O90&gt;=60%,2,1))))</f>
        <v>2</v>
      </c>
      <c r="O90" s="3">
        <v>0.63</v>
      </c>
      <c r="P90" t="s">
        <v>46</v>
      </c>
      <c r="Q90" t="s">
        <v>33</v>
      </c>
      <c r="R90">
        <v>11</v>
      </c>
      <c r="S90">
        <v>9</v>
      </c>
    </row>
    <row r="91" spans="1:19" x14ac:dyDescent="0.3">
      <c r="A91" t="s">
        <v>261</v>
      </c>
      <c r="B91" t="s">
        <v>262</v>
      </c>
      <c r="C91" t="str">
        <f t="shared" si="4"/>
        <v>Male</v>
      </c>
      <c r="D91" t="s">
        <v>30</v>
      </c>
      <c r="E91">
        <f t="shared" si="5"/>
        <v>53</v>
      </c>
      <c r="F91">
        <v>53</v>
      </c>
      <c r="G91" t="s">
        <v>168</v>
      </c>
      <c r="H91" t="s">
        <v>169</v>
      </c>
      <c r="I91" t="s">
        <v>74</v>
      </c>
      <c r="J91">
        <f t="shared" si="6"/>
        <v>21</v>
      </c>
      <c r="K91">
        <v>21</v>
      </c>
      <c r="L91" s="5" t="str">
        <f t="shared" si="7"/>
        <v>$100</v>
      </c>
      <c r="M91" s="2" t="s">
        <v>222</v>
      </c>
      <c r="N91" s="2">
        <f>IF(O91&gt;=90%,5,IF(O91&gt;=80%,4,IF(O91&gt;=70%,3,IF(O91&gt;=60%,2,1))))</f>
        <v>5</v>
      </c>
      <c r="O91" s="3">
        <v>0.97</v>
      </c>
      <c r="P91" t="s">
        <v>65</v>
      </c>
      <c r="Q91" t="s">
        <v>58</v>
      </c>
      <c r="R91">
        <v>20</v>
      </c>
      <c r="S91">
        <v>10</v>
      </c>
    </row>
    <row r="92" spans="1:19" x14ac:dyDescent="0.3">
      <c r="A92" t="s">
        <v>263</v>
      </c>
      <c r="B92" t="s">
        <v>264</v>
      </c>
      <c r="C92" t="str">
        <f t="shared" si="4"/>
        <v>Male</v>
      </c>
      <c r="D92" t="s">
        <v>90</v>
      </c>
      <c r="E92">
        <f t="shared" si="5"/>
        <v>35</v>
      </c>
      <c r="F92">
        <v>35</v>
      </c>
      <c r="G92" t="s">
        <v>120</v>
      </c>
      <c r="H92" t="s">
        <v>121</v>
      </c>
      <c r="I92" t="s">
        <v>18</v>
      </c>
      <c r="J92">
        <f t="shared" si="6"/>
        <v>3</v>
      </c>
      <c r="K92">
        <v>3</v>
      </c>
      <c r="L92" s="5" t="str">
        <f t="shared" si="7"/>
        <v>$30</v>
      </c>
      <c r="M92" s="2" t="s">
        <v>45</v>
      </c>
      <c r="N92" s="2">
        <f>IF(O92&gt;=90%,5,IF(O92&gt;=80%,4,IF(O92&gt;=70%,3,IF(O92&gt;=60%,2,1))))</f>
        <v>4</v>
      </c>
      <c r="O92" s="3">
        <v>0.81</v>
      </c>
      <c r="P92" t="s">
        <v>46</v>
      </c>
      <c r="Q92" t="s">
        <v>33</v>
      </c>
      <c r="R92">
        <v>3</v>
      </c>
      <c r="S92">
        <v>2</v>
      </c>
    </row>
    <row r="93" spans="1:19" x14ac:dyDescent="0.3">
      <c r="A93" t="s">
        <v>265</v>
      </c>
      <c r="B93" t="s">
        <v>266</v>
      </c>
      <c r="C93" t="str">
        <f t="shared" si="4"/>
        <v>Female</v>
      </c>
      <c r="D93" t="s">
        <v>15</v>
      </c>
      <c r="E93">
        <f t="shared" si="5"/>
        <v>54</v>
      </c>
      <c r="F93">
        <v>54</v>
      </c>
      <c r="G93" t="s">
        <v>168</v>
      </c>
      <c r="H93" t="s">
        <v>169</v>
      </c>
      <c r="I93" t="s">
        <v>110</v>
      </c>
      <c r="J93">
        <f t="shared" si="6"/>
        <v>17</v>
      </c>
      <c r="K93">
        <v>17</v>
      </c>
      <c r="L93" s="5">
        <f t="shared" si="7"/>
        <v>20</v>
      </c>
      <c r="M93" s="2">
        <v>20</v>
      </c>
      <c r="N93" s="2">
        <f>IF(O93&gt;=90%,5,IF(O93&gt;=80%,4,IF(O93&gt;=70%,3,IF(O93&gt;=60%,2,1))))</f>
        <v>2</v>
      </c>
      <c r="O93" s="3">
        <v>0.69</v>
      </c>
      <c r="P93" t="s">
        <v>19</v>
      </c>
      <c r="Q93" t="s">
        <v>20</v>
      </c>
      <c r="R93">
        <v>17</v>
      </c>
      <c r="S93">
        <v>15</v>
      </c>
    </row>
    <row r="94" spans="1:19" x14ac:dyDescent="0.3">
      <c r="A94" t="s">
        <v>267</v>
      </c>
      <c r="B94" t="s">
        <v>268</v>
      </c>
      <c r="C94" t="str">
        <f t="shared" si="4"/>
        <v>Female</v>
      </c>
      <c r="D94" t="s">
        <v>23</v>
      </c>
      <c r="E94">
        <f t="shared" si="5"/>
        <v>36</v>
      </c>
      <c r="F94">
        <v>36</v>
      </c>
      <c r="G94" t="s">
        <v>16</v>
      </c>
      <c r="H94" t="s">
        <v>17</v>
      </c>
      <c r="I94" t="s">
        <v>74</v>
      </c>
      <c r="J94">
        <f t="shared" si="6"/>
        <v>0</v>
      </c>
      <c r="K94">
        <v>0</v>
      </c>
      <c r="L94" s="5">
        <f t="shared" si="7"/>
        <v>20</v>
      </c>
      <c r="M94" s="2">
        <v>20</v>
      </c>
      <c r="N94" s="2">
        <f>IF(O94&gt;=90%,5,IF(O94&gt;=80%,4,IF(O94&gt;=70%,3,IF(O94&gt;=60%,2,1))))</f>
        <v>2</v>
      </c>
      <c r="O94" s="3">
        <v>0.64</v>
      </c>
      <c r="P94" t="s">
        <v>46</v>
      </c>
      <c r="Q94" t="s">
        <v>58</v>
      </c>
      <c r="R94">
        <v>2</v>
      </c>
      <c r="S94">
        <v>2</v>
      </c>
    </row>
    <row r="95" spans="1:19" x14ac:dyDescent="0.3">
      <c r="A95" t="s">
        <v>269</v>
      </c>
      <c r="B95" t="s">
        <v>270</v>
      </c>
      <c r="C95" t="str">
        <f t="shared" si="4"/>
        <v>Female</v>
      </c>
      <c r="D95" t="s">
        <v>15</v>
      </c>
      <c r="E95">
        <f t="shared" si="5"/>
        <v>49</v>
      </c>
      <c r="F95">
        <v>49</v>
      </c>
      <c r="G95" t="s">
        <v>183</v>
      </c>
      <c r="H95" t="s">
        <v>73</v>
      </c>
      <c r="I95" t="s">
        <v>78</v>
      </c>
      <c r="J95">
        <f t="shared" si="6"/>
        <v>25</v>
      </c>
      <c r="K95">
        <v>25</v>
      </c>
      <c r="L95" s="5">
        <f t="shared" si="7"/>
        <v>50</v>
      </c>
      <c r="M95" s="2">
        <v>50</v>
      </c>
      <c r="N95" s="2">
        <f>IF(O95&gt;=90%,5,IF(O95&gt;=80%,4,IF(O95&gt;=70%,3,IF(O95&gt;=60%,2,1))))</f>
        <v>3</v>
      </c>
      <c r="O95" s="3">
        <v>0.77</v>
      </c>
      <c r="P95" t="s">
        <v>46</v>
      </c>
      <c r="Q95" t="s">
        <v>33</v>
      </c>
      <c r="R95">
        <v>14</v>
      </c>
      <c r="S95">
        <v>8</v>
      </c>
    </row>
    <row r="96" spans="1:19" x14ac:dyDescent="0.3">
      <c r="A96" t="s">
        <v>271</v>
      </c>
      <c r="B96" t="s">
        <v>272</v>
      </c>
      <c r="C96" t="str">
        <f t="shared" si="4"/>
        <v>Male</v>
      </c>
      <c r="D96" t="s">
        <v>95</v>
      </c>
      <c r="E96">
        <f t="shared" si="5"/>
        <v>37</v>
      </c>
      <c r="F96">
        <v>37</v>
      </c>
      <c r="G96" t="s">
        <v>57</v>
      </c>
      <c r="H96" t="s">
        <v>25</v>
      </c>
      <c r="I96" t="s">
        <v>18</v>
      </c>
      <c r="J96">
        <f t="shared" si="6"/>
        <v>17</v>
      </c>
      <c r="K96">
        <v>17</v>
      </c>
      <c r="L96" s="5">
        <f t="shared" si="7"/>
        <v>20</v>
      </c>
      <c r="M96" s="2">
        <v>20</v>
      </c>
      <c r="N96" s="2">
        <f>IF(O96&gt;=90%,5,IF(O96&gt;=80%,4,IF(O96&gt;=70%,3,IF(O96&gt;=60%,2,1))))</f>
        <v>5</v>
      </c>
      <c r="O96" s="3">
        <v>0.96</v>
      </c>
      <c r="P96" t="s">
        <v>19</v>
      </c>
      <c r="Q96" t="s">
        <v>27</v>
      </c>
      <c r="R96">
        <v>20</v>
      </c>
      <c r="S96">
        <v>11</v>
      </c>
    </row>
    <row r="97" spans="1:19" x14ac:dyDescent="0.3">
      <c r="A97" t="s">
        <v>273</v>
      </c>
      <c r="B97" t="s">
        <v>274</v>
      </c>
      <c r="C97" t="str">
        <f t="shared" si="4"/>
        <v>Male</v>
      </c>
      <c r="D97" t="s">
        <v>61</v>
      </c>
      <c r="E97">
        <f t="shared" si="5"/>
        <v>41</v>
      </c>
      <c r="G97" t="s">
        <v>57</v>
      </c>
      <c r="H97" t="s">
        <v>25</v>
      </c>
      <c r="I97" t="s">
        <v>74</v>
      </c>
      <c r="J97">
        <f t="shared" si="6"/>
        <v>5</v>
      </c>
      <c r="K97">
        <v>5</v>
      </c>
      <c r="L97" s="5" t="str">
        <f t="shared" si="7"/>
        <v>$20</v>
      </c>
      <c r="M97" s="2" t="s">
        <v>117</v>
      </c>
      <c r="N97" s="2">
        <f>IF(O97&gt;=90%,5,IF(O97&gt;=80%,4,IF(O97&gt;=70%,3,IF(O97&gt;=60%,2,1))))</f>
        <v>3</v>
      </c>
      <c r="O97" s="3">
        <v>0.74</v>
      </c>
      <c r="P97" t="s">
        <v>69</v>
      </c>
      <c r="Q97" t="s">
        <v>27</v>
      </c>
      <c r="R97">
        <v>2</v>
      </c>
      <c r="S97">
        <v>1</v>
      </c>
    </row>
    <row r="98" spans="1:19" x14ac:dyDescent="0.3">
      <c r="A98" t="s">
        <v>275</v>
      </c>
      <c r="B98" t="s">
        <v>276</v>
      </c>
      <c r="C98" t="str">
        <f t="shared" si="4"/>
        <v>Male</v>
      </c>
      <c r="D98" t="s">
        <v>49</v>
      </c>
      <c r="E98">
        <f t="shared" si="5"/>
        <v>32</v>
      </c>
      <c r="F98">
        <v>32</v>
      </c>
      <c r="G98" t="s">
        <v>135</v>
      </c>
      <c r="H98" t="s">
        <v>136</v>
      </c>
      <c r="I98" t="s">
        <v>74</v>
      </c>
      <c r="J98">
        <f t="shared" si="6"/>
        <v>10</v>
      </c>
      <c r="K98">
        <v>10</v>
      </c>
      <c r="L98" s="5">
        <f t="shared" si="7"/>
        <v>50</v>
      </c>
      <c r="M98" s="2">
        <v>50</v>
      </c>
      <c r="N98" s="2">
        <f>IF(O98&gt;=90%,5,IF(O98&gt;=80%,4,IF(O98&gt;=70%,3,IF(O98&gt;=60%,2,1))))</f>
        <v>4</v>
      </c>
      <c r="O98" s="3">
        <v>0.89</v>
      </c>
      <c r="P98" t="s">
        <v>69</v>
      </c>
      <c r="Q98" t="s">
        <v>33</v>
      </c>
      <c r="R98">
        <v>8</v>
      </c>
      <c r="S98">
        <v>12</v>
      </c>
    </row>
    <row r="99" spans="1:19" x14ac:dyDescent="0.3">
      <c r="A99" t="s">
        <v>277</v>
      </c>
      <c r="B99" t="s">
        <v>278</v>
      </c>
      <c r="C99" t="str">
        <f t="shared" si="4"/>
        <v>Male</v>
      </c>
      <c r="D99" t="s">
        <v>49</v>
      </c>
      <c r="E99">
        <f t="shared" si="5"/>
        <v>35</v>
      </c>
      <c r="F99">
        <v>35</v>
      </c>
      <c r="G99" t="s">
        <v>91</v>
      </c>
      <c r="H99" t="s">
        <v>92</v>
      </c>
      <c r="I99" t="s">
        <v>26</v>
      </c>
      <c r="J99">
        <f t="shared" si="6"/>
        <v>0</v>
      </c>
      <c r="K99">
        <v>0</v>
      </c>
      <c r="L99" s="5">
        <f t="shared" si="7"/>
        <v>54.188191881918819</v>
      </c>
      <c r="N99" s="2">
        <f>IF(O99&gt;=90%,5,IF(O99&gt;=80%,4,IF(O99&gt;=70%,3,IF(O99&gt;=60%,2,1))))</f>
        <v>2</v>
      </c>
      <c r="O99" s="3">
        <v>0.64</v>
      </c>
      <c r="P99" t="s">
        <v>19</v>
      </c>
      <c r="Q99" t="s">
        <v>27</v>
      </c>
      <c r="R99">
        <v>4</v>
      </c>
      <c r="S99">
        <v>1</v>
      </c>
    </row>
    <row r="100" spans="1:19" x14ac:dyDescent="0.3">
      <c r="A100" t="s">
        <v>279</v>
      </c>
      <c r="B100" t="s">
        <v>280</v>
      </c>
      <c r="C100" t="str">
        <f t="shared" si="4"/>
        <v>Female</v>
      </c>
      <c r="D100" t="s">
        <v>15</v>
      </c>
      <c r="E100">
        <f t="shared" si="5"/>
        <v>51</v>
      </c>
      <c r="F100">
        <v>51</v>
      </c>
      <c r="G100" t="s">
        <v>120</v>
      </c>
      <c r="H100" t="s">
        <v>121</v>
      </c>
      <c r="I100" t="s">
        <v>32</v>
      </c>
      <c r="J100">
        <f t="shared" si="6"/>
        <v>2</v>
      </c>
      <c r="K100">
        <v>2</v>
      </c>
      <c r="L100" s="5" t="str">
        <f t="shared" si="7"/>
        <v>$30</v>
      </c>
      <c r="M100" s="2" t="s">
        <v>45</v>
      </c>
      <c r="N100" s="2">
        <f>IF(O100&gt;=90%,5,IF(O100&gt;=80%,4,IF(O100&gt;=70%,3,IF(O100&gt;=60%,2,1))))</f>
        <v>2</v>
      </c>
      <c r="O100" s="3">
        <v>0.64</v>
      </c>
      <c r="P100" t="s">
        <v>65</v>
      </c>
      <c r="Q100" t="s">
        <v>27</v>
      </c>
      <c r="R100">
        <v>5</v>
      </c>
      <c r="S100">
        <v>1</v>
      </c>
    </row>
    <row r="101" spans="1:19" x14ac:dyDescent="0.3">
      <c r="A101" t="s">
        <v>281</v>
      </c>
      <c r="B101" t="s">
        <v>282</v>
      </c>
      <c r="C101" t="str">
        <f t="shared" si="4"/>
        <v>Female</v>
      </c>
      <c r="D101" t="s">
        <v>15</v>
      </c>
      <c r="E101">
        <f t="shared" si="5"/>
        <v>50</v>
      </c>
      <c r="F101">
        <v>50</v>
      </c>
      <c r="G101" t="s">
        <v>120</v>
      </c>
      <c r="H101" t="s">
        <v>121</v>
      </c>
      <c r="I101" t="s">
        <v>87</v>
      </c>
      <c r="J101">
        <f t="shared" si="6"/>
        <v>30</v>
      </c>
      <c r="K101">
        <v>30</v>
      </c>
      <c r="L101" s="5">
        <f t="shared" si="7"/>
        <v>100</v>
      </c>
      <c r="M101" s="2">
        <v>100</v>
      </c>
      <c r="N101" s="2">
        <f>IF(O101&gt;=90%,5,IF(O101&gt;=80%,4,IF(O101&gt;=70%,3,IF(O101&gt;=60%,2,1))))</f>
        <v>3</v>
      </c>
      <c r="O101" s="3">
        <v>0.73</v>
      </c>
      <c r="P101" t="s">
        <v>46</v>
      </c>
      <c r="Q101" t="s">
        <v>27</v>
      </c>
      <c r="R101">
        <v>13</v>
      </c>
      <c r="S101">
        <v>6</v>
      </c>
    </row>
    <row r="102" spans="1:19" x14ac:dyDescent="0.3">
      <c r="A102" t="s">
        <v>283</v>
      </c>
      <c r="B102" t="s">
        <v>284</v>
      </c>
      <c r="C102" t="str">
        <f t="shared" si="4"/>
        <v>Female</v>
      </c>
      <c r="D102" t="s">
        <v>15</v>
      </c>
      <c r="E102">
        <f t="shared" si="5"/>
        <v>21</v>
      </c>
      <c r="F102">
        <v>21</v>
      </c>
      <c r="G102" t="s">
        <v>62</v>
      </c>
      <c r="H102" t="s">
        <v>63</v>
      </c>
      <c r="I102" t="s">
        <v>18</v>
      </c>
      <c r="J102">
        <f t="shared" si="6"/>
        <v>2</v>
      </c>
      <c r="K102">
        <v>2</v>
      </c>
      <c r="L102" s="5" t="str">
        <f t="shared" si="7"/>
        <v>$50</v>
      </c>
      <c r="M102" s="2" t="s">
        <v>64</v>
      </c>
      <c r="N102" s="2">
        <f>IF(O102&gt;=90%,5,IF(O102&gt;=80%,4,IF(O102&gt;=70%,3,IF(O102&gt;=60%,2,1))))</f>
        <v>2</v>
      </c>
      <c r="O102" s="3">
        <v>0.68</v>
      </c>
      <c r="P102" t="s">
        <v>19</v>
      </c>
      <c r="Q102" t="s">
        <v>58</v>
      </c>
      <c r="R102">
        <v>2</v>
      </c>
      <c r="S102">
        <v>3</v>
      </c>
    </row>
    <row r="103" spans="1:19" x14ac:dyDescent="0.3">
      <c r="A103" t="s">
        <v>285</v>
      </c>
      <c r="B103" t="s">
        <v>286</v>
      </c>
      <c r="C103" t="str">
        <f t="shared" si="4"/>
        <v>Male</v>
      </c>
      <c r="D103" t="s">
        <v>61</v>
      </c>
      <c r="E103">
        <f t="shared" si="5"/>
        <v>25</v>
      </c>
      <c r="F103">
        <v>25</v>
      </c>
      <c r="G103" t="s">
        <v>57</v>
      </c>
      <c r="H103" t="s">
        <v>25</v>
      </c>
      <c r="I103" t="s">
        <v>32</v>
      </c>
      <c r="J103">
        <f t="shared" si="6"/>
        <v>3</v>
      </c>
      <c r="K103">
        <v>3</v>
      </c>
      <c r="L103" s="5" t="str">
        <f t="shared" si="7"/>
        <v>$30</v>
      </c>
      <c r="M103" s="2" t="s">
        <v>45</v>
      </c>
      <c r="N103" s="2">
        <f>IF(O103&gt;=90%,5,IF(O103&gt;=80%,4,IF(O103&gt;=70%,3,IF(O103&gt;=60%,2,1))))</f>
        <v>4</v>
      </c>
      <c r="O103" s="3">
        <v>0.88</v>
      </c>
      <c r="P103" t="s">
        <v>46</v>
      </c>
      <c r="Q103" t="s">
        <v>27</v>
      </c>
      <c r="R103">
        <v>2</v>
      </c>
      <c r="S103">
        <v>4</v>
      </c>
    </row>
    <row r="104" spans="1:19" x14ac:dyDescent="0.3">
      <c r="A104" t="s">
        <v>287</v>
      </c>
      <c r="B104" t="s">
        <v>288</v>
      </c>
      <c r="C104" t="str">
        <f t="shared" si="4"/>
        <v>Female</v>
      </c>
      <c r="D104" t="s">
        <v>23</v>
      </c>
      <c r="E104">
        <f t="shared" si="5"/>
        <v>57</v>
      </c>
      <c r="F104">
        <v>57</v>
      </c>
      <c r="G104" t="s">
        <v>131</v>
      </c>
      <c r="H104" t="s">
        <v>132</v>
      </c>
      <c r="I104" t="s">
        <v>87</v>
      </c>
      <c r="J104">
        <f t="shared" si="6"/>
        <v>21</v>
      </c>
      <c r="K104">
        <v>21</v>
      </c>
      <c r="L104" s="5" t="str">
        <f t="shared" si="7"/>
        <v>$40</v>
      </c>
      <c r="M104" s="2" t="s">
        <v>38</v>
      </c>
      <c r="N104" s="2">
        <f>IF(O104&gt;=90%,5,IF(O104&gt;=80%,4,IF(O104&gt;=70%,3,IF(O104&gt;=60%,2,1))))</f>
        <v>3</v>
      </c>
      <c r="O104" s="3">
        <v>0.77</v>
      </c>
      <c r="P104" t="s">
        <v>65</v>
      </c>
      <c r="Q104" t="s">
        <v>27</v>
      </c>
      <c r="R104">
        <v>13</v>
      </c>
      <c r="S104">
        <v>10</v>
      </c>
    </row>
    <row r="105" spans="1:19" x14ac:dyDescent="0.3">
      <c r="A105" t="s">
        <v>289</v>
      </c>
      <c r="B105" t="s">
        <v>290</v>
      </c>
      <c r="C105" t="str">
        <f t="shared" si="4"/>
        <v>Male</v>
      </c>
      <c r="D105" t="s">
        <v>49</v>
      </c>
      <c r="E105">
        <f t="shared" si="5"/>
        <v>58</v>
      </c>
      <c r="F105">
        <v>58</v>
      </c>
      <c r="G105" t="s">
        <v>120</v>
      </c>
      <c r="H105" t="s">
        <v>121</v>
      </c>
      <c r="I105" t="s">
        <v>18</v>
      </c>
      <c r="J105">
        <f t="shared" si="6"/>
        <v>3</v>
      </c>
      <c r="K105">
        <v>3</v>
      </c>
      <c r="L105" s="5">
        <f t="shared" si="7"/>
        <v>54.018518518518519</v>
      </c>
      <c r="N105" s="2">
        <f>IF(O105&gt;=90%,5,IF(O105&gt;=80%,4,IF(O105&gt;=70%,3,IF(O105&gt;=60%,2,1))))</f>
        <v>1</v>
      </c>
      <c r="O105" s="3">
        <v>0.5</v>
      </c>
      <c r="P105" t="s">
        <v>46</v>
      </c>
      <c r="Q105" t="s">
        <v>27</v>
      </c>
      <c r="R105">
        <v>3</v>
      </c>
      <c r="S105">
        <v>4</v>
      </c>
    </row>
    <row r="106" spans="1:19" x14ac:dyDescent="0.3">
      <c r="A106" t="s">
        <v>291</v>
      </c>
      <c r="B106" t="s">
        <v>292</v>
      </c>
      <c r="C106" t="str">
        <f t="shared" si="4"/>
        <v>Female</v>
      </c>
      <c r="D106" t="s">
        <v>36</v>
      </c>
      <c r="E106">
        <f t="shared" si="5"/>
        <v>45</v>
      </c>
      <c r="F106">
        <v>45</v>
      </c>
      <c r="G106" t="s">
        <v>50</v>
      </c>
      <c r="H106" t="s">
        <v>51</v>
      </c>
      <c r="I106" t="s">
        <v>26</v>
      </c>
      <c r="J106">
        <f t="shared" si="6"/>
        <v>19</v>
      </c>
      <c r="K106">
        <v>19</v>
      </c>
      <c r="L106" s="5">
        <f t="shared" si="7"/>
        <v>40</v>
      </c>
      <c r="M106" s="2">
        <v>40</v>
      </c>
      <c r="N106" s="2">
        <f>IF(O106&gt;=90%,5,IF(O106&gt;=80%,4,IF(O106&gt;=70%,3,IF(O106&gt;=60%,2,1))))</f>
        <v>3</v>
      </c>
      <c r="O106" s="3">
        <v>0.72</v>
      </c>
      <c r="P106" t="s">
        <v>19</v>
      </c>
      <c r="Q106" t="s">
        <v>58</v>
      </c>
      <c r="R106">
        <v>12</v>
      </c>
      <c r="S106">
        <v>6</v>
      </c>
    </row>
    <row r="107" spans="1:19" x14ac:dyDescent="0.3">
      <c r="A107" t="s">
        <v>293</v>
      </c>
      <c r="B107" t="s">
        <v>294</v>
      </c>
      <c r="C107" t="str">
        <f t="shared" si="4"/>
        <v>Female</v>
      </c>
      <c r="D107" t="s">
        <v>36</v>
      </c>
      <c r="E107">
        <f t="shared" si="5"/>
        <v>23</v>
      </c>
      <c r="F107">
        <v>23</v>
      </c>
      <c r="G107" t="s">
        <v>57</v>
      </c>
      <c r="H107" t="s">
        <v>25</v>
      </c>
      <c r="I107" t="s">
        <v>37</v>
      </c>
      <c r="J107">
        <f t="shared" si="6"/>
        <v>0</v>
      </c>
      <c r="K107">
        <v>0</v>
      </c>
      <c r="L107" s="5">
        <f t="shared" si="7"/>
        <v>20</v>
      </c>
      <c r="M107" s="2">
        <v>20</v>
      </c>
      <c r="N107" s="2">
        <f>IF(O107&gt;=90%,5,IF(O107&gt;=80%,4,IF(O107&gt;=70%,3,IF(O107&gt;=60%,2,1))))</f>
        <v>2</v>
      </c>
      <c r="O107" s="3">
        <v>0.6</v>
      </c>
      <c r="P107" t="s">
        <v>46</v>
      </c>
      <c r="Q107" t="s">
        <v>33</v>
      </c>
      <c r="R107">
        <v>2</v>
      </c>
      <c r="S107">
        <v>1</v>
      </c>
    </row>
    <row r="108" spans="1:19" x14ac:dyDescent="0.3">
      <c r="A108" t="s">
        <v>295</v>
      </c>
      <c r="B108" t="s">
        <v>296</v>
      </c>
      <c r="C108" t="str">
        <f t="shared" si="4"/>
        <v>Female</v>
      </c>
      <c r="D108" t="s">
        <v>23</v>
      </c>
      <c r="E108">
        <f t="shared" si="5"/>
        <v>46</v>
      </c>
      <c r="F108">
        <v>46</v>
      </c>
      <c r="G108" t="s">
        <v>57</v>
      </c>
      <c r="H108" t="s">
        <v>25</v>
      </c>
      <c r="I108" t="s">
        <v>44</v>
      </c>
      <c r="J108">
        <f t="shared" si="6"/>
        <v>9</v>
      </c>
      <c r="K108">
        <v>9</v>
      </c>
      <c r="L108" s="5" t="str">
        <f t="shared" si="7"/>
        <v>$30</v>
      </c>
      <c r="M108" s="2" t="s">
        <v>45</v>
      </c>
      <c r="N108" s="2">
        <f>IF(O108&gt;=90%,5,IF(O108&gt;=80%,4,IF(O108&gt;=70%,3,IF(O108&gt;=60%,2,1))))</f>
        <v>3</v>
      </c>
      <c r="O108" s="3">
        <v>0.72</v>
      </c>
      <c r="P108" t="s">
        <v>69</v>
      </c>
      <c r="Q108" t="s">
        <v>20</v>
      </c>
      <c r="R108">
        <v>15</v>
      </c>
      <c r="S108">
        <v>9</v>
      </c>
    </row>
    <row r="109" spans="1:19" x14ac:dyDescent="0.3">
      <c r="A109" t="s">
        <v>297</v>
      </c>
      <c r="B109" t="s">
        <v>298</v>
      </c>
      <c r="C109" t="str">
        <f t="shared" si="4"/>
        <v>Male</v>
      </c>
      <c r="D109" t="s">
        <v>61</v>
      </c>
      <c r="E109">
        <f t="shared" si="5"/>
        <v>27</v>
      </c>
      <c r="F109">
        <v>27</v>
      </c>
      <c r="G109" t="s">
        <v>72</v>
      </c>
      <c r="H109" t="s">
        <v>73</v>
      </c>
      <c r="I109" t="s">
        <v>74</v>
      </c>
      <c r="J109">
        <f t="shared" si="6"/>
        <v>5</v>
      </c>
      <c r="K109">
        <v>5</v>
      </c>
      <c r="L109" s="5">
        <f t="shared" si="7"/>
        <v>30</v>
      </c>
      <c r="M109" s="2">
        <v>30</v>
      </c>
      <c r="N109" s="2">
        <f>IF(O109&gt;=90%,5,IF(O109&gt;=80%,4,IF(O109&gt;=70%,3,IF(O109&gt;=60%,2,1))))</f>
        <v>5</v>
      </c>
      <c r="O109" s="3">
        <v>0.92</v>
      </c>
      <c r="P109" t="s">
        <v>65</v>
      </c>
      <c r="Q109" t="s">
        <v>27</v>
      </c>
      <c r="R109">
        <v>3</v>
      </c>
      <c r="S109">
        <v>3</v>
      </c>
    </row>
    <row r="110" spans="1:19" x14ac:dyDescent="0.3">
      <c r="A110" t="s">
        <v>299</v>
      </c>
      <c r="B110" t="s">
        <v>300</v>
      </c>
      <c r="C110" t="str">
        <f t="shared" si="4"/>
        <v>Female</v>
      </c>
      <c r="D110" t="s">
        <v>23</v>
      </c>
      <c r="E110">
        <f t="shared" si="5"/>
        <v>32</v>
      </c>
      <c r="F110">
        <v>32</v>
      </c>
      <c r="G110" t="s">
        <v>57</v>
      </c>
      <c r="H110" t="s">
        <v>25</v>
      </c>
      <c r="I110" t="s">
        <v>110</v>
      </c>
      <c r="J110">
        <f t="shared" si="6"/>
        <v>6</v>
      </c>
      <c r="K110">
        <v>6</v>
      </c>
      <c r="L110" s="5" t="str">
        <f t="shared" si="7"/>
        <v>$50</v>
      </c>
      <c r="M110" s="2" t="s">
        <v>64</v>
      </c>
      <c r="N110" s="2">
        <f>IF(O110&gt;=90%,5,IF(O110&gt;=80%,4,IF(O110&gt;=70%,3,IF(O110&gt;=60%,2,1))))</f>
        <v>1</v>
      </c>
      <c r="O110" s="3">
        <v>0.5</v>
      </c>
      <c r="P110" t="s">
        <v>65</v>
      </c>
      <c r="Q110" t="s">
        <v>33</v>
      </c>
      <c r="R110">
        <v>11</v>
      </c>
      <c r="S110">
        <v>4</v>
      </c>
    </row>
    <row r="111" spans="1:19" x14ac:dyDescent="0.3">
      <c r="A111" t="s">
        <v>301</v>
      </c>
      <c r="B111" t="s">
        <v>302</v>
      </c>
      <c r="C111" t="str">
        <f t="shared" si="4"/>
        <v>Female</v>
      </c>
      <c r="D111" t="s">
        <v>15</v>
      </c>
      <c r="E111">
        <f t="shared" si="5"/>
        <v>48</v>
      </c>
      <c r="F111">
        <v>48</v>
      </c>
      <c r="G111" t="s">
        <v>72</v>
      </c>
      <c r="H111" t="s">
        <v>73</v>
      </c>
      <c r="I111" t="s">
        <v>110</v>
      </c>
      <c r="J111">
        <f t="shared" si="6"/>
        <v>6</v>
      </c>
      <c r="K111">
        <v>6</v>
      </c>
      <c r="L111" s="5" t="str">
        <f t="shared" si="7"/>
        <v>$75</v>
      </c>
      <c r="M111" s="2" t="s">
        <v>163</v>
      </c>
      <c r="N111" s="2">
        <f>IF(O111&gt;=90%,5,IF(O111&gt;=80%,4,IF(O111&gt;=70%,3,IF(O111&gt;=60%,2,1))))</f>
        <v>5</v>
      </c>
      <c r="O111" s="3">
        <v>0.92</v>
      </c>
      <c r="P111" t="s">
        <v>65</v>
      </c>
      <c r="Q111" t="s">
        <v>27</v>
      </c>
      <c r="R111">
        <v>13</v>
      </c>
      <c r="S111">
        <v>1</v>
      </c>
    </row>
    <row r="112" spans="1:19" x14ac:dyDescent="0.3">
      <c r="A112" t="s">
        <v>303</v>
      </c>
      <c r="B112" t="s">
        <v>304</v>
      </c>
      <c r="C112" t="str">
        <f t="shared" si="4"/>
        <v>Male</v>
      </c>
      <c r="D112" t="s">
        <v>30</v>
      </c>
      <c r="E112">
        <f t="shared" si="5"/>
        <v>30</v>
      </c>
      <c r="F112">
        <v>30</v>
      </c>
      <c r="G112" t="s">
        <v>62</v>
      </c>
      <c r="H112" t="s">
        <v>63</v>
      </c>
      <c r="I112" t="s">
        <v>26</v>
      </c>
      <c r="J112">
        <f t="shared" si="6"/>
        <v>3</v>
      </c>
      <c r="K112">
        <v>3</v>
      </c>
      <c r="L112" s="5" t="str">
        <f t="shared" si="7"/>
        <v>$30</v>
      </c>
      <c r="M112" s="2" t="s">
        <v>45</v>
      </c>
      <c r="N112" s="2">
        <f>IF(O112&gt;=90%,5,IF(O112&gt;=80%,4,IF(O112&gt;=70%,3,IF(O112&gt;=60%,2,1))))</f>
        <v>1</v>
      </c>
      <c r="O112" s="3">
        <v>0.5</v>
      </c>
      <c r="P112" t="s">
        <v>19</v>
      </c>
      <c r="Q112" t="s">
        <v>58</v>
      </c>
      <c r="R112">
        <v>2</v>
      </c>
      <c r="S112">
        <v>1</v>
      </c>
    </row>
    <row r="113" spans="1:19" x14ac:dyDescent="0.3">
      <c r="A113" t="s">
        <v>305</v>
      </c>
      <c r="B113" t="s">
        <v>306</v>
      </c>
      <c r="C113" t="str">
        <f t="shared" si="4"/>
        <v>Male</v>
      </c>
      <c r="D113" t="s">
        <v>95</v>
      </c>
      <c r="E113">
        <f t="shared" si="5"/>
        <v>59</v>
      </c>
      <c r="F113">
        <v>59</v>
      </c>
      <c r="G113" t="s">
        <v>62</v>
      </c>
      <c r="H113" t="s">
        <v>63</v>
      </c>
      <c r="I113" t="s">
        <v>44</v>
      </c>
      <c r="J113">
        <f t="shared" si="6"/>
        <v>13</v>
      </c>
      <c r="K113">
        <v>13</v>
      </c>
      <c r="L113" s="5" t="str">
        <f t="shared" si="7"/>
        <v>$20</v>
      </c>
      <c r="M113" s="2" t="s">
        <v>117</v>
      </c>
      <c r="N113" s="2">
        <f>IF(O113&gt;=90%,5,IF(O113&gt;=80%,4,IF(O113&gt;=70%,3,IF(O113&gt;=60%,2,1))))</f>
        <v>1</v>
      </c>
      <c r="O113" s="3">
        <v>0.5</v>
      </c>
      <c r="P113" t="s">
        <v>65</v>
      </c>
      <c r="Q113" t="s">
        <v>33</v>
      </c>
      <c r="R113">
        <v>7</v>
      </c>
      <c r="S113">
        <v>10</v>
      </c>
    </row>
    <row r="114" spans="1:19" x14ac:dyDescent="0.3">
      <c r="A114" t="s">
        <v>307</v>
      </c>
      <c r="B114" t="s">
        <v>308</v>
      </c>
      <c r="C114" t="str">
        <f t="shared" si="4"/>
        <v>Female</v>
      </c>
      <c r="D114" t="s">
        <v>39</v>
      </c>
      <c r="E114">
        <f t="shared" si="5"/>
        <v>32</v>
      </c>
      <c r="F114">
        <v>32</v>
      </c>
      <c r="G114" t="s">
        <v>172</v>
      </c>
      <c r="H114" t="s">
        <v>73</v>
      </c>
      <c r="I114" t="s">
        <v>44</v>
      </c>
      <c r="J114">
        <f t="shared" si="6"/>
        <v>5</v>
      </c>
      <c r="K114">
        <v>5</v>
      </c>
      <c r="L114" s="5" t="str">
        <f t="shared" si="7"/>
        <v>$30</v>
      </c>
      <c r="M114" s="2" t="s">
        <v>45</v>
      </c>
      <c r="N114" s="2">
        <f>IF(O114&gt;=90%,5,IF(O114&gt;=80%,4,IF(O114&gt;=70%,3,IF(O114&gt;=60%,2,1))))</f>
        <v>4</v>
      </c>
      <c r="O114" s="3">
        <v>0.86</v>
      </c>
      <c r="P114" t="s">
        <v>69</v>
      </c>
      <c r="Q114" t="s">
        <v>58</v>
      </c>
      <c r="R114">
        <v>3</v>
      </c>
      <c r="S114">
        <v>1</v>
      </c>
    </row>
    <row r="115" spans="1:19" x14ac:dyDescent="0.3">
      <c r="A115" t="s">
        <v>309</v>
      </c>
      <c r="B115" t="s">
        <v>310</v>
      </c>
      <c r="C115" t="str">
        <f t="shared" si="4"/>
        <v>Female</v>
      </c>
      <c r="D115" t="s">
        <v>77</v>
      </c>
      <c r="E115">
        <f t="shared" si="5"/>
        <v>57</v>
      </c>
      <c r="F115">
        <v>57</v>
      </c>
      <c r="G115" t="s">
        <v>135</v>
      </c>
      <c r="H115" t="s">
        <v>136</v>
      </c>
      <c r="I115" t="s">
        <v>74</v>
      </c>
      <c r="J115">
        <f t="shared" si="6"/>
        <v>4</v>
      </c>
      <c r="K115">
        <v>4</v>
      </c>
      <c r="L115" s="5" t="str">
        <f t="shared" si="7"/>
        <v>$40</v>
      </c>
      <c r="M115" s="2" t="s">
        <v>38</v>
      </c>
      <c r="N115" s="2">
        <f>IF(O115&gt;=90%,5,IF(O115&gt;=80%,4,IF(O115&gt;=70%,3,IF(O115&gt;=60%,2,1))))</f>
        <v>2</v>
      </c>
      <c r="O115" s="3">
        <v>0.68</v>
      </c>
      <c r="P115" t="s">
        <v>19</v>
      </c>
      <c r="Q115" t="s">
        <v>27</v>
      </c>
      <c r="R115">
        <v>1</v>
      </c>
      <c r="S115">
        <v>4</v>
      </c>
    </row>
    <row r="116" spans="1:19" x14ac:dyDescent="0.3">
      <c r="A116" t="s">
        <v>311</v>
      </c>
      <c r="B116" t="s">
        <v>312</v>
      </c>
      <c r="C116" t="str">
        <f t="shared" si="4"/>
        <v>Male</v>
      </c>
      <c r="D116" t="s">
        <v>61</v>
      </c>
      <c r="E116">
        <f t="shared" si="5"/>
        <v>27</v>
      </c>
      <c r="F116">
        <v>27</v>
      </c>
      <c r="G116" t="s">
        <v>24</v>
      </c>
      <c r="H116" t="s">
        <v>25</v>
      </c>
      <c r="I116" t="s">
        <v>110</v>
      </c>
      <c r="J116">
        <f t="shared" si="6"/>
        <v>7</v>
      </c>
      <c r="K116">
        <v>7</v>
      </c>
      <c r="L116" s="5" t="str">
        <f t="shared" si="7"/>
        <v>$20</v>
      </c>
      <c r="M116" s="2" t="s">
        <v>117</v>
      </c>
      <c r="N116" s="2">
        <f>IF(O116&gt;=90%,5,IF(O116&gt;=80%,4,IF(O116&gt;=70%,3,IF(O116&gt;=60%,2,1))))</f>
        <v>2</v>
      </c>
      <c r="O116" s="3">
        <v>0.62</v>
      </c>
      <c r="P116" t="s">
        <v>69</v>
      </c>
      <c r="Q116" t="s">
        <v>27</v>
      </c>
      <c r="R116">
        <v>9</v>
      </c>
      <c r="S116">
        <v>3</v>
      </c>
    </row>
    <row r="117" spans="1:19" x14ac:dyDescent="0.3">
      <c r="A117" t="s">
        <v>313</v>
      </c>
      <c r="B117" t="s">
        <v>314</v>
      </c>
      <c r="C117" t="str">
        <f t="shared" si="4"/>
        <v>Female</v>
      </c>
      <c r="D117" t="s">
        <v>36</v>
      </c>
      <c r="E117">
        <f t="shared" si="5"/>
        <v>33</v>
      </c>
      <c r="F117">
        <v>33</v>
      </c>
      <c r="G117" t="s">
        <v>50</v>
      </c>
      <c r="H117" t="s">
        <v>51</v>
      </c>
      <c r="I117" t="s">
        <v>110</v>
      </c>
      <c r="J117">
        <f t="shared" si="6"/>
        <v>13</v>
      </c>
      <c r="K117">
        <v>13</v>
      </c>
      <c r="L117" s="5">
        <f t="shared" si="7"/>
        <v>20</v>
      </c>
      <c r="M117" s="2">
        <v>20</v>
      </c>
      <c r="N117" s="2">
        <f>IF(O117&gt;=90%,5,IF(O117&gt;=80%,4,IF(O117&gt;=70%,3,IF(O117&gt;=60%,2,1))))</f>
        <v>1</v>
      </c>
      <c r="O117" s="3">
        <v>0.5</v>
      </c>
      <c r="P117" t="s">
        <v>46</v>
      </c>
      <c r="Q117" t="s">
        <v>58</v>
      </c>
      <c r="R117">
        <v>8</v>
      </c>
      <c r="S117">
        <v>9</v>
      </c>
    </row>
    <row r="118" spans="1:19" x14ac:dyDescent="0.3">
      <c r="A118" t="s">
        <v>315</v>
      </c>
      <c r="B118" t="s">
        <v>316</v>
      </c>
      <c r="C118" t="str">
        <f t="shared" si="4"/>
        <v>Male</v>
      </c>
      <c r="D118" t="s">
        <v>30</v>
      </c>
      <c r="E118">
        <f t="shared" si="5"/>
        <v>29</v>
      </c>
      <c r="F118">
        <v>29</v>
      </c>
      <c r="G118" t="s">
        <v>108</v>
      </c>
      <c r="H118" t="s">
        <v>109</v>
      </c>
      <c r="I118" t="s">
        <v>52</v>
      </c>
      <c r="J118">
        <f t="shared" si="6"/>
        <v>4</v>
      </c>
      <c r="K118">
        <v>4</v>
      </c>
      <c r="L118" s="5">
        <f t="shared" si="7"/>
        <v>30</v>
      </c>
      <c r="M118" s="2">
        <v>30</v>
      </c>
      <c r="N118" s="2">
        <f>IF(O118&gt;=90%,5,IF(O118&gt;=80%,4,IF(O118&gt;=70%,3,IF(O118&gt;=60%,2,1))))</f>
        <v>4</v>
      </c>
      <c r="O118" s="3">
        <v>0.82</v>
      </c>
      <c r="P118" t="s">
        <v>46</v>
      </c>
      <c r="Q118" t="s">
        <v>20</v>
      </c>
      <c r="R118">
        <v>5</v>
      </c>
      <c r="S118">
        <v>3</v>
      </c>
    </row>
    <row r="119" spans="1:19" x14ac:dyDescent="0.3">
      <c r="A119" t="s">
        <v>317</v>
      </c>
      <c r="B119" t="s">
        <v>318</v>
      </c>
      <c r="C119" t="str">
        <f t="shared" si="4"/>
        <v>Female</v>
      </c>
      <c r="D119" t="s">
        <v>39</v>
      </c>
      <c r="E119">
        <f t="shared" si="5"/>
        <v>36</v>
      </c>
      <c r="F119">
        <v>36</v>
      </c>
      <c r="G119" t="s">
        <v>50</v>
      </c>
      <c r="H119" t="s">
        <v>51</v>
      </c>
      <c r="I119" t="s">
        <v>74</v>
      </c>
      <c r="J119">
        <f t="shared" si="6"/>
        <v>13</v>
      </c>
      <c r="K119">
        <v>13</v>
      </c>
      <c r="L119" s="5">
        <f t="shared" si="7"/>
        <v>75</v>
      </c>
      <c r="M119" s="2">
        <v>75</v>
      </c>
      <c r="N119" s="2">
        <f>IF(O119&gt;=90%,5,IF(O119&gt;=80%,4,IF(O119&gt;=70%,3,IF(O119&gt;=60%,2,1))))</f>
        <v>1</v>
      </c>
      <c r="O119" s="3">
        <v>0.5</v>
      </c>
      <c r="P119" t="s">
        <v>46</v>
      </c>
      <c r="Q119" t="s">
        <v>58</v>
      </c>
      <c r="R119">
        <v>14</v>
      </c>
      <c r="S119">
        <v>4</v>
      </c>
    </row>
    <row r="120" spans="1:19" x14ac:dyDescent="0.3">
      <c r="A120" t="s">
        <v>319</v>
      </c>
      <c r="B120" t="s">
        <v>320</v>
      </c>
      <c r="C120" t="str">
        <f t="shared" si="4"/>
        <v>Female</v>
      </c>
      <c r="D120" t="s">
        <v>77</v>
      </c>
      <c r="E120">
        <f t="shared" si="5"/>
        <v>47</v>
      </c>
      <c r="F120">
        <v>47</v>
      </c>
      <c r="G120" t="s">
        <v>16</v>
      </c>
      <c r="H120" t="s">
        <v>17</v>
      </c>
      <c r="I120" t="s">
        <v>87</v>
      </c>
      <c r="J120">
        <f t="shared" si="6"/>
        <v>5</v>
      </c>
      <c r="K120">
        <v>5</v>
      </c>
      <c r="L120" s="5" t="str">
        <f t="shared" si="7"/>
        <v>$40</v>
      </c>
      <c r="M120" s="2" t="s">
        <v>38</v>
      </c>
      <c r="N120" s="2">
        <f>IF(O120&gt;=90%,5,IF(O120&gt;=80%,4,IF(O120&gt;=70%,3,IF(O120&gt;=60%,2,1))))</f>
        <v>5</v>
      </c>
      <c r="O120" s="3">
        <v>0.93</v>
      </c>
      <c r="P120" t="s">
        <v>46</v>
      </c>
      <c r="Q120" t="s">
        <v>27</v>
      </c>
      <c r="R120">
        <v>3</v>
      </c>
      <c r="S120">
        <v>1</v>
      </c>
    </row>
    <row r="121" spans="1:19" x14ac:dyDescent="0.3">
      <c r="A121" t="s">
        <v>321</v>
      </c>
      <c r="B121" t="s">
        <v>322</v>
      </c>
      <c r="C121" t="str">
        <f t="shared" si="4"/>
        <v>Male</v>
      </c>
      <c r="D121" t="s">
        <v>61</v>
      </c>
      <c r="E121">
        <f t="shared" si="5"/>
        <v>48</v>
      </c>
      <c r="F121">
        <v>48</v>
      </c>
      <c r="G121" t="s">
        <v>124</v>
      </c>
      <c r="H121" t="s">
        <v>25</v>
      </c>
      <c r="I121" t="s">
        <v>110</v>
      </c>
      <c r="J121">
        <f t="shared" si="6"/>
        <v>15</v>
      </c>
      <c r="K121">
        <v>15</v>
      </c>
      <c r="L121" s="5" t="str">
        <f t="shared" si="7"/>
        <v>$50</v>
      </c>
      <c r="M121" s="2" t="s">
        <v>64</v>
      </c>
      <c r="N121" s="2">
        <f>IF(O121&gt;=90%,5,IF(O121&gt;=80%,4,IF(O121&gt;=70%,3,IF(O121&gt;=60%,2,1))))</f>
        <v>2</v>
      </c>
      <c r="O121" s="3">
        <v>0.64</v>
      </c>
      <c r="P121" t="s">
        <v>69</v>
      </c>
      <c r="Q121" t="s">
        <v>58</v>
      </c>
      <c r="R121">
        <v>14</v>
      </c>
      <c r="S121">
        <v>5</v>
      </c>
    </row>
    <row r="122" spans="1:19" x14ac:dyDescent="0.3">
      <c r="A122" t="s">
        <v>323</v>
      </c>
      <c r="B122" t="s">
        <v>324</v>
      </c>
      <c r="C122" t="str">
        <f t="shared" si="4"/>
        <v>Female</v>
      </c>
      <c r="D122" t="s">
        <v>15</v>
      </c>
      <c r="E122">
        <f t="shared" si="5"/>
        <v>27</v>
      </c>
      <c r="F122">
        <v>27</v>
      </c>
      <c r="G122" t="s">
        <v>168</v>
      </c>
      <c r="H122" t="s">
        <v>169</v>
      </c>
      <c r="I122" t="s">
        <v>74</v>
      </c>
      <c r="J122">
        <f t="shared" si="6"/>
        <v>8</v>
      </c>
      <c r="K122">
        <v>8</v>
      </c>
      <c r="L122" s="5" t="str">
        <f t="shared" si="7"/>
        <v>$50</v>
      </c>
      <c r="M122" s="2" t="s">
        <v>64</v>
      </c>
      <c r="N122" s="2">
        <f>IF(O122&gt;=90%,5,IF(O122&gt;=80%,4,IF(O122&gt;=70%,3,IF(O122&gt;=60%,2,1))))</f>
        <v>1</v>
      </c>
      <c r="O122" s="3">
        <v>0.5</v>
      </c>
      <c r="P122" t="s">
        <v>19</v>
      </c>
      <c r="Q122" t="s">
        <v>20</v>
      </c>
      <c r="R122">
        <v>14</v>
      </c>
      <c r="S122">
        <v>6</v>
      </c>
    </row>
    <row r="123" spans="1:19" x14ac:dyDescent="0.3">
      <c r="A123" t="s">
        <v>325</v>
      </c>
      <c r="B123" t="s">
        <v>326</v>
      </c>
      <c r="C123" t="str">
        <f t="shared" si="4"/>
        <v>Male</v>
      </c>
      <c r="D123" t="s">
        <v>30</v>
      </c>
      <c r="E123">
        <f t="shared" si="5"/>
        <v>34</v>
      </c>
      <c r="F123">
        <v>34</v>
      </c>
      <c r="G123" t="s">
        <v>24</v>
      </c>
      <c r="H123" t="s">
        <v>25</v>
      </c>
      <c r="I123" t="s">
        <v>37</v>
      </c>
      <c r="J123">
        <f t="shared" si="6"/>
        <v>10</v>
      </c>
      <c r="K123">
        <v>10</v>
      </c>
      <c r="L123" s="5">
        <f t="shared" si="7"/>
        <v>54.43181818181818</v>
      </c>
      <c r="N123" s="2">
        <f>IF(O123&gt;=90%,5,IF(O123&gt;=80%,4,IF(O123&gt;=70%,3,IF(O123&gt;=60%,2,1))))</f>
        <v>5</v>
      </c>
      <c r="O123" s="3">
        <v>0.96</v>
      </c>
      <c r="P123" t="s">
        <v>19</v>
      </c>
      <c r="Q123" t="s">
        <v>58</v>
      </c>
      <c r="R123">
        <v>7</v>
      </c>
      <c r="S123">
        <v>9</v>
      </c>
    </row>
    <row r="124" spans="1:19" x14ac:dyDescent="0.3">
      <c r="A124" t="s">
        <v>327</v>
      </c>
      <c r="B124" t="s">
        <v>328</v>
      </c>
      <c r="C124" t="str">
        <f t="shared" si="4"/>
        <v>Male</v>
      </c>
      <c r="D124" t="s">
        <v>95</v>
      </c>
      <c r="E124">
        <f t="shared" si="5"/>
        <v>49</v>
      </c>
      <c r="F124">
        <v>49</v>
      </c>
      <c r="G124" t="s">
        <v>108</v>
      </c>
      <c r="H124" t="s">
        <v>109</v>
      </c>
      <c r="I124" t="s">
        <v>52</v>
      </c>
      <c r="J124">
        <f t="shared" si="6"/>
        <v>19</v>
      </c>
      <c r="K124">
        <v>19</v>
      </c>
      <c r="L124" s="5">
        <f t="shared" si="7"/>
        <v>54.43181818181818</v>
      </c>
      <c r="N124" s="2">
        <f>IF(O124&gt;=90%,5,IF(O124&gt;=80%,4,IF(O124&gt;=70%,3,IF(O124&gt;=60%,2,1))))</f>
        <v>4</v>
      </c>
      <c r="O124" s="3">
        <v>0.83</v>
      </c>
      <c r="P124" t="s">
        <v>65</v>
      </c>
      <c r="Q124" t="s">
        <v>20</v>
      </c>
      <c r="R124">
        <v>11</v>
      </c>
      <c r="S124">
        <v>5</v>
      </c>
    </row>
    <row r="125" spans="1:19" x14ac:dyDescent="0.3">
      <c r="A125" t="s">
        <v>329</v>
      </c>
      <c r="B125" t="s">
        <v>330</v>
      </c>
      <c r="C125" t="str">
        <f t="shared" si="4"/>
        <v>Male</v>
      </c>
      <c r="D125" t="s">
        <v>30</v>
      </c>
      <c r="E125">
        <f t="shared" si="5"/>
        <v>30</v>
      </c>
      <c r="F125">
        <v>30</v>
      </c>
      <c r="G125" t="s">
        <v>104</v>
      </c>
      <c r="H125" t="s">
        <v>105</v>
      </c>
      <c r="I125" t="s">
        <v>26</v>
      </c>
      <c r="J125">
        <f t="shared" si="6"/>
        <v>10</v>
      </c>
      <c r="K125">
        <v>10</v>
      </c>
      <c r="L125" s="5" t="str">
        <f t="shared" si="7"/>
        <v>$100</v>
      </c>
      <c r="M125" s="2" t="s">
        <v>222</v>
      </c>
      <c r="N125" s="2">
        <f>IF(O125&gt;=90%,5,IF(O125&gt;=80%,4,IF(O125&gt;=70%,3,IF(O125&gt;=60%,2,1))))</f>
        <v>2</v>
      </c>
      <c r="O125" s="3">
        <v>0.64</v>
      </c>
      <c r="P125" t="s">
        <v>69</v>
      </c>
      <c r="Q125" t="s">
        <v>20</v>
      </c>
      <c r="R125">
        <v>14</v>
      </c>
      <c r="S125">
        <v>9</v>
      </c>
    </row>
    <row r="126" spans="1:19" x14ac:dyDescent="0.3">
      <c r="A126" t="s">
        <v>331</v>
      </c>
      <c r="B126" t="s">
        <v>332</v>
      </c>
      <c r="C126" t="str">
        <f t="shared" si="4"/>
        <v>Male</v>
      </c>
      <c r="D126" t="s">
        <v>30</v>
      </c>
      <c r="E126">
        <f t="shared" si="5"/>
        <v>31</v>
      </c>
      <c r="F126">
        <v>31</v>
      </c>
      <c r="G126" t="s">
        <v>135</v>
      </c>
      <c r="H126" t="s">
        <v>136</v>
      </c>
      <c r="I126" t="s">
        <v>32</v>
      </c>
      <c r="J126">
        <f t="shared" si="6"/>
        <v>8</v>
      </c>
      <c r="K126">
        <v>8</v>
      </c>
      <c r="L126" s="5">
        <f t="shared" si="7"/>
        <v>40</v>
      </c>
      <c r="M126" s="2">
        <v>40</v>
      </c>
      <c r="N126" s="2">
        <f>IF(O126&gt;=90%,5,IF(O126&gt;=80%,4,IF(O126&gt;=70%,3,IF(O126&gt;=60%,2,1))))</f>
        <v>3</v>
      </c>
      <c r="O126" s="3">
        <v>0.7</v>
      </c>
      <c r="P126" t="s">
        <v>46</v>
      </c>
      <c r="Q126" t="s">
        <v>58</v>
      </c>
      <c r="R126">
        <v>15</v>
      </c>
      <c r="S126">
        <v>5</v>
      </c>
    </row>
    <row r="127" spans="1:19" x14ac:dyDescent="0.3">
      <c r="A127" t="s">
        <v>333</v>
      </c>
      <c r="B127" t="s">
        <v>334</v>
      </c>
      <c r="C127" t="str">
        <f t="shared" ref="C127:C190" si="8">IF(LEFT(LOWER(TRIM(D127)),1)="f","Female","Male")</f>
        <v>Male</v>
      </c>
      <c r="D127" t="s">
        <v>49</v>
      </c>
      <c r="E127">
        <f t="shared" si="5"/>
        <v>58</v>
      </c>
      <c r="F127">
        <v>58</v>
      </c>
      <c r="G127" t="s">
        <v>168</v>
      </c>
      <c r="H127" t="s">
        <v>169</v>
      </c>
      <c r="I127" t="s">
        <v>110</v>
      </c>
      <c r="J127">
        <f t="shared" si="6"/>
        <v>9</v>
      </c>
      <c r="K127">
        <v>9</v>
      </c>
      <c r="L127" s="5">
        <f t="shared" si="7"/>
        <v>20</v>
      </c>
      <c r="M127" s="2">
        <v>20</v>
      </c>
      <c r="N127" s="2">
        <f>IF(O127&gt;=90%,5,IF(O127&gt;=80%,4,IF(O127&gt;=70%,3,IF(O127&gt;=60%,2,1))))</f>
        <v>2</v>
      </c>
      <c r="O127" s="3">
        <v>0.65</v>
      </c>
      <c r="P127" t="s">
        <v>69</v>
      </c>
      <c r="Q127" t="s">
        <v>58</v>
      </c>
      <c r="R127">
        <v>15</v>
      </c>
      <c r="S127">
        <v>7</v>
      </c>
    </row>
    <row r="128" spans="1:19" x14ac:dyDescent="0.3">
      <c r="A128" t="s">
        <v>335</v>
      </c>
      <c r="B128" t="s">
        <v>336</v>
      </c>
      <c r="C128" t="str">
        <f t="shared" si="8"/>
        <v>Male</v>
      </c>
      <c r="D128" t="s">
        <v>95</v>
      </c>
      <c r="E128">
        <f t="shared" si="5"/>
        <v>47</v>
      </c>
      <c r="F128">
        <v>47</v>
      </c>
      <c r="G128" t="s">
        <v>131</v>
      </c>
      <c r="H128" t="s">
        <v>132</v>
      </c>
      <c r="I128" t="s">
        <v>110</v>
      </c>
      <c r="J128">
        <f t="shared" si="6"/>
        <v>13</v>
      </c>
      <c r="K128">
        <v>13</v>
      </c>
      <c r="L128" s="5">
        <f t="shared" si="7"/>
        <v>40</v>
      </c>
      <c r="M128" s="2">
        <v>40</v>
      </c>
      <c r="N128" s="2">
        <f>IF(O128&gt;=90%,5,IF(O128&gt;=80%,4,IF(O128&gt;=70%,3,IF(O128&gt;=60%,2,1))))</f>
        <v>2</v>
      </c>
      <c r="O128" s="3">
        <v>0.67</v>
      </c>
      <c r="P128" t="s">
        <v>65</v>
      </c>
      <c r="Q128" t="s">
        <v>33</v>
      </c>
      <c r="R128">
        <v>7</v>
      </c>
      <c r="S128">
        <v>3</v>
      </c>
    </row>
    <row r="129" spans="1:19" x14ac:dyDescent="0.3">
      <c r="A129" t="s">
        <v>337</v>
      </c>
      <c r="B129" t="s">
        <v>338</v>
      </c>
      <c r="C129" t="str">
        <f t="shared" si="8"/>
        <v>Female</v>
      </c>
      <c r="D129" t="s">
        <v>15</v>
      </c>
      <c r="E129">
        <f t="shared" si="5"/>
        <v>45</v>
      </c>
      <c r="F129">
        <v>45</v>
      </c>
      <c r="G129" t="s">
        <v>68</v>
      </c>
      <c r="H129" t="s">
        <v>25</v>
      </c>
      <c r="I129" t="s">
        <v>78</v>
      </c>
      <c r="J129">
        <f t="shared" si="6"/>
        <v>14</v>
      </c>
      <c r="K129">
        <v>14</v>
      </c>
      <c r="L129" s="5" t="str">
        <f t="shared" si="7"/>
        <v>$100</v>
      </c>
      <c r="M129" s="2" t="s">
        <v>222</v>
      </c>
      <c r="N129" s="2">
        <f>IF(O129&gt;=90%,5,IF(O129&gt;=80%,4,IF(O129&gt;=70%,3,IF(O129&gt;=60%,2,1))))</f>
        <v>5</v>
      </c>
      <c r="O129" s="3">
        <v>0.93</v>
      </c>
      <c r="P129" t="s">
        <v>65</v>
      </c>
      <c r="Q129" t="s">
        <v>27</v>
      </c>
      <c r="R129">
        <v>12</v>
      </c>
      <c r="S129">
        <v>12</v>
      </c>
    </row>
    <row r="130" spans="1:19" x14ac:dyDescent="0.3">
      <c r="A130" t="s">
        <v>339</v>
      </c>
      <c r="B130" t="s">
        <v>340</v>
      </c>
      <c r="C130" t="str">
        <f t="shared" si="8"/>
        <v>Female</v>
      </c>
      <c r="D130" t="s">
        <v>23</v>
      </c>
      <c r="E130">
        <f t="shared" ref="E130:E193" si="9">IF(F130="",MEDIAN($F$2:$F$698),F130)</f>
        <v>57</v>
      </c>
      <c r="F130">
        <v>57</v>
      </c>
      <c r="G130" t="s">
        <v>131</v>
      </c>
      <c r="H130" t="s">
        <v>132</v>
      </c>
      <c r="I130" t="s">
        <v>110</v>
      </c>
      <c r="J130">
        <f t="shared" ref="J130:J193" si="10">IF(K130="", AVERAGEIF($I$2:$I$698,I130,$K$2:$K$698),K130)</f>
        <v>0</v>
      </c>
      <c r="K130">
        <v>0</v>
      </c>
      <c r="L130" s="5">
        <f t="shared" si="7"/>
        <v>50</v>
      </c>
      <c r="M130" s="2">
        <v>50</v>
      </c>
      <c r="N130" s="2">
        <f>IF(O130&gt;=90%,5,IF(O130&gt;=80%,4,IF(O130&gt;=70%,3,IF(O130&gt;=60%,2,1))))</f>
        <v>2</v>
      </c>
      <c r="O130" s="3">
        <v>0.6</v>
      </c>
      <c r="P130" t="s">
        <v>69</v>
      </c>
      <c r="Q130" t="s">
        <v>20</v>
      </c>
      <c r="R130">
        <v>3</v>
      </c>
      <c r="S130">
        <v>2</v>
      </c>
    </row>
    <row r="131" spans="1:19" x14ac:dyDescent="0.3">
      <c r="A131" t="s">
        <v>341</v>
      </c>
      <c r="B131" t="s">
        <v>342</v>
      </c>
      <c r="C131" t="str">
        <f t="shared" si="8"/>
        <v>Male</v>
      </c>
      <c r="D131" t="s">
        <v>61</v>
      </c>
      <c r="E131">
        <f t="shared" si="9"/>
        <v>50</v>
      </c>
      <c r="F131">
        <v>50</v>
      </c>
      <c r="G131" t="s">
        <v>91</v>
      </c>
      <c r="H131" t="s">
        <v>92</v>
      </c>
      <c r="I131" t="s">
        <v>37</v>
      </c>
      <c r="J131">
        <f t="shared" si="10"/>
        <v>22</v>
      </c>
      <c r="K131">
        <v>22</v>
      </c>
      <c r="L131" s="5">
        <f t="shared" ref="L131:L194" si="11">IF(M131="", AVERAGE(M131:M827), M131)</f>
        <v>100</v>
      </c>
      <c r="M131" s="2">
        <v>100</v>
      </c>
      <c r="N131" s="2">
        <f>IF(O131&gt;=90%,5,IF(O131&gt;=80%,4,IF(O131&gt;=70%,3,IF(O131&gt;=60%,2,1))))</f>
        <v>2</v>
      </c>
      <c r="O131" s="3">
        <v>0.62</v>
      </c>
      <c r="P131" t="s">
        <v>69</v>
      </c>
      <c r="Q131" t="s">
        <v>33</v>
      </c>
      <c r="R131">
        <v>17</v>
      </c>
      <c r="S131">
        <v>6</v>
      </c>
    </row>
    <row r="132" spans="1:19" x14ac:dyDescent="0.3">
      <c r="A132" t="s">
        <v>343</v>
      </c>
      <c r="B132" t="s">
        <v>344</v>
      </c>
      <c r="C132" t="str">
        <f t="shared" si="8"/>
        <v>Female</v>
      </c>
      <c r="D132" t="s">
        <v>23</v>
      </c>
      <c r="E132">
        <f t="shared" si="9"/>
        <v>41</v>
      </c>
      <c r="G132" t="s">
        <v>104</v>
      </c>
      <c r="H132" t="s">
        <v>105</v>
      </c>
      <c r="I132" t="s">
        <v>110</v>
      </c>
      <c r="J132">
        <f t="shared" si="10"/>
        <v>4</v>
      </c>
      <c r="K132">
        <v>4</v>
      </c>
      <c r="L132" s="5">
        <f t="shared" si="11"/>
        <v>54.51737451737452</v>
      </c>
      <c r="N132" s="2">
        <f>IF(O132&gt;=90%,5,IF(O132&gt;=80%,4,IF(O132&gt;=70%,3,IF(O132&gt;=60%,2,1))))</f>
        <v>3</v>
      </c>
      <c r="O132" s="3">
        <v>0.7</v>
      </c>
      <c r="P132" t="s">
        <v>69</v>
      </c>
      <c r="Q132" t="s">
        <v>58</v>
      </c>
      <c r="R132">
        <v>2</v>
      </c>
      <c r="S132">
        <v>1</v>
      </c>
    </row>
    <row r="133" spans="1:19" x14ac:dyDescent="0.3">
      <c r="A133" t="s">
        <v>345</v>
      </c>
      <c r="B133" t="s">
        <v>346</v>
      </c>
      <c r="C133" t="str">
        <f t="shared" si="8"/>
        <v>Female</v>
      </c>
      <c r="D133" t="s">
        <v>77</v>
      </c>
      <c r="E133">
        <f t="shared" si="9"/>
        <v>45</v>
      </c>
      <c r="F133">
        <v>45</v>
      </c>
      <c r="G133" t="s">
        <v>50</v>
      </c>
      <c r="H133" t="s">
        <v>51</v>
      </c>
      <c r="I133" t="s">
        <v>18</v>
      </c>
      <c r="J133">
        <f t="shared" si="10"/>
        <v>22</v>
      </c>
      <c r="K133">
        <v>22</v>
      </c>
      <c r="L133" s="5" t="str">
        <f t="shared" si="11"/>
        <v>$100</v>
      </c>
      <c r="M133" s="2" t="s">
        <v>222</v>
      </c>
      <c r="N133" s="2">
        <f>IF(O133&gt;=90%,5,IF(O133&gt;=80%,4,IF(O133&gt;=70%,3,IF(O133&gt;=60%,2,1))))</f>
        <v>3</v>
      </c>
      <c r="O133" s="3">
        <v>0.75</v>
      </c>
      <c r="P133" t="s">
        <v>19</v>
      </c>
      <c r="Q133" t="s">
        <v>27</v>
      </c>
      <c r="R133">
        <v>16</v>
      </c>
      <c r="S133">
        <v>4</v>
      </c>
    </row>
    <row r="134" spans="1:19" x14ac:dyDescent="0.3">
      <c r="A134" t="s">
        <v>347</v>
      </c>
      <c r="B134" t="s">
        <v>348</v>
      </c>
      <c r="C134" t="str">
        <f t="shared" si="8"/>
        <v>Male</v>
      </c>
      <c r="D134" t="s">
        <v>61</v>
      </c>
      <c r="E134">
        <f t="shared" si="9"/>
        <v>60</v>
      </c>
      <c r="F134">
        <v>60</v>
      </c>
      <c r="G134" t="s">
        <v>147</v>
      </c>
      <c r="H134" t="s">
        <v>148</v>
      </c>
      <c r="I134" t="s">
        <v>78</v>
      </c>
      <c r="J134">
        <f t="shared" si="10"/>
        <v>39</v>
      </c>
      <c r="K134">
        <v>39</v>
      </c>
      <c r="L134" s="5">
        <f t="shared" si="11"/>
        <v>75</v>
      </c>
      <c r="M134" s="2">
        <v>75</v>
      </c>
      <c r="N134" s="2">
        <f>IF(O134&gt;=90%,5,IF(O134&gt;=80%,4,IF(O134&gt;=70%,3,IF(O134&gt;=60%,2,1))))</f>
        <v>3</v>
      </c>
      <c r="O134" s="3">
        <v>0.7</v>
      </c>
      <c r="P134" t="s">
        <v>46</v>
      </c>
      <c r="Q134" t="s">
        <v>33</v>
      </c>
      <c r="R134">
        <v>10</v>
      </c>
      <c r="S134">
        <v>3</v>
      </c>
    </row>
    <row r="135" spans="1:19" x14ac:dyDescent="0.3">
      <c r="A135" t="s">
        <v>349</v>
      </c>
      <c r="B135" t="s">
        <v>350</v>
      </c>
      <c r="C135" t="str">
        <f t="shared" si="8"/>
        <v>Female</v>
      </c>
      <c r="D135" t="s">
        <v>39</v>
      </c>
      <c r="E135">
        <f t="shared" si="9"/>
        <v>43</v>
      </c>
      <c r="F135">
        <v>43</v>
      </c>
      <c r="G135" t="s">
        <v>68</v>
      </c>
      <c r="H135" t="s">
        <v>25</v>
      </c>
      <c r="I135" t="s">
        <v>78</v>
      </c>
      <c r="J135">
        <f t="shared" si="10"/>
        <v>5</v>
      </c>
      <c r="K135">
        <v>5</v>
      </c>
      <c r="L135" s="5" t="str">
        <f t="shared" si="11"/>
        <v>$50</v>
      </c>
      <c r="M135" s="2" t="s">
        <v>64</v>
      </c>
      <c r="N135" s="2">
        <f>IF(O135&gt;=90%,5,IF(O135&gt;=80%,4,IF(O135&gt;=70%,3,IF(O135&gt;=60%,2,1))))</f>
        <v>4</v>
      </c>
      <c r="O135" s="3">
        <v>0.84</v>
      </c>
      <c r="P135" t="s">
        <v>69</v>
      </c>
      <c r="Q135" t="s">
        <v>20</v>
      </c>
      <c r="R135">
        <v>1</v>
      </c>
      <c r="S135">
        <v>3</v>
      </c>
    </row>
    <row r="136" spans="1:19" x14ac:dyDescent="0.3">
      <c r="A136" t="s">
        <v>351</v>
      </c>
      <c r="B136" t="s">
        <v>352</v>
      </c>
      <c r="C136" t="str">
        <f t="shared" si="8"/>
        <v>Female</v>
      </c>
      <c r="D136" t="s">
        <v>36</v>
      </c>
      <c r="E136">
        <f t="shared" si="9"/>
        <v>39</v>
      </c>
      <c r="F136">
        <v>39</v>
      </c>
      <c r="G136" t="s">
        <v>131</v>
      </c>
      <c r="H136" t="s">
        <v>132</v>
      </c>
      <c r="I136" t="s">
        <v>78</v>
      </c>
      <c r="J136">
        <f t="shared" si="10"/>
        <v>5</v>
      </c>
      <c r="K136">
        <v>5</v>
      </c>
      <c r="L136" s="5" t="str">
        <f t="shared" si="11"/>
        <v>$40</v>
      </c>
      <c r="M136" s="2" t="s">
        <v>38</v>
      </c>
      <c r="N136" s="2">
        <f>IF(O136&gt;=90%,5,IF(O136&gt;=80%,4,IF(O136&gt;=70%,3,IF(O136&gt;=60%,2,1))))</f>
        <v>4</v>
      </c>
      <c r="O136" s="3">
        <v>0.83</v>
      </c>
      <c r="P136" t="s">
        <v>69</v>
      </c>
      <c r="Q136" t="s">
        <v>33</v>
      </c>
      <c r="R136">
        <v>4</v>
      </c>
      <c r="S136">
        <v>1</v>
      </c>
    </row>
    <row r="137" spans="1:19" x14ac:dyDescent="0.3">
      <c r="A137" t="s">
        <v>353</v>
      </c>
      <c r="B137" t="s">
        <v>354</v>
      </c>
      <c r="C137" t="str">
        <f t="shared" si="8"/>
        <v>Male</v>
      </c>
      <c r="D137" t="s">
        <v>30</v>
      </c>
      <c r="E137">
        <f t="shared" si="9"/>
        <v>26</v>
      </c>
      <c r="F137">
        <v>26</v>
      </c>
      <c r="G137" t="s">
        <v>172</v>
      </c>
      <c r="H137" t="s">
        <v>73</v>
      </c>
      <c r="I137" t="s">
        <v>74</v>
      </c>
      <c r="J137">
        <f t="shared" si="10"/>
        <v>5</v>
      </c>
      <c r="K137">
        <v>5</v>
      </c>
      <c r="L137" s="5">
        <f t="shared" si="11"/>
        <v>50</v>
      </c>
      <c r="M137" s="2">
        <v>50</v>
      </c>
      <c r="N137" s="2">
        <f>IF(O137&gt;=90%,5,IF(O137&gt;=80%,4,IF(O137&gt;=70%,3,IF(O137&gt;=60%,2,1))))</f>
        <v>1</v>
      </c>
      <c r="O137" s="3">
        <v>0.5</v>
      </c>
      <c r="P137" t="s">
        <v>69</v>
      </c>
      <c r="Q137" t="s">
        <v>20</v>
      </c>
      <c r="R137">
        <v>3</v>
      </c>
      <c r="S137">
        <v>1</v>
      </c>
    </row>
    <row r="138" spans="1:19" x14ac:dyDescent="0.3">
      <c r="A138" t="s">
        <v>355</v>
      </c>
      <c r="B138" t="s">
        <v>356</v>
      </c>
      <c r="C138" t="str">
        <f t="shared" si="8"/>
        <v>Male</v>
      </c>
      <c r="D138" t="s">
        <v>49</v>
      </c>
      <c r="E138">
        <f t="shared" si="9"/>
        <v>31</v>
      </c>
      <c r="F138">
        <v>31</v>
      </c>
      <c r="G138" t="s">
        <v>31</v>
      </c>
      <c r="H138" t="s">
        <v>31</v>
      </c>
      <c r="I138" t="s">
        <v>78</v>
      </c>
      <c r="J138">
        <f t="shared" si="10"/>
        <v>11</v>
      </c>
      <c r="K138">
        <v>11</v>
      </c>
      <c r="L138" s="5">
        <f t="shared" si="11"/>
        <v>50</v>
      </c>
      <c r="M138" s="2">
        <v>50</v>
      </c>
      <c r="N138" s="2">
        <f>IF(O138&gt;=90%,5,IF(O138&gt;=80%,4,IF(O138&gt;=70%,3,IF(O138&gt;=60%,2,1))))</f>
        <v>4</v>
      </c>
      <c r="O138" s="3">
        <v>0.88</v>
      </c>
      <c r="P138" t="s">
        <v>65</v>
      </c>
      <c r="Q138" t="s">
        <v>58</v>
      </c>
      <c r="R138">
        <v>14</v>
      </c>
      <c r="S138">
        <v>3</v>
      </c>
    </row>
    <row r="139" spans="1:19" x14ac:dyDescent="0.3">
      <c r="A139" t="s">
        <v>357</v>
      </c>
      <c r="B139" t="s">
        <v>358</v>
      </c>
      <c r="C139" t="str">
        <f t="shared" si="8"/>
        <v>Male</v>
      </c>
      <c r="D139" t="s">
        <v>49</v>
      </c>
      <c r="E139">
        <f t="shared" si="9"/>
        <v>52</v>
      </c>
      <c r="F139">
        <v>52</v>
      </c>
      <c r="G139" t="s">
        <v>131</v>
      </c>
      <c r="H139" t="s">
        <v>132</v>
      </c>
      <c r="I139" t="s">
        <v>74</v>
      </c>
      <c r="J139">
        <f t="shared" si="10"/>
        <v>15</v>
      </c>
      <c r="K139">
        <v>15</v>
      </c>
      <c r="L139" s="5">
        <f t="shared" si="11"/>
        <v>50</v>
      </c>
      <c r="M139" s="2">
        <v>50</v>
      </c>
      <c r="N139" s="2">
        <f>IF(O139&gt;=90%,5,IF(O139&gt;=80%,4,IF(O139&gt;=70%,3,IF(O139&gt;=60%,2,1))))</f>
        <v>4</v>
      </c>
      <c r="O139" s="3">
        <v>0.81</v>
      </c>
      <c r="P139" t="s">
        <v>65</v>
      </c>
      <c r="Q139" t="s">
        <v>27</v>
      </c>
      <c r="R139">
        <v>10</v>
      </c>
      <c r="S139">
        <v>12</v>
      </c>
    </row>
    <row r="140" spans="1:19" x14ac:dyDescent="0.3">
      <c r="A140" t="s">
        <v>359</v>
      </c>
      <c r="B140" t="s">
        <v>360</v>
      </c>
      <c r="C140" t="str">
        <f t="shared" si="8"/>
        <v>Female</v>
      </c>
      <c r="D140" t="s">
        <v>39</v>
      </c>
      <c r="E140">
        <f t="shared" si="9"/>
        <v>34</v>
      </c>
      <c r="F140">
        <v>34</v>
      </c>
      <c r="G140" t="s">
        <v>91</v>
      </c>
      <c r="H140" t="s">
        <v>92</v>
      </c>
      <c r="I140" t="s">
        <v>52</v>
      </c>
      <c r="J140">
        <f t="shared" si="10"/>
        <v>5</v>
      </c>
      <c r="K140">
        <v>5</v>
      </c>
      <c r="L140" s="5" t="str">
        <f t="shared" si="11"/>
        <v>$20</v>
      </c>
      <c r="M140" s="2" t="s">
        <v>117</v>
      </c>
      <c r="N140" s="2">
        <f>IF(O140&gt;=90%,5,IF(O140&gt;=80%,4,IF(O140&gt;=70%,3,IF(O140&gt;=60%,2,1))))</f>
        <v>4</v>
      </c>
      <c r="O140" s="3">
        <v>0.8</v>
      </c>
      <c r="P140" t="s">
        <v>19</v>
      </c>
      <c r="Q140" t="s">
        <v>27</v>
      </c>
      <c r="R140">
        <v>3</v>
      </c>
      <c r="S140">
        <v>3</v>
      </c>
    </row>
    <row r="141" spans="1:19" x14ac:dyDescent="0.3">
      <c r="A141" t="s">
        <v>361</v>
      </c>
      <c r="B141" t="s">
        <v>362</v>
      </c>
      <c r="C141" t="str">
        <f t="shared" si="8"/>
        <v>Male</v>
      </c>
      <c r="D141" t="s">
        <v>30</v>
      </c>
      <c r="E141">
        <f t="shared" si="9"/>
        <v>45</v>
      </c>
      <c r="F141">
        <v>45</v>
      </c>
      <c r="G141" t="s">
        <v>68</v>
      </c>
      <c r="H141" t="s">
        <v>25</v>
      </c>
      <c r="I141" t="s">
        <v>37</v>
      </c>
      <c r="J141">
        <f t="shared" si="10"/>
        <v>7</v>
      </c>
      <c r="K141">
        <v>7</v>
      </c>
      <c r="L141" s="5">
        <f t="shared" si="11"/>
        <v>75</v>
      </c>
      <c r="M141" s="2">
        <v>75</v>
      </c>
      <c r="N141" s="2">
        <f>IF(O141&gt;=90%,5,IF(O141&gt;=80%,4,IF(O141&gt;=70%,3,IF(O141&gt;=60%,2,1))))</f>
        <v>2</v>
      </c>
      <c r="O141" s="3">
        <v>0.67</v>
      </c>
      <c r="P141" t="s">
        <v>46</v>
      </c>
      <c r="Q141" t="s">
        <v>27</v>
      </c>
      <c r="R141">
        <v>7</v>
      </c>
      <c r="S141">
        <v>8</v>
      </c>
    </row>
    <row r="142" spans="1:19" x14ac:dyDescent="0.3">
      <c r="A142" t="s">
        <v>363</v>
      </c>
      <c r="B142" t="s">
        <v>364</v>
      </c>
      <c r="C142" t="str">
        <f t="shared" si="8"/>
        <v>Male</v>
      </c>
      <c r="D142" t="s">
        <v>49</v>
      </c>
      <c r="E142">
        <f t="shared" si="9"/>
        <v>46</v>
      </c>
      <c r="F142">
        <v>46</v>
      </c>
      <c r="G142" t="s">
        <v>68</v>
      </c>
      <c r="H142" t="s">
        <v>25</v>
      </c>
      <c r="I142" t="s">
        <v>78</v>
      </c>
      <c r="J142">
        <f t="shared" si="10"/>
        <v>9</v>
      </c>
      <c r="K142">
        <v>9</v>
      </c>
      <c r="L142" s="5" t="str">
        <f t="shared" si="11"/>
        <v>$20</v>
      </c>
      <c r="M142" s="2" t="s">
        <v>117</v>
      </c>
      <c r="N142" s="2">
        <f>IF(O142&gt;=90%,5,IF(O142&gt;=80%,4,IF(O142&gt;=70%,3,IF(O142&gt;=60%,2,1))))</f>
        <v>4</v>
      </c>
      <c r="O142" s="3">
        <v>0.82</v>
      </c>
      <c r="P142" t="s">
        <v>19</v>
      </c>
      <c r="Q142" t="s">
        <v>58</v>
      </c>
      <c r="R142">
        <v>14</v>
      </c>
      <c r="S142">
        <v>6</v>
      </c>
    </row>
    <row r="143" spans="1:19" x14ac:dyDescent="0.3">
      <c r="A143" t="s">
        <v>365</v>
      </c>
      <c r="B143" t="s">
        <v>366</v>
      </c>
      <c r="C143" t="str">
        <f t="shared" si="8"/>
        <v>Male</v>
      </c>
      <c r="D143" t="s">
        <v>49</v>
      </c>
      <c r="E143">
        <f t="shared" si="9"/>
        <v>56</v>
      </c>
      <c r="F143">
        <v>56</v>
      </c>
      <c r="G143" t="s">
        <v>131</v>
      </c>
      <c r="H143" t="s">
        <v>132</v>
      </c>
      <c r="I143" t="s">
        <v>74</v>
      </c>
      <c r="J143">
        <f t="shared" si="10"/>
        <v>21</v>
      </c>
      <c r="K143">
        <v>21</v>
      </c>
      <c r="L143" s="5" t="str">
        <f t="shared" si="11"/>
        <v>$100</v>
      </c>
      <c r="M143" s="2" t="s">
        <v>222</v>
      </c>
      <c r="N143" s="2">
        <f>IF(O143&gt;=90%,5,IF(O143&gt;=80%,4,IF(O143&gt;=70%,3,IF(O143&gt;=60%,2,1))))</f>
        <v>3</v>
      </c>
      <c r="O143" s="3">
        <v>0.78</v>
      </c>
      <c r="P143" t="s">
        <v>46</v>
      </c>
      <c r="Q143" t="s">
        <v>20</v>
      </c>
      <c r="R143">
        <v>18</v>
      </c>
      <c r="S143">
        <v>13</v>
      </c>
    </row>
    <row r="144" spans="1:19" x14ac:dyDescent="0.3">
      <c r="A144" t="s">
        <v>367</v>
      </c>
      <c r="B144" t="s">
        <v>368</v>
      </c>
      <c r="C144" t="str">
        <f t="shared" si="8"/>
        <v>Female</v>
      </c>
      <c r="D144" t="s">
        <v>23</v>
      </c>
      <c r="E144">
        <f t="shared" si="9"/>
        <v>59</v>
      </c>
      <c r="F144">
        <v>59</v>
      </c>
      <c r="G144" t="s">
        <v>31</v>
      </c>
      <c r="H144" t="s">
        <v>31</v>
      </c>
      <c r="I144" t="s">
        <v>44</v>
      </c>
      <c r="J144">
        <f t="shared" si="10"/>
        <v>7</v>
      </c>
      <c r="K144">
        <v>7</v>
      </c>
      <c r="L144" s="5" t="str">
        <f t="shared" si="11"/>
        <v>$40</v>
      </c>
      <c r="M144" s="2" t="s">
        <v>38</v>
      </c>
      <c r="N144" s="2">
        <f>IF(O144&gt;=90%,5,IF(O144&gt;=80%,4,IF(O144&gt;=70%,3,IF(O144&gt;=60%,2,1))))</f>
        <v>4</v>
      </c>
      <c r="O144" s="3">
        <v>0.81</v>
      </c>
      <c r="P144" t="s">
        <v>65</v>
      </c>
      <c r="Q144" t="s">
        <v>58</v>
      </c>
      <c r="R144">
        <v>9</v>
      </c>
      <c r="S144">
        <v>11</v>
      </c>
    </row>
    <row r="145" spans="1:19" x14ac:dyDescent="0.3">
      <c r="A145" t="s">
        <v>369</v>
      </c>
      <c r="B145" t="s">
        <v>370</v>
      </c>
      <c r="C145" t="str">
        <f t="shared" si="8"/>
        <v>Female</v>
      </c>
      <c r="D145" t="s">
        <v>23</v>
      </c>
      <c r="E145">
        <f t="shared" si="9"/>
        <v>54</v>
      </c>
      <c r="F145">
        <v>54</v>
      </c>
      <c r="G145" t="s">
        <v>135</v>
      </c>
      <c r="H145" t="s">
        <v>136</v>
      </c>
      <c r="I145" t="s">
        <v>18</v>
      </c>
      <c r="J145">
        <f t="shared" si="10"/>
        <v>4</v>
      </c>
      <c r="K145">
        <v>4</v>
      </c>
      <c r="L145" s="5">
        <f t="shared" si="11"/>
        <v>54.409448818897637</v>
      </c>
      <c r="N145" s="2">
        <f>IF(O145&gt;=90%,5,IF(O145&gt;=80%,4,IF(O145&gt;=70%,3,IF(O145&gt;=60%,2,1))))</f>
        <v>3</v>
      </c>
      <c r="O145" s="3">
        <v>0.74</v>
      </c>
      <c r="P145" t="s">
        <v>65</v>
      </c>
      <c r="Q145" t="s">
        <v>27</v>
      </c>
      <c r="R145">
        <v>5</v>
      </c>
      <c r="S145">
        <v>1</v>
      </c>
    </row>
    <row r="146" spans="1:19" x14ac:dyDescent="0.3">
      <c r="A146" t="s">
        <v>371</v>
      </c>
      <c r="B146" t="s">
        <v>372</v>
      </c>
      <c r="C146" t="str">
        <f t="shared" si="8"/>
        <v>Male</v>
      </c>
      <c r="D146" t="s">
        <v>90</v>
      </c>
      <c r="E146">
        <f t="shared" si="9"/>
        <v>36</v>
      </c>
      <c r="F146">
        <v>36</v>
      </c>
      <c r="G146" t="s">
        <v>31</v>
      </c>
      <c r="H146" t="s">
        <v>31</v>
      </c>
      <c r="I146" t="s">
        <v>74</v>
      </c>
      <c r="J146">
        <f t="shared" si="10"/>
        <v>7</v>
      </c>
      <c r="K146">
        <v>7</v>
      </c>
      <c r="L146" s="5">
        <f t="shared" si="11"/>
        <v>30</v>
      </c>
      <c r="M146" s="2">
        <v>30</v>
      </c>
      <c r="N146" s="2">
        <f>IF(O146&gt;=90%,5,IF(O146&gt;=80%,4,IF(O146&gt;=70%,3,IF(O146&gt;=60%,2,1))))</f>
        <v>4</v>
      </c>
      <c r="O146" s="3">
        <v>0.88</v>
      </c>
      <c r="P146" t="s">
        <v>65</v>
      </c>
      <c r="Q146" t="s">
        <v>58</v>
      </c>
      <c r="R146">
        <v>7</v>
      </c>
      <c r="S146">
        <v>2</v>
      </c>
    </row>
    <row r="147" spans="1:19" x14ac:dyDescent="0.3">
      <c r="A147" t="s">
        <v>373</v>
      </c>
      <c r="B147" t="s">
        <v>374</v>
      </c>
      <c r="C147" t="str">
        <f t="shared" si="8"/>
        <v>Male</v>
      </c>
      <c r="D147" t="s">
        <v>30</v>
      </c>
      <c r="E147">
        <f t="shared" si="9"/>
        <v>25</v>
      </c>
      <c r="F147">
        <v>25</v>
      </c>
      <c r="G147" t="s">
        <v>172</v>
      </c>
      <c r="H147" t="s">
        <v>73</v>
      </c>
      <c r="I147" t="s">
        <v>52</v>
      </c>
      <c r="J147">
        <f t="shared" si="10"/>
        <v>0</v>
      </c>
      <c r="K147">
        <v>0</v>
      </c>
      <c r="L147" s="5">
        <f t="shared" si="11"/>
        <v>40</v>
      </c>
      <c r="M147" s="2">
        <v>40</v>
      </c>
      <c r="N147" s="2">
        <f>IF(O147&gt;=90%,5,IF(O147&gt;=80%,4,IF(O147&gt;=70%,3,IF(O147&gt;=60%,2,1))))</f>
        <v>5</v>
      </c>
      <c r="O147" s="3">
        <v>0.9</v>
      </c>
      <c r="P147" t="s">
        <v>19</v>
      </c>
      <c r="Q147" t="s">
        <v>58</v>
      </c>
      <c r="R147">
        <v>1</v>
      </c>
      <c r="S147">
        <v>2</v>
      </c>
    </row>
    <row r="148" spans="1:19" x14ac:dyDescent="0.3">
      <c r="A148" t="s">
        <v>375</v>
      </c>
      <c r="B148" t="s">
        <v>376</v>
      </c>
      <c r="C148" t="str">
        <f t="shared" si="8"/>
        <v>Female</v>
      </c>
      <c r="D148" t="s">
        <v>23</v>
      </c>
      <c r="E148">
        <f t="shared" si="9"/>
        <v>37</v>
      </c>
      <c r="F148">
        <v>37</v>
      </c>
      <c r="G148" t="s">
        <v>120</v>
      </c>
      <c r="H148" t="s">
        <v>121</v>
      </c>
      <c r="I148" t="s">
        <v>52</v>
      </c>
      <c r="J148">
        <f t="shared" si="10"/>
        <v>15</v>
      </c>
      <c r="K148">
        <v>15</v>
      </c>
      <c r="L148" s="5" t="str">
        <f t="shared" si="11"/>
        <v>$40</v>
      </c>
      <c r="M148" s="2" t="s">
        <v>38</v>
      </c>
      <c r="N148" s="2">
        <f>IF(O148&gt;=90%,5,IF(O148&gt;=80%,4,IF(O148&gt;=70%,3,IF(O148&gt;=60%,2,1))))</f>
        <v>1</v>
      </c>
      <c r="O148" s="3">
        <v>0.5</v>
      </c>
      <c r="P148" t="s">
        <v>69</v>
      </c>
      <c r="Q148" t="s">
        <v>58</v>
      </c>
      <c r="R148">
        <v>6</v>
      </c>
      <c r="S148">
        <v>8</v>
      </c>
    </row>
    <row r="149" spans="1:19" x14ac:dyDescent="0.3">
      <c r="A149" t="s">
        <v>377</v>
      </c>
      <c r="B149" t="s">
        <v>378</v>
      </c>
      <c r="C149" t="str">
        <f t="shared" si="8"/>
        <v>Male</v>
      </c>
      <c r="D149" t="s">
        <v>90</v>
      </c>
      <c r="E149">
        <f t="shared" si="9"/>
        <v>41</v>
      </c>
      <c r="G149" t="s">
        <v>62</v>
      </c>
      <c r="H149" t="s">
        <v>63</v>
      </c>
      <c r="I149" t="s">
        <v>52</v>
      </c>
      <c r="J149">
        <f t="shared" si="10"/>
        <v>10</v>
      </c>
      <c r="K149">
        <v>10</v>
      </c>
      <c r="L149" s="5" t="str">
        <f t="shared" si="11"/>
        <v>$40</v>
      </c>
      <c r="M149" s="2" t="s">
        <v>38</v>
      </c>
      <c r="N149" s="2">
        <f>IF(O149&gt;=90%,5,IF(O149&gt;=80%,4,IF(O149&gt;=70%,3,IF(O149&gt;=60%,2,1))))</f>
        <v>1</v>
      </c>
      <c r="O149" s="3">
        <v>0.5</v>
      </c>
      <c r="P149" t="s">
        <v>69</v>
      </c>
      <c r="Q149" t="s">
        <v>20</v>
      </c>
      <c r="R149">
        <v>6</v>
      </c>
      <c r="S149">
        <v>2</v>
      </c>
    </row>
    <row r="150" spans="1:19" x14ac:dyDescent="0.3">
      <c r="A150" t="s">
        <v>379</v>
      </c>
      <c r="B150" t="s">
        <v>380</v>
      </c>
      <c r="C150" t="str">
        <f t="shared" si="8"/>
        <v>Male</v>
      </c>
      <c r="D150" t="s">
        <v>49</v>
      </c>
      <c r="E150">
        <f t="shared" si="9"/>
        <v>29</v>
      </c>
      <c r="F150">
        <v>29</v>
      </c>
      <c r="G150" t="s">
        <v>183</v>
      </c>
      <c r="H150" t="s">
        <v>73</v>
      </c>
      <c r="I150" t="s">
        <v>52</v>
      </c>
      <c r="J150">
        <f t="shared" si="10"/>
        <v>11</v>
      </c>
      <c r="K150">
        <v>11</v>
      </c>
      <c r="L150" s="5">
        <f t="shared" si="11"/>
        <v>20</v>
      </c>
      <c r="M150" s="2">
        <v>20</v>
      </c>
      <c r="N150" s="2">
        <f>IF(O150&gt;=90%,5,IF(O150&gt;=80%,4,IF(O150&gt;=70%,3,IF(O150&gt;=60%,2,1))))</f>
        <v>5</v>
      </c>
      <c r="O150" s="3">
        <v>0.93</v>
      </c>
      <c r="P150" t="s">
        <v>65</v>
      </c>
      <c r="Q150" t="s">
        <v>33</v>
      </c>
      <c r="R150">
        <v>13</v>
      </c>
      <c r="S150">
        <v>7</v>
      </c>
    </row>
    <row r="151" spans="1:19" x14ac:dyDescent="0.3">
      <c r="A151" t="s">
        <v>381</v>
      </c>
      <c r="B151" t="s">
        <v>382</v>
      </c>
      <c r="C151" t="str">
        <f t="shared" si="8"/>
        <v>Female</v>
      </c>
      <c r="D151" t="s">
        <v>39</v>
      </c>
      <c r="E151">
        <f t="shared" si="9"/>
        <v>55</v>
      </c>
      <c r="F151">
        <v>55</v>
      </c>
      <c r="G151" t="s">
        <v>72</v>
      </c>
      <c r="H151" t="s">
        <v>73</v>
      </c>
      <c r="I151" t="s">
        <v>26</v>
      </c>
      <c r="J151">
        <f t="shared" si="10"/>
        <v>12</v>
      </c>
      <c r="K151">
        <v>12</v>
      </c>
      <c r="L151" s="5">
        <f t="shared" si="11"/>
        <v>100</v>
      </c>
      <c r="M151" s="2">
        <v>100</v>
      </c>
      <c r="N151" s="2">
        <f>IF(O151&gt;=90%,5,IF(O151&gt;=80%,4,IF(O151&gt;=70%,3,IF(O151&gt;=60%,2,1))))</f>
        <v>1</v>
      </c>
      <c r="O151" s="3">
        <v>0.5</v>
      </c>
      <c r="P151" t="s">
        <v>69</v>
      </c>
      <c r="Q151" t="s">
        <v>33</v>
      </c>
      <c r="R151">
        <v>11</v>
      </c>
      <c r="S151">
        <v>3</v>
      </c>
    </row>
    <row r="152" spans="1:19" x14ac:dyDescent="0.3">
      <c r="A152" t="s">
        <v>383</v>
      </c>
      <c r="B152" t="s">
        <v>384</v>
      </c>
      <c r="C152" t="str">
        <f t="shared" si="8"/>
        <v>Female</v>
      </c>
      <c r="D152" t="s">
        <v>77</v>
      </c>
      <c r="E152">
        <f t="shared" si="9"/>
        <v>38</v>
      </c>
      <c r="F152">
        <v>38</v>
      </c>
      <c r="G152" t="s">
        <v>83</v>
      </c>
      <c r="H152" t="s">
        <v>84</v>
      </c>
      <c r="I152" t="s">
        <v>87</v>
      </c>
      <c r="J152">
        <f t="shared" si="10"/>
        <v>20</v>
      </c>
      <c r="K152">
        <v>20</v>
      </c>
      <c r="L152" s="5" t="str">
        <f t="shared" si="11"/>
        <v>$75</v>
      </c>
      <c r="M152" s="2" t="s">
        <v>163</v>
      </c>
      <c r="N152" s="2">
        <f>IF(O152&gt;=90%,5,IF(O152&gt;=80%,4,IF(O152&gt;=70%,3,IF(O152&gt;=60%,2,1))))</f>
        <v>3</v>
      </c>
      <c r="O152" s="3">
        <v>0.71</v>
      </c>
      <c r="P152" t="s">
        <v>69</v>
      </c>
      <c r="Q152" t="s">
        <v>58</v>
      </c>
      <c r="R152">
        <v>19</v>
      </c>
      <c r="S152">
        <v>7</v>
      </c>
    </row>
    <row r="153" spans="1:19" x14ac:dyDescent="0.3">
      <c r="A153" t="s">
        <v>385</v>
      </c>
      <c r="B153" t="s">
        <v>386</v>
      </c>
      <c r="C153" t="str">
        <f t="shared" si="8"/>
        <v>Male</v>
      </c>
      <c r="D153" t="s">
        <v>95</v>
      </c>
      <c r="E153">
        <f t="shared" si="9"/>
        <v>47</v>
      </c>
      <c r="F153">
        <v>47</v>
      </c>
      <c r="G153" t="s">
        <v>108</v>
      </c>
      <c r="H153" t="s">
        <v>109</v>
      </c>
      <c r="I153" t="s">
        <v>87</v>
      </c>
      <c r="J153">
        <f t="shared" si="10"/>
        <v>29</v>
      </c>
      <c r="K153">
        <v>29</v>
      </c>
      <c r="L153" s="5" t="str">
        <f t="shared" si="11"/>
        <v>$40</v>
      </c>
      <c r="M153" s="2" t="s">
        <v>38</v>
      </c>
      <c r="N153" s="2">
        <f>IF(O153&gt;=90%,5,IF(O153&gt;=80%,4,IF(O153&gt;=70%,3,IF(O153&gt;=60%,2,1))))</f>
        <v>5</v>
      </c>
      <c r="O153" s="3">
        <v>0.95</v>
      </c>
      <c r="P153" t="s">
        <v>19</v>
      </c>
      <c r="Q153" t="s">
        <v>33</v>
      </c>
      <c r="R153">
        <v>11</v>
      </c>
      <c r="S153">
        <v>8</v>
      </c>
    </row>
    <row r="154" spans="1:19" x14ac:dyDescent="0.3">
      <c r="A154" t="s">
        <v>387</v>
      </c>
      <c r="B154" t="s">
        <v>388</v>
      </c>
      <c r="C154" t="str">
        <f t="shared" si="8"/>
        <v>Male</v>
      </c>
      <c r="D154" t="s">
        <v>90</v>
      </c>
      <c r="E154">
        <f t="shared" si="9"/>
        <v>60</v>
      </c>
      <c r="F154">
        <v>60</v>
      </c>
      <c r="G154" t="s">
        <v>104</v>
      </c>
      <c r="H154" t="s">
        <v>105</v>
      </c>
      <c r="I154" t="s">
        <v>37</v>
      </c>
      <c r="J154">
        <f t="shared" si="10"/>
        <v>15</v>
      </c>
      <c r="K154">
        <v>15</v>
      </c>
      <c r="L154" s="5">
        <f t="shared" si="11"/>
        <v>100</v>
      </c>
      <c r="M154" s="2">
        <v>100</v>
      </c>
      <c r="N154" s="2">
        <f>IF(O154&gt;=90%,5,IF(O154&gt;=80%,4,IF(O154&gt;=70%,3,IF(O154&gt;=60%,2,1))))</f>
        <v>4</v>
      </c>
      <c r="O154" s="3">
        <v>0.8</v>
      </c>
      <c r="P154" t="s">
        <v>46</v>
      </c>
      <c r="Q154" t="s">
        <v>33</v>
      </c>
      <c r="R154">
        <v>8</v>
      </c>
      <c r="S154">
        <v>14</v>
      </c>
    </row>
    <row r="155" spans="1:19" x14ac:dyDescent="0.3">
      <c r="A155" t="s">
        <v>389</v>
      </c>
      <c r="B155" t="s">
        <v>390</v>
      </c>
      <c r="C155" t="str">
        <f t="shared" si="8"/>
        <v>Female</v>
      </c>
      <c r="D155" t="s">
        <v>23</v>
      </c>
      <c r="E155">
        <f t="shared" si="9"/>
        <v>43</v>
      </c>
      <c r="F155">
        <v>43</v>
      </c>
      <c r="G155" t="s">
        <v>16</v>
      </c>
      <c r="H155" t="s">
        <v>17</v>
      </c>
      <c r="I155" t="s">
        <v>52</v>
      </c>
      <c r="J155">
        <f t="shared" si="10"/>
        <v>9</v>
      </c>
      <c r="K155">
        <v>9</v>
      </c>
      <c r="L155" s="5" t="str">
        <f t="shared" si="11"/>
        <v>$20</v>
      </c>
      <c r="M155" s="2" t="s">
        <v>117</v>
      </c>
      <c r="N155" s="2">
        <f>IF(O155&gt;=90%,5,IF(O155&gt;=80%,4,IF(O155&gt;=70%,3,IF(O155&gt;=60%,2,1))))</f>
        <v>1</v>
      </c>
      <c r="O155" s="3">
        <v>0.5</v>
      </c>
      <c r="P155" t="s">
        <v>65</v>
      </c>
      <c r="Q155" t="s">
        <v>58</v>
      </c>
      <c r="R155">
        <v>12</v>
      </c>
      <c r="S155">
        <v>5</v>
      </c>
    </row>
    <row r="156" spans="1:19" x14ac:dyDescent="0.3">
      <c r="A156" t="s">
        <v>391</v>
      </c>
      <c r="B156" t="s">
        <v>392</v>
      </c>
      <c r="C156" t="str">
        <f t="shared" si="8"/>
        <v>Male</v>
      </c>
      <c r="D156" t="s">
        <v>95</v>
      </c>
      <c r="E156">
        <f t="shared" si="9"/>
        <v>56</v>
      </c>
      <c r="F156">
        <v>56</v>
      </c>
      <c r="G156" t="s">
        <v>147</v>
      </c>
      <c r="H156" t="s">
        <v>148</v>
      </c>
      <c r="I156" t="s">
        <v>52</v>
      </c>
      <c r="J156" s="4">
        <f t="shared" si="10"/>
        <v>9.7424242424242422</v>
      </c>
      <c r="L156" s="5">
        <f t="shared" si="11"/>
        <v>100</v>
      </c>
      <c r="M156" s="2">
        <v>100</v>
      </c>
      <c r="N156" s="2">
        <f>IF(O156&gt;=90%,5,IF(O156&gt;=80%,4,IF(O156&gt;=70%,3,IF(O156&gt;=60%,2,1))))</f>
        <v>2</v>
      </c>
      <c r="O156" s="3">
        <v>0.62</v>
      </c>
      <c r="P156" t="s">
        <v>65</v>
      </c>
      <c r="Q156" t="s">
        <v>58</v>
      </c>
      <c r="R156">
        <v>4</v>
      </c>
      <c r="S156">
        <v>1</v>
      </c>
    </row>
    <row r="157" spans="1:19" x14ac:dyDescent="0.3">
      <c r="A157" t="s">
        <v>393</v>
      </c>
      <c r="B157" t="s">
        <v>394</v>
      </c>
      <c r="C157" t="str">
        <f t="shared" si="8"/>
        <v>Male</v>
      </c>
      <c r="D157" t="s">
        <v>30</v>
      </c>
      <c r="E157">
        <f t="shared" si="9"/>
        <v>42</v>
      </c>
      <c r="F157">
        <v>42</v>
      </c>
      <c r="G157" t="s">
        <v>120</v>
      </c>
      <c r="H157" t="s">
        <v>121</v>
      </c>
      <c r="I157" t="s">
        <v>87</v>
      </c>
      <c r="J157">
        <f t="shared" si="10"/>
        <v>2</v>
      </c>
      <c r="K157">
        <v>2</v>
      </c>
      <c r="L157" s="5" t="str">
        <f t="shared" si="11"/>
        <v>$50</v>
      </c>
      <c r="M157" s="2" t="s">
        <v>64</v>
      </c>
      <c r="N157" s="2">
        <f>IF(O157&gt;=90%,5,IF(O157&gt;=80%,4,IF(O157&gt;=70%,3,IF(O157&gt;=60%,2,1))))</f>
        <v>5</v>
      </c>
      <c r="O157" s="3">
        <v>0.95</v>
      </c>
      <c r="P157" t="s">
        <v>19</v>
      </c>
      <c r="Q157" t="s">
        <v>27</v>
      </c>
      <c r="R157">
        <v>2</v>
      </c>
      <c r="S157">
        <v>3</v>
      </c>
    </row>
    <row r="158" spans="1:19" x14ac:dyDescent="0.3">
      <c r="A158" t="s">
        <v>395</v>
      </c>
      <c r="B158" t="s">
        <v>396</v>
      </c>
      <c r="C158" t="str">
        <f t="shared" si="8"/>
        <v>Female</v>
      </c>
      <c r="D158" t="s">
        <v>77</v>
      </c>
      <c r="E158">
        <f t="shared" si="9"/>
        <v>20</v>
      </c>
      <c r="F158">
        <v>20</v>
      </c>
      <c r="G158" t="s">
        <v>183</v>
      </c>
      <c r="H158" t="s">
        <v>73</v>
      </c>
      <c r="I158" t="s">
        <v>32</v>
      </c>
      <c r="J158">
        <f t="shared" si="10"/>
        <v>0</v>
      </c>
      <c r="K158">
        <v>0</v>
      </c>
      <c r="L158" s="5">
        <f t="shared" si="11"/>
        <v>40</v>
      </c>
      <c r="M158" s="2">
        <v>40</v>
      </c>
      <c r="N158" s="2">
        <f>IF(O158&gt;=90%,5,IF(O158&gt;=80%,4,IF(O158&gt;=70%,3,IF(O158&gt;=60%,2,1))))</f>
        <v>3</v>
      </c>
      <c r="O158" s="3">
        <v>0.79</v>
      </c>
      <c r="P158" t="s">
        <v>19</v>
      </c>
      <c r="Q158" t="s">
        <v>33</v>
      </c>
      <c r="R158">
        <v>4</v>
      </c>
      <c r="S158">
        <v>2</v>
      </c>
    </row>
    <row r="159" spans="1:19" x14ac:dyDescent="0.3">
      <c r="A159" t="s">
        <v>397</v>
      </c>
      <c r="B159" t="s">
        <v>398</v>
      </c>
      <c r="C159" t="str">
        <f t="shared" si="8"/>
        <v>Female</v>
      </c>
      <c r="D159" t="s">
        <v>39</v>
      </c>
      <c r="E159">
        <f t="shared" si="9"/>
        <v>47</v>
      </c>
      <c r="F159">
        <v>47</v>
      </c>
      <c r="G159" t="s">
        <v>50</v>
      </c>
      <c r="H159" t="s">
        <v>51</v>
      </c>
      <c r="I159" t="s">
        <v>74</v>
      </c>
      <c r="J159">
        <f t="shared" si="10"/>
        <v>12</v>
      </c>
      <c r="K159">
        <v>12</v>
      </c>
      <c r="L159" s="5">
        <f t="shared" si="11"/>
        <v>40</v>
      </c>
      <c r="M159" s="2">
        <v>40</v>
      </c>
      <c r="N159" s="2">
        <f>IF(O159&gt;=90%,5,IF(O159&gt;=80%,4,IF(O159&gt;=70%,3,IF(O159&gt;=60%,2,1))))</f>
        <v>2</v>
      </c>
      <c r="O159" s="3">
        <v>0.62</v>
      </c>
      <c r="P159" t="s">
        <v>69</v>
      </c>
      <c r="Q159" t="s">
        <v>20</v>
      </c>
      <c r="R159">
        <v>15</v>
      </c>
      <c r="S159">
        <v>10</v>
      </c>
    </row>
    <row r="160" spans="1:19" x14ac:dyDescent="0.3">
      <c r="A160" t="s">
        <v>399</v>
      </c>
      <c r="B160" t="s">
        <v>400</v>
      </c>
      <c r="C160" t="str">
        <f t="shared" si="8"/>
        <v>Male</v>
      </c>
      <c r="D160" t="s">
        <v>49</v>
      </c>
      <c r="E160">
        <f t="shared" si="9"/>
        <v>41</v>
      </c>
      <c r="G160" t="s">
        <v>72</v>
      </c>
      <c r="H160" t="s">
        <v>73</v>
      </c>
      <c r="I160" t="s">
        <v>52</v>
      </c>
      <c r="J160">
        <f t="shared" si="10"/>
        <v>12</v>
      </c>
      <c r="K160">
        <v>12</v>
      </c>
      <c r="L160" s="5" t="str">
        <f t="shared" si="11"/>
        <v>$30</v>
      </c>
      <c r="M160" s="2" t="s">
        <v>45</v>
      </c>
      <c r="N160" s="2">
        <f>IF(O160&gt;=90%,5,IF(O160&gt;=80%,4,IF(O160&gt;=70%,3,IF(O160&gt;=60%,2,1))))</f>
        <v>2</v>
      </c>
      <c r="O160" s="3">
        <v>0.68</v>
      </c>
      <c r="P160" t="s">
        <v>65</v>
      </c>
      <c r="Q160" t="s">
        <v>58</v>
      </c>
      <c r="R160">
        <v>15</v>
      </c>
      <c r="S160">
        <v>11</v>
      </c>
    </row>
    <row r="161" spans="1:19" x14ac:dyDescent="0.3">
      <c r="A161" t="s">
        <v>401</v>
      </c>
      <c r="B161" t="s">
        <v>402</v>
      </c>
      <c r="C161" t="str">
        <f t="shared" si="8"/>
        <v>Male</v>
      </c>
      <c r="D161" t="s">
        <v>90</v>
      </c>
      <c r="E161">
        <f t="shared" si="9"/>
        <v>56</v>
      </c>
      <c r="F161">
        <v>56</v>
      </c>
      <c r="G161" t="s">
        <v>50</v>
      </c>
      <c r="H161" t="s">
        <v>51</v>
      </c>
      <c r="I161" t="s">
        <v>87</v>
      </c>
      <c r="J161">
        <f t="shared" si="10"/>
        <v>15</v>
      </c>
      <c r="K161">
        <v>15</v>
      </c>
      <c r="L161" s="5" t="str">
        <f t="shared" si="11"/>
        <v>$75</v>
      </c>
      <c r="M161" s="2" t="s">
        <v>163</v>
      </c>
      <c r="N161" s="2">
        <f>IF(O161&gt;=90%,5,IF(O161&gt;=80%,4,IF(O161&gt;=70%,3,IF(O161&gt;=60%,2,1))))</f>
        <v>1</v>
      </c>
      <c r="O161" s="3">
        <v>0.5</v>
      </c>
      <c r="P161" t="s">
        <v>46</v>
      </c>
      <c r="Q161" t="s">
        <v>27</v>
      </c>
      <c r="R161">
        <v>9</v>
      </c>
      <c r="S161">
        <v>9</v>
      </c>
    </row>
    <row r="162" spans="1:19" x14ac:dyDescent="0.3">
      <c r="A162" t="s">
        <v>403</v>
      </c>
      <c r="B162" t="s">
        <v>404</v>
      </c>
      <c r="C162" t="str">
        <f t="shared" si="8"/>
        <v>Male</v>
      </c>
      <c r="D162" t="s">
        <v>95</v>
      </c>
      <c r="E162">
        <f t="shared" si="9"/>
        <v>59</v>
      </c>
      <c r="F162">
        <v>59</v>
      </c>
      <c r="G162" t="s">
        <v>68</v>
      </c>
      <c r="H162" t="s">
        <v>25</v>
      </c>
      <c r="I162" t="s">
        <v>87</v>
      </c>
      <c r="J162">
        <f t="shared" si="10"/>
        <v>29</v>
      </c>
      <c r="K162">
        <v>29</v>
      </c>
      <c r="L162" s="5" t="str">
        <f t="shared" si="11"/>
        <v>$75</v>
      </c>
      <c r="M162" s="2" t="s">
        <v>163</v>
      </c>
      <c r="N162" s="2">
        <f>IF(O162&gt;=90%,5,IF(O162&gt;=80%,4,IF(O162&gt;=70%,3,IF(O162&gt;=60%,2,1))))</f>
        <v>4</v>
      </c>
      <c r="O162" s="3">
        <v>0.8</v>
      </c>
      <c r="P162" t="s">
        <v>19</v>
      </c>
      <c r="Q162" t="s">
        <v>20</v>
      </c>
      <c r="R162">
        <v>19</v>
      </c>
      <c r="S162">
        <v>7</v>
      </c>
    </row>
    <row r="163" spans="1:19" x14ac:dyDescent="0.3">
      <c r="A163" t="s">
        <v>405</v>
      </c>
      <c r="B163" t="s">
        <v>406</v>
      </c>
      <c r="C163" t="str">
        <f t="shared" si="8"/>
        <v>Male</v>
      </c>
      <c r="D163" t="s">
        <v>61</v>
      </c>
      <c r="E163">
        <f t="shared" si="9"/>
        <v>56</v>
      </c>
      <c r="F163">
        <v>56</v>
      </c>
      <c r="G163" t="s">
        <v>83</v>
      </c>
      <c r="H163" t="s">
        <v>84</v>
      </c>
      <c r="I163" t="s">
        <v>78</v>
      </c>
      <c r="J163">
        <f t="shared" si="10"/>
        <v>15</v>
      </c>
      <c r="K163">
        <v>15</v>
      </c>
      <c r="L163" s="5">
        <f t="shared" si="11"/>
        <v>40</v>
      </c>
      <c r="M163" s="2">
        <v>40</v>
      </c>
      <c r="N163" s="2">
        <f>IF(O163&gt;=90%,5,IF(O163&gt;=80%,4,IF(O163&gt;=70%,3,IF(O163&gt;=60%,2,1))))</f>
        <v>5</v>
      </c>
      <c r="O163" s="3">
        <v>0.92</v>
      </c>
      <c r="P163" t="s">
        <v>46</v>
      </c>
      <c r="Q163" t="s">
        <v>33</v>
      </c>
      <c r="R163">
        <v>14</v>
      </c>
      <c r="S163">
        <v>9</v>
      </c>
    </row>
    <row r="164" spans="1:19" x14ac:dyDescent="0.3">
      <c r="A164" t="s">
        <v>407</v>
      </c>
      <c r="B164" t="s">
        <v>408</v>
      </c>
      <c r="C164" t="str">
        <f t="shared" si="8"/>
        <v>Female</v>
      </c>
      <c r="D164" t="s">
        <v>39</v>
      </c>
      <c r="E164">
        <f t="shared" si="9"/>
        <v>31</v>
      </c>
      <c r="F164">
        <v>31</v>
      </c>
      <c r="G164" t="s">
        <v>147</v>
      </c>
      <c r="H164" t="s">
        <v>148</v>
      </c>
      <c r="I164" t="s">
        <v>37</v>
      </c>
      <c r="J164" s="4">
        <f t="shared" si="10"/>
        <v>12.357142857142858</v>
      </c>
      <c r="L164" s="5" t="str">
        <f t="shared" si="11"/>
        <v>$75</v>
      </c>
      <c r="M164" s="2" t="s">
        <v>163</v>
      </c>
      <c r="N164" s="2">
        <f>IF(O164&gt;=90%,5,IF(O164&gt;=80%,4,IF(O164&gt;=70%,3,IF(O164&gt;=60%,2,1))))</f>
        <v>2</v>
      </c>
      <c r="O164" s="3">
        <v>0.65</v>
      </c>
      <c r="P164" t="s">
        <v>46</v>
      </c>
      <c r="Q164" t="s">
        <v>27</v>
      </c>
      <c r="R164">
        <v>1</v>
      </c>
      <c r="S164">
        <v>1</v>
      </c>
    </row>
    <row r="165" spans="1:19" x14ac:dyDescent="0.3">
      <c r="A165" t="s">
        <v>409</v>
      </c>
      <c r="B165" t="s">
        <v>410</v>
      </c>
      <c r="C165" t="str">
        <f t="shared" si="8"/>
        <v>Male</v>
      </c>
      <c r="D165" t="s">
        <v>49</v>
      </c>
      <c r="E165">
        <f t="shared" si="9"/>
        <v>60</v>
      </c>
      <c r="F165">
        <v>60</v>
      </c>
      <c r="G165" t="s">
        <v>108</v>
      </c>
      <c r="H165" t="s">
        <v>109</v>
      </c>
      <c r="I165" t="s">
        <v>26</v>
      </c>
      <c r="J165">
        <f t="shared" si="10"/>
        <v>33</v>
      </c>
      <c r="K165">
        <v>33</v>
      </c>
      <c r="L165" s="5">
        <f t="shared" si="11"/>
        <v>40</v>
      </c>
      <c r="M165" s="2">
        <v>40</v>
      </c>
      <c r="N165" s="2">
        <f>IF(O165&gt;=90%,5,IF(O165&gt;=80%,4,IF(O165&gt;=70%,3,IF(O165&gt;=60%,2,1))))</f>
        <v>4</v>
      </c>
      <c r="O165" s="3">
        <v>0.87</v>
      </c>
      <c r="P165" t="s">
        <v>65</v>
      </c>
      <c r="Q165" t="s">
        <v>58</v>
      </c>
      <c r="R165">
        <v>13</v>
      </c>
      <c r="S165">
        <v>10</v>
      </c>
    </row>
    <row r="166" spans="1:19" x14ac:dyDescent="0.3">
      <c r="A166" t="s">
        <v>411</v>
      </c>
      <c r="B166" t="s">
        <v>412</v>
      </c>
      <c r="C166" t="str">
        <f t="shared" si="8"/>
        <v>Female</v>
      </c>
      <c r="D166" t="s">
        <v>23</v>
      </c>
      <c r="E166">
        <f t="shared" si="9"/>
        <v>31</v>
      </c>
      <c r="F166">
        <v>31</v>
      </c>
      <c r="G166" t="s">
        <v>124</v>
      </c>
      <c r="H166" t="s">
        <v>25</v>
      </c>
      <c r="I166" t="s">
        <v>37</v>
      </c>
      <c r="J166">
        <f t="shared" si="10"/>
        <v>10</v>
      </c>
      <c r="K166">
        <v>10</v>
      </c>
      <c r="L166" s="5">
        <f t="shared" si="11"/>
        <v>75</v>
      </c>
      <c r="M166" s="2">
        <v>75</v>
      </c>
      <c r="N166" s="2">
        <f>IF(O166&gt;=90%,5,IF(O166&gt;=80%,4,IF(O166&gt;=70%,3,IF(O166&gt;=60%,2,1))))</f>
        <v>3</v>
      </c>
      <c r="O166" s="3">
        <v>0.7</v>
      </c>
      <c r="P166" t="s">
        <v>65</v>
      </c>
      <c r="Q166" t="s">
        <v>20</v>
      </c>
      <c r="R166">
        <v>11</v>
      </c>
      <c r="S166">
        <v>9</v>
      </c>
    </row>
    <row r="167" spans="1:19" x14ac:dyDescent="0.3">
      <c r="A167" t="s">
        <v>413</v>
      </c>
      <c r="B167" t="s">
        <v>414</v>
      </c>
      <c r="C167" t="str">
        <f t="shared" si="8"/>
        <v>Male</v>
      </c>
      <c r="D167" t="s">
        <v>61</v>
      </c>
      <c r="E167">
        <f t="shared" si="9"/>
        <v>60</v>
      </c>
      <c r="F167">
        <v>60</v>
      </c>
      <c r="G167" t="s">
        <v>72</v>
      </c>
      <c r="H167" t="s">
        <v>73</v>
      </c>
      <c r="I167" t="s">
        <v>78</v>
      </c>
      <c r="J167">
        <f t="shared" si="10"/>
        <v>20</v>
      </c>
      <c r="K167">
        <v>20</v>
      </c>
      <c r="L167" s="5">
        <f t="shared" si="11"/>
        <v>40</v>
      </c>
      <c r="M167" s="2">
        <v>40</v>
      </c>
      <c r="N167" s="2">
        <f>IF(O167&gt;=90%,5,IF(O167&gt;=80%,4,IF(O167&gt;=70%,3,IF(O167&gt;=60%,2,1))))</f>
        <v>4</v>
      </c>
      <c r="O167" s="3">
        <v>0.87</v>
      </c>
      <c r="P167" t="s">
        <v>19</v>
      </c>
      <c r="Q167" t="s">
        <v>58</v>
      </c>
      <c r="R167">
        <v>18</v>
      </c>
      <c r="S167">
        <v>17</v>
      </c>
    </row>
    <row r="168" spans="1:19" x14ac:dyDescent="0.3">
      <c r="A168" t="s">
        <v>415</v>
      </c>
      <c r="B168" t="s">
        <v>416</v>
      </c>
      <c r="C168" t="str">
        <f t="shared" si="8"/>
        <v>Male</v>
      </c>
      <c r="D168" t="s">
        <v>61</v>
      </c>
      <c r="E168">
        <f t="shared" si="9"/>
        <v>46</v>
      </c>
      <c r="F168">
        <v>46</v>
      </c>
      <c r="G168" t="s">
        <v>131</v>
      </c>
      <c r="H168" t="s">
        <v>132</v>
      </c>
      <c r="I168" t="s">
        <v>87</v>
      </c>
      <c r="J168">
        <f t="shared" si="10"/>
        <v>23</v>
      </c>
      <c r="K168">
        <v>23</v>
      </c>
      <c r="L168" s="5">
        <f t="shared" si="11"/>
        <v>20</v>
      </c>
      <c r="M168" s="2">
        <v>20</v>
      </c>
      <c r="N168" s="2">
        <f>IF(O168&gt;=90%,5,IF(O168&gt;=80%,4,IF(O168&gt;=70%,3,IF(O168&gt;=60%,2,1))))</f>
        <v>3</v>
      </c>
      <c r="O168" s="3">
        <v>0.72</v>
      </c>
      <c r="P168" t="s">
        <v>65</v>
      </c>
      <c r="Q168" t="s">
        <v>33</v>
      </c>
      <c r="R168">
        <v>19</v>
      </c>
      <c r="S168">
        <v>5</v>
      </c>
    </row>
    <row r="169" spans="1:19" x14ac:dyDescent="0.3">
      <c r="A169" t="s">
        <v>417</v>
      </c>
      <c r="B169" t="s">
        <v>418</v>
      </c>
      <c r="C169" t="str">
        <f t="shared" si="8"/>
        <v>Female</v>
      </c>
      <c r="D169" t="s">
        <v>36</v>
      </c>
      <c r="E169">
        <f t="shared" si="9"/>
        <v>41</v>
      </c>
      <c r="G169" t="s">
        <v>42</v>
      </c>
      <c r="H169" t="s">
        <v>43</v>
      </c>
      <c r="I169" t="s">
        <v>18</v>
      </c>
      <c r="J169" s="4">
        <f t="shared" si="10"/>
        <v>10.380952380952381</v>
      </c>
      <c r="L169" s="5">
        <f t="shared" si="11"/>
        <v>40</v>
      </c>
      <c r="M169" s="2">
        <v>40</v>
      </c>
      <c r="N169" s="2">
        <f>IF(O169&gt;=90%,5,IF(O169&gt;=80%,4,IF(O169&gt;=70%,3,IF(O169&gt;=60%,2,1))))</f>
        <v>4</v>
      </c>
      <c r="O169" s="3">
        <v>0.8</v>
      </c>
      <c r="P169" t="s">
        <v>65</v>
      </c>
      <c r="Q169" t="s">
        <v>20</v>
      </c>
      <c r="R169">
        <v>4</v>
      </c>
      <c r="S169">
        <v>1</v>
      </c>
    </row>
    <row r="170" spans="1:19" x14ac:dyDescent="0.3">
      <c r="A170" t="s">
        <v>419</v>
      </c>
      <c r="B170" t="s">
        <v>420</v>
      </c>
      <c r="C170" t="str">
        <f t="shared" si="8"/>
        <v>Male</v>
      </c>
      <c r="D170" t="s">
        <v>95</v>
      </c>
      <c r="E170">
        <f t="shared" si="9"/>
        <v>34</v>
      </c>
      <c r="F170">
        <v>34</v>
      </c>
      <c r="G170" t="s">
        <v>83</v>
      </c>
      <c r="H170" t="s">
        <v>84</v>
      </c>
      <c r="I170" t="s">
        <v>74</v>
      </c>
      <c r="J170">
        <f t="shared" si="10"/>
        <v>0</v>
      </c>
      <c r="K170">
        <v>0</v>
      </c>
      <c r="L170" s="5">
        <f t="shared" si="11"/>
        <v>20</v>
      </c>
      <c r="M170" s="2">
        <v>20</v>
      </c>
      <c r="N170" s="2">
        <f>IF(O170&gt;=90%,5,IF(O170&gt;=80%,4,IF(O170&gt;=70%,3,IF(O170&gt;=60%,2,1))))</f>
        <v>2</v>
      </c>
      <c r="O170" s="3">
        <v>0.66</v>
      </c>
      <c r="P170" t="s">
        <v>65</v>
      </c>
      <c r="Q170" t="s">
        <v>33</v>
      </c>
      <c r="R170">
        <v>1</v>
      </c>
      <c r="S170">
        <v>3</v>
      </c>
    </row>
    <row r="171" spans="1:19" x14ac:dyDescent="0.3">
      <c r="A171" t="s">
        <v>421</v>
      </c>
      <c r="B171" t="s">
        <v>422</v>
      </c>
      <c r="C171" t="str">
        <f t="shared" si="8"/>
        <v>Female</v>
      </c>
      <c r="D171" t="s">
        <v>15</v>
      </c>
      <c r="E171">
        <f t="shared" si="9"/>
        <v>42</v>
      </c>
      <c r="F171">
        <v>42</v>
      </c>
      <c r="G171" t="s">
        <v>42</v>
      </c>
      <c r="H171" t="s">
        <v>43</v>
      </c>
      <c r="I171" t="s">
        <v>32</v>
      </c>
      <c r="J171">
        <f t="shared" si="10"/>
        <v>7</v>
      </c>
      <c r="K171">
        <v>7</v>
      </c>
      <c r="L171" s="5" t="str">
        <f t="shared" si="11"/>
        <v>$40</v>
      </c>
      <c r="M171" s="2" t="s">
        <v>38</v>
      </c>
      <c r="N171" s="2">
        <f>IF(O171&gt;=90%,5,IF(O171&gt;=80%,4,IF(O171&gt;=70%,3,IF(O171&gt;=60%,2,1))))</f>
        <v>1</v>
      </c>
      <c r="O171" s="3">
        <v>0.5</v>
      </c>
      <c r="P171" t="s">
        <v>46</v>
      </c>
      <c r="Q171" t="s">
        <v>33</v>
      </c>
      <c r="R171">
        <v>14</v>
      </c>
      <c r="S171">
        <v>5</v>
      </c>
    </row>
    <row r="172" spans="1:19" x14ac:dyDescent="0.3">
      <c r="A172" t="s">
        <v>423</v>
      </c>
      <c r="B172" t="s">
        <v>424</v>
      </c>
      <c r="C172" t="str">
        <f t="shared" si="8"/>
        <v>Male</v>
      </c>
      <c r="D172" t="s">
        <v>90</v>
      </c>
      <c r="E172">
        <f t="shared" si="9"/>
        <v>31</v>
      </c>
      <c r="F172">
        <v>31</v>
      </c>
      <c r="G172" t="s">
        <v>68</v>
      </c>
      <c r="H172" t="s">
        <v>25</v>
      </c>
      <c r="I172" t="s">
        <v>52</v>
      </c>
      <c r="J172">
        <f t="shared" si="10"/>
        <v>4</v>
      </c>
      <c r="K172">
        <v>4</v>
      </c>
      <c r="L172" s="5" t="str">
        <f t="shared" si="11"/>
        <v>$75</v>
      </c>
      <c r="M172" s="2" t="s">
        <v>163</v>
      </c>
      <c r="N172" s="2">
        <f>IF(O172&gt;=90%,5,IF(O172&gt;=80%,4,IF(O172&gt;=70%,3,IF(O172&gt;=60%,2,1))))</f>
        <v>2</v>
      </c>
      <c r="O172" s="3">
        <v>0.64</v>
      </c>
      <c r="P172" t="s">
        <v>19</v>
      </c>
      <c r="Q172" t="s">
        <v>27</v>
      </c>
      <c r="R172">
        <v>4</v>
      </c>
      <c r="S172">
        <v>2</v>
      </c>
    </row>
    <row r="173" spans="1:19" x14ac:dyDescent="0.3">
      <c r="A173" t="s">
        <v>425</v>
      </c>
      <c r="B173" t="s">
        <v>426</v>
      </c>
      <c r="C173" t="str">
        <f t="shared" si="8"/>
        <v>Male</v>
      </c>
      <c r="D173" t="s">
        <v>30</v>
      </c>
      <c r="E173">
        <f t="shared" si="9"/>
        <v>29</v>
      </c>
      <c r="F173">
        <v>29</v>
      </c>
      <c r="G173" t="s">
        <v>104</v>
      </c>
      <c r="H173" t="s">
        <v>105</v>
      </c>
      <c r="I173" t="s">
        <v>74</v>
      </c>
      <c r="J173">
        <f t="shared" si="10"/>
        <v>9</v>
      </c>
      <c r="K173">
        <v>9</v>
      </c>
      <c r="L173" s="5">
        <f t="shared" si="11"/>
        <v>20</v>
      </c>
      <c r="M173" s="2">
        <v>20</v>
      </c>
      <c r="N173" s="2">
        <f>IF(O173&gt;=90%,5,IF(O173&gt;=80%,4,IF(O173&gt;=70%,3,IF(O173&gt;=60%,2,1))))</f>
        <v>2</v>
      </c>
      <c r="O173" s="3">
        <v>0.68</v>
      </c>
      <c r="P173" t="s">
        <v>69</v>
      </c>
      <c r="Q173" t="s">
        <v>58</v>
      </c>
      <c r="R173">
        <v>11</v>
      </c>
      <c r="S173">
        <v>5</v>
      </c>
    </row>
    <row r="174" spans="1:19" x14ac:dyDescent="0.3">
      <c r="A174" t="s">
        <v>427</v>
      </c>
      <c r="B174" t="s">
        <v>428</v>
      </c>
      <c r="C174" t="str">
        <f t="shared" si="8"/>
        <v>Female</v>
      </c>
      <c r="D174" t="s">
        <v>39</v>
      </c>
      <c r="E174">
        <f t="shared" si="9"/>
        <v>57</v>
      </c>
      <c r="F174">
        <v>57</v>
      </c>
      <c r="G174" t="s">
        <v>24</v>
      </c>
      <c r="H174" t="s">
        <v>25</v>
      </c>
      <c r="I174" t="s">
        <v>32</v>
      </c>
      <c r="J174">
        <f t="shared" si="10"/>
        <v>17</v>
      </c>
      <c r="K174">
        <v>17</v>
      </c>
      <c r="L174" s="5">
        <f t="shared" si="11"/>
        <v>20</v>
      </c>
      <c r="M174" s="2">
        <v>20</v>
      </c>
      <c r="N174" s="2">
        <f>IF(O174&gt;=90%,5,IF(O174&gt;=80%,4,IF(O174&gt;=70%,3,IF(O174&gt;=60%,2,1))))</f>
        <v>2</v>
      </c>
      <c r="O174" s="3">
        <v>0.63</v>
      </c>
      <c r="P174" t="s">
        <v>46</v>
      </c>
      <c r="Q174" t="s">
        <v>20</v>
      </c>
      <c r="R174">
        <v>10</v>
      </c>
      <c r="S174">
        <v>4</v>
      </c>
    </row>
    <row r="175" spans="1:19" x14ac:dyDescent="0.3">
      <c r="A175" t="s">
        <v>429</v>
      </c>
      <c r="B175" t="s">
        <v>430</v>
      </c>
      <c r="C175" t="str">
        <f t="shared" si="8"/>
        <v>Male</v>
      </c>
      <c r="D175" t="s">
        <v>61</v>
      </c>
      <c r="E175">
        <f t="shared" si="9"/>
        <v>47</v>
      </c>
      <c r="F175">
        <v>47</v>
      </c>
      <c r="G175" t="s">
        <v>91</v>
      </c>
      <c r="H175" t="s">
        <v>92</v>
      </c>
      <c r="I175" t="s">
        <v>87</v>
      </c>
      <c r="J175">
        <f t="shared" si="10"/>
        <v>8</v>
      </c>
      <c r="K175">
        <v>8</v>
      </c>
      <c r="L175" s="5">
        <f t="shared" si="11"/>
        <v>20</v>
      </c>
      <c r="M175" s="2">
        <v>20</v>
      </c>
      <c r="N175" s="2">
        <f>IF(O175&gt;=90%,5,IF(O175&gt;=80%,4,IF(O175&gt;=70%,3,IF(O175&gt;=60%,2,1))))</f>
        <v>3</v>
      </c>
      <c r="O175" s="3">
        <v>0.72</v>
      </c>
      <c r="P175" t="s">
        <v>65</v>
      </c>
      <c r="Q175" t="s">
        <v>33</v>
      </c>
      <c r="R175">
        <v>12</v>
      </c>
      <c r="S175">
        <v>10</v>
      </c>
    </row>
    <row r="176" spans="1:19" x14ac:dyDescent="0.3">
      <c r="A176" t="s">
        <v>431</v>
      </c>
      <c r="B176" t="s">
        <v>432</v>
      </c>
      <c r="C176" t="str">
        <f t="shared" si="8"/>
        <v>Male</v>
      </c>
      <c r="D176" t="s">
        <v>61</v>
      </c>
      <c r="E176">
        <f t="shared" si="9"/>
        <v>47</v>
      </c>
      <c r="F176">
        <v>47</v>
      </c>
      <c r="G176" t="s">
        <v>147</v>
      </c>
      <c r="H176" t="s">
        <v>148</v>
      </c>
      <c r="I176" t="s">
        <v>44</v>
      </c>
      <c r="J176">
        <f t="shared" si="10"/>
        <v>14</v>
      </c>
      <c r="K176">
        <v>14</v>
      </c>
      <c r="L176" s="5" t="str">
        <f t="shared" si="11"/>
        <v>$30</v>
      </c>
      <c r="M176" s="2" t="s">
        <v>45</v>
      </c>
      <c r="N176" s="2">
        <f>IF(O176&gt;=90%,5,IF(O176&gt;=80%,4,IF(O176&gt;=70%,3,IF(O176&gt;=60%,2,1))))</f>
        <v>4</v>
      </c>
      <c r="O176" s="3">
        <v>0.86</v>
      </c>
      <c r="P176" t="s">
        <v>46</v>
      </c>
      <c r="Q176" t="s">
        <v>33</v>
      </c>
      <c r="R176">
        <v>14</v>
      </c>
      <c r="S176">
        <v>3</v>
      </c>
    </row>
    <row r="177" spans="1:19" x14ac:dyDescent="0.3">
      <c r="A177" t="s">
        <v>433</v>
      </c>
      <c r="B177" t="s">
        <v>434</v>
      </c>
      <c r="C177" t="str">
        <f t="shared" si="8"/>
        <v>Female</v>
      </c>
      <c r="D177" t="s">
        <v>23</v>
      </c>
      <c r="E177">
        <f t="shared" si="9"/>
        <v>45</v>
      </c>
      <c r="F177">
        <v>45</v>
      </c>
      <c r="G177" t="s">
        <v>131</v>
      </c>
      <c r="H177" t="s">
        <v>132</v>
      </c>
      <c r="I177" t="s">
        <v>32</v>
      </c>
      <c r="J177">
        <f t="shared" si="10"/>
        <v>21</v>
      </c>
      <c r="K177">
        <v>21</v>
      </c>
      <c r="L177" s="5" t="str">
        <f t="shared" si="11"/>
        <v>$30</v>
      </c>
      <c r="M177" s="2" t="s">
        <v>45</v>
      </c>
      <c r="N177" s="2">
        <f>IF(O177&gt;=90%,5,IF(O177&gt;=80%,4,IF(O177&gt;=70%,3,IF(O177&gt;=60%,2,1))))</f>
        <v>3</v>
      </c>
      <c r="O177" s="3">
        <v>0.73</v>
      </c>
      <c r="P177" t="s">
        <v>65</v>
      </c>
      <c r="Q177" t="s">
        <v>20</v>
      </c>
      <c r="R177">
        <v>15</v>
      </c>
      <c r="S177">
        <v>17</v>
      </c>
    </row>
    <row r="178" spans="1:19" x14ac:dyDescent="0.3">
      <c r="A178" t="s">
        <v>435</v>
      </c>
      <c r="B178" t="s">
        <v>436</v>
      </c>
      <c r="C178" t="str">
        <f t="shared" si="8"/>
        <v>Male</v>
      </c>
      <c r="D178" t="s">
        <v>49</v>
      </c>
      <c r="E178">
        <f t="shared" si="9"/>
        <v>24</v>
      </c>
      <c r="F178">
        <v>24</v>
      </c>
      <c r="G178" t="s">
        <v>62</v>
      </c>
      <c r="H178" t="s">
        <v>63</v>
      </c>
      <c r="I178" t="s">
        <v>110</v>
      </c>
      <c r="J178">
        <f t="shared" si="10"/>
        <v>1</v>
      </c>
      <c r="K178">
        <v>1</v>
      </c>
      <c r="L178" s="5" t="str">
        <f t="shared" si="11"/>
        <v>$30</v>
      </c>
      <c r="M178" s="2" t="s">
        <v>45</v>
      </c>
      <c r="N178" s="2">
        <f>IF(O178&gt;=90%,5,IF(O178&gt;=80%,4,IF(O178&gt;=70%,3,IF(O178&gt;=60%,2,1))))</f>
        <v>5</v>
      </c>
      <c r="O178" s="3">
        <v>0.95</v>
      </c>
      <c r="P178" t="s">
        <v>65</v>
      </c>
      <c r="Q178" t="s">
        <v>33</v>
      </c>
      <c r="R178">
        <v>3</v>
      </c>
      <c r="S178">
        <v>1</v>
      </c>
    </row>
    <row r="179" spans="1:19" x14ac:dyDescent="0.3">
      <c r="A179" t="s">
        <v>437</v>
      </c>
      <c r="B179" t="s">
        <v>438</v>
      </c>
      <c r="C179" t="str">
        <f t="shared" si="8"/>
        <v>Female</v>
      </c>
      <c r="D179" t="s">
        <v>23</v>
      </c>
      <c r="E179">
        <f t="shared" si="9"/>
        <v>31</v>
      </c>
      <c r="F179">
        <v>31</v>
      </c>
      <c r="G179" t="s">
        <v>72</v>
      </c>
      <c r="H179" t="s">
        <v>73</v>
      </c>
      <c r="I179" t="s">
        <v>26</v>
      </c>
      <c r="J179">
        <f t="shared" si="10"/>
        <v>12</v>
      </c>
      <c r="K179">
        <v>12</v>
      </c>
      <c r="L179" s="5">
        <f t="shared" si="11"/>
        <v>20</v>
      </c>
      <c r="M179" s="2">
        <v>20</v>
      </c>
      <c r="N179" s="2">
        <f>IF(O179&gt;=90%,5,IF(O179&gt;=80%,4,IF(O179&gt;=70%,3,IF(O179&gt;=60%,2,1))))</f>
        <v>5</v>
      </c>
      <c r="O179" s="3">
        <v>0.9</v>
      </c>
      <c r="P179" t="s">
        <v>46</v>
      </c>
      <c r="Q179" t="s">
        <v>27</v>
      </c>
      <c r="R179">
        <v>11</v>
      </c>
      <c r="S179">
        <v>6</v>
      </c>
    </row>
    <row r="180" spans="1:19" x14ac:dyDescent="0.3">
      <c r="A180" t="s">
        <v>439</v>
      </c>
      <c r="B180" t="s">
        <v>440</v>
      </c>
      <c r="C180" t="str">
        <f t="shared" si="8"/>
        <v>Female</v>
      </c>
      <c r="D180" t="s">
        <v>36</v>
      </c>
      <c r="E180">
        <f t="shared" si="9"/>
        <v>20</v>
      </c>
      <c r="F180">
        <v>20</v>
      </c>
      <c r="G180" t="s">
        <v>172</v>
      </c>
      <c r="H180" t="s">
        <v>73</v>
      </c>
      <c r="I180" t="s">
        <v>32</v>
      </c>
      <c r="J180">
        <f t="shared" si="10"/>
        <v>2</v>
      </c>
      <c r="K180">
        <v>2</v>
      </c>
      <c r="L180" s="5" t="str">
        <f t="shared" si="11"/>
        <v>$20</v>
      </c>
      <c r="M180" s="2" t="s">
        <v>117</v>
      </c>
      <c r="N180" s="2">
        <f>IF(O180&gt;=90%,5,IF(O180&gt;=80%,4,IF(O180&gt;=70%,3,IF(O180&gt;=60%,2,1))))</f>
        <v>3</v>
      </c>
      <c r="O180" s="3">
        <v>0.78</v>
      </c>
      <c r="P180" t="s">
        <v>19</v>
      </c>
      <c r="Q180" t="s">
        <v>27</v>
      </c>
      <c r="R180">
        <v>5</v>
      </c>
      <c r="S180">
        <v>1</v>
      </c>
    </row>
    <row r="181" spans="1:19" x14ac:dyDescent="0.3">
      <c r="A181" t="s">
        <v>441</v>
      </c>
      <c r="B181" t="s">
        <v>442</v>
      </c>
      <c r="C181" t="str">
        <f t="shared" si="8"/>
        <v>Male</v>
      </c>
      <c r="D181" t="s">
        <v>61</v>
      </c>
      <c r="E181">
        <f t="shared" si="9"/>
        <v>38</v>
      </c>
      <c r="F181">
        <v>38</v>
      </c>
      <c r="G181" t="s">
        <v>83</v>
      </c>
      <c r="H181" t="s">
        <v>84</v>
      </c>
      <c r="I181" t="s">
        <v>37</v>
      </c>
      <c r="J181">
        <f t="shared" si="10"/>
        <v>3</v>
      </c>
      <c r="K181">
        <v>3</v>
      </c>
      <c r="L181" s="5">
        <f t="shared" si="11"/>
        <v>30</v>
      </c>
      <c r="M181" s="2">
        <v>30</v>
      </c>
      <c r="N181" s="2">
        <f>IF(O181&gt;=90%,5,IF(O181&gt;=80%,4,IF(O181&gt;=70%,3,IF(O181&gt;=60%,2,1))))</f>
        <v>5</v>
      </c>
      <c r="O181" s="3">
        <v>0.97</v>
      </c>
      <c r="P181" t="s">
        <v>65</v>
      </c>
      <c r="Q181" t="s">
        <v>27</v>
      </c>
      <c r="R181">
        <v>3</v>
      </c>
      <c r="S181">
        <v>1</v>
      </c>
    </row>
    <row r="182" spans="1:19" x14ac:dyDescent="0.3">
      <c r="A182" t="s">
        <v>443</v>
      </c>
      <c r="B182" t="s">
        <v>444</v>
      </c>
      <c r="C182" t="str">
        <f t="shared" si="8"/>
        <v>Female</v>
      </c>
      <c r="D182" t="s">
        <v>39</v>
      </c>
      <c r="E182">
        <f t="shared" si="9"/>
        <v>33</v>
      </c>
      <c r="F182">
        <v>33</v>
      </c>
      <c r="G182" t="s">
        <v>31</v>
      </c>
      <c r="H182" t="s">
        <v>31</v>
      </c>
      <c r="I182" t="s">
        <v>74</v>
      </c>
      <c r="J182">
        <f t="shared" si="10"/>
        <v>11</v>
      </c>
      <c r="K182">
        <v>11</v>
      </c>
      <c r="L182" s="5">
        <f t="shared" si="11"/>
        <v>55.405982905982903</v>
      </c>
      <c r="N182" s="2">
        <f>IF(O182&gt;=90%,5,IF(O182&gt;=80%,4,IF(O182&gt;=70%,3,IF(O182&gt;=60%,2,1))))</f>
        <v>2</v>
      </c>
      <c r="O182" s="3">
        <v>0.65</v>
      </c>
      <c r="P182" t="s">
        <v>19</v>
      </c>
      <c r="Q182" t="s">
        <v>27</v>
      </c>
      <c r="R182">
        <v>12</v>
      </c>
      <c r="S182">
        <v>7</v>
      </c>
    </row>
    <row r="183" spans="1:19" x14ac:dyDescent="0.3">
      <c r="A183" t="s">
        <v>445</v>
      </c>
      <c r="B183" t="s">
        <v>446</v>
      </c>
      <c r="C183" t="str">
        <f t="shared" si="8"/>
        <v>Female</v>
      </c>
      <c r="D183" t="s">
        <v>36</v>
      </c>
      <c r="E183">
        <f t="shared" si="9"/>
        <v>31</v>
      </c>
      <c r="F183">
        <v>31</v>
      </c>
      <c r="G183" t="s">
        <v>24</v>
      </c>
      <c r="H183" t="s">
        <v>25</v>
      </c>
      <c r="I183" t="s">
        <v>37</v>
      </c>
      <c r="J183">
        <f t="shared" si="10"/>
        <v>4</v>
      </c>
      <c r="K183">
        <v>4</v>
      </c>
      <c r="L183" s="5">
        <f t="shared" si="11"/>
        <v>40</v>
      </c>
      <c r="M183" s="2">
        <v>40</v>
      </c>
      <c r="N183" s="2">
        <f>IF(O183&gt;=90%,5,IF(O183&gt;=80%,4,IF(O183&gt;=70%,3,IF(O183&gt;=60%,2,1))))</f>
        <v>3</v>
      </c>
      <c r="O183" s="3">
        <v>0.78</v>
      </c>
      <c r="P183" t="s">
        <v>69</v>
      </c>
      <c r="Q183" t="s">
        <v>33</v>
      </c>
      <c r="R183">
        <v>4</v>
      </c>
      <c r="S183">
        <v>1</v>
      </c>
    </row>
    <row r="184" spans="1:19" x14ac:dyDescent="0.3">
      <c r="A184" t="s">
        <v>447</v>
      </c>
      <c r="B184" t="s">
        <v>448</v>
      </c>
      <c r="C184" t="str">
        <f t="shared" si="8"/>
        <v>Male</v>
      </c>
      <c r="D184" t="s">
        <v>49</v>
      </c>
      <c r="E184">
        <f t="shared" si="9"/>
        <v>41</v>
      </c>
      <c r="F184">
        <v>41</v>
      </c>
      <c r="G184" t="s">
        <v>183</v>
      </c>
      <c r="H184" t="s">
        <v>73</v>
      </c>
      <c r="I184" t="s">
        <v>110</v>
      </c>
      <c r="J184">
        <f t="shared" si="10"/>
        <v>21</v>
      </c>
      <c r="K184">
        <v>21</v>
      </c>
      <c r="L184" s="5">
        <f t="shared" si="11"/>
        <v>50</v>
      </c>
      <c r="M184" s="2">
        <v>50</v>
      </c>
      <c r="N184" s="2">
        <f>IF(O184&gt;=90%,5,IF(O184&gt;=80%,4,IF(O184&gt;=70%,3,IF(O184&gt;=60%,2,1))))</f>
        <v>2</v>
      </c>
      <c r="O184" s="3">
        <v>0.65</v>
      </c>
      <c r="P184" t="s">
        <v>65</v>
      </c>
      <c r="Q184" t="s">
        <v>20</v>
      </c>
      <c r="R184">
        <v>20</v>
      </c>
      <c r="S184">
        <v>4</v>
      </c>
    </row>
    <row r="185" spans="1:19" x14ac:dyDescent="0.3">
      <c r="A185" t="s">
        <v>449</v>
      </c>
      <c r="B185" t="s">
        <v>450</v>
      </c>
      <c r="C185" t="str">
        <f t="shared" si="8"/>
        <v>Male</v>
      </c>
      <c r="D185" t="s">
        <v>61</v>
      </c>
      <c r="E185">
        <f t="shared" si="9"/>
        <v>54</v>
      </c>
      <c r="F185">
        <v>54</v>
      </c>
      <c r="G185" t="s">
        <v>62</v>
      </c>
      <c r="H185" t="s">
        <v>63</v>
      </c>
      <c r="I185" t="s">
        <v>37</v>
      </c>
      <c r="J185">
        <f t="shared" si="10"/>
        <v>0</v>
      </c>
      <c r="K185">
        <v>0</v>
      </c>
      <c r="L185" s="5" t="str">
        <f t="shared" si="11"/>
        <v>$20</v>
      </c>
      <c r="M185" s="2" t="s">
        <v>117</v>
      </c>
      <c r="N185" s="2">
        <f>IF(O185&gt;=90%,5,IF(O185&gt;=80%,4,IF(O185&gt;=70%,3,IF(O185&gt;=60%,2,1))))</f>
        <v>1</v>
      </c>
      <c r="O185" s="3">
        <v>0.5</v>
      </c>
      <c r="P185" t="s">
        <v>19</v>
      </c>
      <c r="Q185" t="s">
        <v>20</v>
      </c>
      <c r="R185">
        <v>2</v>
      </c>
      <c r="S185">
        <v>4</v>
      </c>
    </row>
    <row r="186" spans="1:19" x14ac:dyDescent="0.3">
      <c r="A186" t="s">
        <v>451</v>
      </c>
      <c r="B186" t="s">
        <v>452</v>
      </c>
      <c r="C186" t="str">
        <f t="shared" si="8"/>
        <v>Male</v>
      </c>
      <c r="D186" t="s">
        <v>30</v>
      </c>
      <c r="E186">
        <f t="shared" si="9"/>
        <v>50</v>
      </c>
      <c r="F186">
        <v>50</v>
      </c>
      <c r="G186" t="s">
        <v>172</v>
      </c>
      <c r="H186" t="s">
        <v>73</v>
      </c>
      <c r="I186" t="s">
        <v>52</v>
      </c>
      <c r="J186">
        <f t="shared" si="10"/>
        <v>6</v>
      </c>
      <c r="K186">
        <v>6</v>
      </c>
      <c r="L186" s="5">
        <f t="shared" si="11"/>
        <v>30</v>
      </c>
      <c r="M186" s="2">
        <v>30</v>
      </c>
      <c r="N186" s="2">
        <f>IF(O186&gt;=90%,5,IF(O186&gt;=80%,4,IF(O186&gt;=70%,3,IF(O186&gt;=60%,2,1))))</f>
        <v>5</v>
      </c>
      <c r="O186" s="3">
        <v>0.95</v>
      </c>
      <c r="P186" t="s">
        <v>19</v>
      </c>
      <c r="Q186" t="s">
        <v>20</v>
      </c>
      <c r="R186">
        <v>13</v>
      </c>
      <c r="S186">
        <v>2</v>
      </c>
    </row>
    <row r="187" spans="1:19" x14ac:dyDescent="0.3">
      <c r="A187" t="s">
        <v>453</v>
      </c>
      <c r="B187" t="s">
        <v>454</v>
      </c>
      <c r="C187" t="str">
        <f t="shared" si="8"/>
        <v>Male</v>
      </c>
      <c r="D187" t="s">
        <v>61</v>
      </c>
      <c r="E187">
        <f t="shared" si="9"/>
        <v>48</v>
      </c>
      <c r="F187">
        <v>48</v>
      </c>
      <c r="G187" t="s">
        <v>104</v>
      </c>
      <c r="H187" t="s">
        <v>105</v>
      </c>
      <c r="I187" t="s">
        <v>110</v>
      </c>
      <c r="J187">
        <f t="shared" si="10"/>
        <v>18</v>
      </c>
      <c r="K187">
        <v>18</v>
      </c>
      <c r="L187" s="5" t="str">
        <f t="shared" si="11"/>
        <v>$40</v>
      </c>
      <c r="M187" s="2" t="s">
        <v>38</v>
      </c>
      <c r="N187" s="2">
        <f>IF(O187&gt;=90%,5,IF(O187&gt;=80%,4,IF(O187&gt;=70%,3,IF(O187&gt;=60%,2,1))))</f>
        <v>4</v>
      </c>
      <c r="O187" s="3">
        <v>0.88</v>
      </c>
      <c r="P187" t="s">
        <v>69</v>
      </c>
      <c r="Q187" t="s">
        <v>20</v>
      </c>
      <c r="R187">
        <v>14</v>
      </c>
      <c r="S187">
        <v>2</v>
      </c>
    </row>
    <row r="188" spans="1:19" x14ac:dyDescent="0.3">
      <c r="A188" t="s">
        <v>455</v>
      </c>
      <c r="B188" t="s">
        <v>456</v>
      </c>
      <c r="C188" t="str">
        <f t="shared" si="8"/>
        <v>Female</v>
      </c>
      <c r="D188" t="s">
        <v>15</v>
      </c>
      <c r="E188">
        <f t="shared" si="9"/>
        <v>49</v>
      </c>
      <c r="F188">
        <v>49</v>
      </c>
      <c r="G188" t="s">
        <v>172</v>
      </c>
      <c r="H188" t="s">
        <v>73</v>
      </c>
      <c r="I188" t="s">
        <v>32</v>
      </c>
      <c r="J188" s="4">
        <f t="shared" si="10"/>
        <v>12.295081967213115</v>
      </c>
      <c r="L188" s="5">
        <f t="shared" si="11"/>
        <v>55.606060606060609</v>
      </c>
      <c r="N188" s="2">
        <f>IF(O188&gt;=90%,5,IF(O188&gt;=80%,4,IF(O188&gt;=70%,3,IF(O188&gt;=60%,2,1))))</f>
        <v>1</v>
      </c>
      <c r="O188" s="3">
        <v>0.5</v>
      </c>
      <c r="P188" t="s">
        <v>19</v>
      </c>
      <c r="Q188" t="s">
        <v>58</v>
      </c>
      <c r="R188">
        <v>5</v>
      </c>
      <c r="S188">
        <v>5</v>
      </c>
    </row>
    <row r="189" spans="1:19" x14ac:dyDescent="0.3">
      <c r="A189" t="s">
        <v>457</v>
      </c>
      <c r="B189" t="s">
        <v>458</v>
      </c>
      <c r="C189" t="str">
        <f t="shared" si="8"/>
        <v>Male</v>
      </c>
      <c r="D189" t="s">
        <v>95</v>
      </c>
      <c r="E189">
        <f t="shared" si="9"/>
        <v>21</v>
      </c>
      <c r="F189">
        <v>21</v>
      </c>
      <c r="G189" t="s">
        <v>108</v>
      </c>
      <c r="H189" t="s">
        <v>109</v>
      </c>
      <c r="I189" t="s">
        <v>32</v>
      </c>
      <c r="J189">
        <f t="shared" si="10"/>
        <v>1</v>
      </c>
      <c r="K189">
        <v>1</v>
      </c>
      <c r="L189" s="5">
        <f t="shared" si="11"/>
        <v>75</v>
      </c>
      <c r="M189" s="2">
        <v>75</v>
      </c>
      <c r="N189" s="2">
        <f>IF(O189&gt;=90%,5,IF(O189&gt;=80%,4,IF(O189&gt;=70%,3,IF(O189&gt;=60%,2,1))))</f>
        <v>5</v>
      </c>
      <c r="O189" s="3">
        <v>0.92</v>
      </c>
      <c r="P189" t="s">
        <v>19</v>
      </c>
      <c r="Q189" t="s">
        <v>20</v>
      </c>
      <c r="R189">
        <v>2</v>
      </c>
      <c r="S189">
        <v>1</v>
      </c>
    </row>
    <row r="190" spans="1:19" x14ac:dyDescent="0.3">
      <c r="A190" t="s">
        <v>459</v>
      </c>
      <c r="B190" t="s">
        <v>460</v>
      </c>
      <c r="C190" t="str">
        <f t="shared" si="8"/>
        <v>Male</v>
      </c>
      <c r="D190" t="s">
        <v>90</v>
      </c>
      <c r="E190">
        <f t="shared" si="9"/>
        <v>58</v>
      </c>
      <c r="F190">
        <v>58</v>
      </c>
      <c r="G190" t="s">
        <v>24</v>
      </c>
      <c r="H190" t="s">
        <v>25</v>
      </c>
      <c r="I190" t="s">
        <v>32</v>
      </c>
      <c r="J190">
        <f t="shared" si="10"/>
        <v>20</v>
      </c>
      <c r="K190">
        <v>20</v>
      </c>
      <c r="L190" s="5">
        <f t="shared" si="11"/>
        <v>75</v>
      </c>
      <c r="M190" s="2">
        <v>75</v>
      </c>
      <c r="N190" s="2">
        <f>IF(O190&gt;=90%,5,IF(O190&gt;=80%,4,IF(O190&gt;=70%,3,IF(O190&gt;=60%,2,1))))</f>
        <v>3</v>
      </c>
      <c r="O190" s="3">
        <v>0.75</v>
      </c>
      <c r="P190" t="s">
        <v>69</v>
      </c>
      <c r="Q190" t="s">
        <v>58</v>
      </c>
      <c r="R190">
        <v>13</v>
      </c>
      <c r="S190">
        <v>1</v>
      </c>
    </row>
    <row r="191" spans="1:19" x14ac:dyDescent="0.3">
      <c r="A191" t="s">
        <v>461</v>
      </c>
      <c r="B191" t="s">
        <v>256</v>
      </c>
      <c r="C191" t="str">
        <f t="shared" ref="C191:C254" si="12">IF(LEFT(LOWER(TRIM(D191)),1)="f","Female","Male")</f>
        <v>Male</v>
      </c>
      <c r="D191" t="s">
        <v>61</v>
      </c>
      <c r="E191">
        <f t="shared" si="9"/>
        <v>41</v>
      </c>
      <c r="F191">
        <v>41</v>
      </c>
      <c r="G191" t="s">
        <v>16</v>
      </c>
      <c r="H191" t="s">
        <v>17</v>
      </c>
      <c r="I191" t="s">
        <v>87</v>
      </c>
      <c r="J191" s="4">
        <f t="shared" si="10"/>
        <v>11.191780821917808</v>
      </c>
      <c r="L191" s="5" t="str">
        <f t="shared" si="11"/>
        <v>$30</v>
      </c>
      <c r="M191" s="2" t="s">
        <v>45</v>
      </c>
      <c r="N191" s="2">
        <f>IF(O191&gt;=90%,5,IF(O191&gt;=80%,4,IF(O191&gt;=70%,3,IF(O191&gt;=60%,2,1))))</f>
        <v>3</v>
      </c>
      <c r="O191" s="3">
        <v>0.74</v>
      </c>
      <c r="P191" t="s">
        <v>65</v>
      </c>
      <c r="Q191" t="s">
        <v>58</v>
      </c>
      <c r="R191">
        <v>2</v>
      </c>
      <c r="S191">
        <v>4</v>
      </c>
    </row>
    <row r="192" spans="1:19" x14ac:dyDescent="0.3">
      <c r="A192" t="s">
        <v>462</v>
      </c>
      <c r="B192" t="s">
        <v>463</v>
      </c>
      <c r="C192" t="str">
        <f t="shared" si="12"/>
        <v>Female</v>
      </c>
      <c r="D192" t="s">
        <v>36</v>
      </c>
      <c r="E192">
        <f t="shared" si="9"/>
        <v>58</v>
      </c>
      <c r="F192">
        <v>58</v>
      </c>
      <c r="G192" t="s">
        <v>120</v>
      </c>
      <c r="H192" t="s">
        <v>121</v>
      </c>
      <c r="I192" t="s">
        <v>18</v>
      </c>
      <c r="J192">
        <f t="shared" si="10"/>
        <v>25</v>
      </c>
      <c r="K192">
        <v>25</v>
      </c>
      <c r="L192" s="5" t="str">
        <f t="shared" si="11"/>
        <v>$30</v>
      </c>
      <c r="M192" s="2" t="s">
        <v>45</v>
      </c>
      <c r="N192" s="2">
        <f>IF(O192&gt;=90%,5,IF(O192&gt;=80%,4,IF(O192&gt;=70%,3,IF(O192&gt;=60%,2,1))))</f>
        <v>3</v>
      </c>
      <c r="O192" s="3">
        <v>0.71</v>
      </c>
      <c r="P192" t="s">
        <v>19</v>
      </c>
      <c r="Q192" t="s">
        <v>27</v>
      </c>
      <c r="R192">
        <v>11</v>
      </c>
      <c r="S192">
        <v>13</v>
      </c>
    </row>
    <row r="193" spans="1:19" x14ac:dyDescent="0.3">
      <c r="A193" t="s">
        <v>464</v>
      </c>
      <c r="B193" t="s">
        <v>465</v>
      </c>
      <c r="C193" t="str">
        <f t="shared" si="12"/>
        <v>Female</v>
      </c>
      <c r="D193" t="s">
        <v>39</v>
      </c>
      <c r="E193">
        <f t="shared" si="9"/>
        <v>50</v>
      </c>
      <c r="F193">
        <v>50</v>
      </c>
      <c r="G193" t="s">
        <v>147</v>
      </c>
      <c r="H193" t="s">
        <v>148</v>
      </c>
      <c r="I193" t="s">
        <v>32</v>
      </c>
      <c r="J193">
        <f t="shared" si="10"/>
        <v>20</v>
      </c>
      <c r="K193">
        <v>20</v>
      </c>
      <c r="L193" s="5" t="str">
        <f t="shared" si="11"/>
        <v>$40</v>
      </c>
      <c r="M193" s="2" t="s">
        <v>38</v>
      </c>
      <c r="N193" s="2">
        <f>IF(O193&gt;=90%,5,IF(O193&gt;=80%,4,IF(O193&gt;=70%,3,IF(O193&gt;=60%,2,1))))</f>
        <v>4</v>
      </c>
      <c r="O193" s="3">
        <v>0.89</v>
      </c>
      <c r="P193" t="s">
        <v>19</v>
      </c>
      <c r="Q193" t="s">
        <v>58</v>
      </c>
      <c r="R193">
        <v>17</v>
      </c>
      <c r="S193">
        <v>2</v>
      </c>
    </row>
    <row r="194" spans="1:19" x14ac:dyDescent="0.3">
      <c r="A194" t="s">
        <v>466</v>
      </c>
      <c r="B194" t="s">
        <v>467</v>
      </c>
      <c r="C194" t="str">
        <f t="shared" si="12"/>
        <v>Male</v>
      </c>
      <c r="D194" t="s">
        <v>49</v>
      </c>
      <c r="E194">
        <f t="shared" ref="E194:E257" si="13">IF(F194="",MEDIAN($F$2:$F$698),F194)</f>
        <v>52</v>
      </c>
      <c r="F194">
        <v>52</v>
      </c>
      <c r="G194" t="s">
        <v>50</v>
      </c>
      <c r="H194" t="s">
        <v>51</v>
      </c>
      <c r="I194" t="s">
        <v>37</v>
      </c>
      <c r="J194">
        <f t="shared" ref="J194:J257" si="14">IF(K194="", AVERAGEIF($I$2:$I$698,I194,$K$2:$K$698),K194)</f>
        <v>33</v>
      </c>
      <c r="K194">
        <v>33</v>
      </c>
      <c r="L194" s="5" t="str">
        <f t="shared" si="11"/>
        <v>$100</v>
      </c>
      <c r="M194" s="2" t="s">
        <v>222</v>
      </c>
      <c r="N194" s="2">
        <f>IF(O194&gt;=90%,5,IF(O194&gt;=80%,4,IF(O194&gt;=70%,3,IF(O194&gt;=60%,2,1))))</f>
        <v>2</v>
      </c>
      <c r="O194" s="3">
        <v>0.66</v>
      </c>
      <c r="P194" t="s">
        <v>19</v>
      </c>
      <c r="Q194" t="s">
        <v>33</v>
      </c>
      <c r="R194">
        <v>14</v>
      </c>
      <c r="S194">
        <v>17</v>
      </c>
    </row>
    <row r="195" spans="1:19" x14ac:dyDescent="0.3">
      <c r="A195" t="s">
        <v>468</v>
      </c>
      <c r="B195" t="s">
        <v>469</v>
      </c>
      <c r="C195" t="str">
        <f t="shared" si="12"/>
        <v>Male</v>
      </c>
      <c r="D195" t="s">
        <v>49</v>
      </c>
      <c r="E195">
        <f t="shared" si="13"/>
        <v>34</v>
      </c>
      <c r="F195">
        <v>34</v>
      </c>
      <c r="G195" t="s">
        <v>42</v>
      </c>
      <c r="H195" t="s">
        <v>43</v>
      </c>
      <c r="I195" t="s">
        <v>52</v>
      </c>
      <c r="J195">
        <f t="shared" si="14"/>
        <v>6</v>
      </c>
      <c r="K195">
        <v>6</v>
      </c>
      <c r="L195" s="5" t="str">
        <f t="shared" ref="L195:L258" si="15">IF(M195="", AVERAGE(M195:M891), M195)</f>
        <v>$100</v>
      </c>
      <c r="M195" s="2" t="s">
        <v>222</v>
      </c>
      <c r="N195" s="2">
        <f>IF(O195&gt;=90%,5,IF(O195&gt;=80%,4,IF(O195&gt;=70%,3,IF(O195&gt;=60%,2,1))))</f>
        <v>1</v>
      </c>
      <c r="O195" s="3">
        <v>0.5</v>
      </c>
      <c r="P195" t="s">
        <v>46</v>
      </c>
      <c r="Q195" t="s">
        <v>58</v>
      </c>
      <c r="R195">
        <v>13</v>
      </c>
      <c r="S195">
        <v>1</v>
      </c>
    </row>
    <row r="196" spans="1:19" x14ac:dyDescent="0.3">
      <c r="A196" t="s">
        <v>470</v>
      </c>
      <c r="B196" t="s">
        <v>471</v>
      </c>
      <c r="C196" t="str">
        <f t="shared" si="12"/>
        <v>Male</v>
      </c>
      <c r="D196" t="s">
        <v>95</v>
      </c>
      <c r="E196">
        <f t="shared" si="13"/>
        <v>32</v>
      </c>
      <c r="F196">
        <v>32</v>
      </c>
      <c r="G196" t="s">
        <v>131</v>
      </c>
      <c r="H196" t="s">
        <v>132</v>
      </c>
      <c r="I196" t="s">
        <v>110</v>
      </c>
      <c r="J196">
        <f t="shared" si="14"/>
        <v>11</v>
      </c>
      <c r="K196">
        <v>11</v>
      </c>
      <c r="L196" s="5">
        <f t="shared" si="15"/>
        <v>40</v>
      </c>
      <c r="M196" s="2">
        <v>40</v>
      </c>
      <c r="N196" s="2">
        <f>IF(O196&gt;=90%,5,IF(O196&gt;=80%,4,IF(O196&gt;=70%,3,IF(O196&gt;=60%,2,1))))</f>
        <v>4</v>
      </c>
      <c r="O196" s="3">
        <v>0.86</v>
      </c>
      <c r="P196" t="s">
        <v>69</v>
      </c>
      <c r="Q196" t="s">
        <v>27</v>
      </c>
      <c r="R196">
        <v>9</v>
      </c>
      <c r="S196">
        <v>2</v>
      </c>
    </row>
    <row r="197" spans="1:19" x14ac:dyDescent="0.3">
      <c r="A197" t="s">
        <v>472</v>
      </c>
      <c r="B197" t="s">
        <v>473</v>
      </c>
      <c r="C197" t="str">
        <f t="shared" si="12"/>
        <v>Female</v>
      </c>
      <c r="D197" t="s">
        <v>36</v>
      </c>
      <c r="E197">
        <f t="shared" si="13"/>
        <v>50</v>
      </c>
      <c r="F197">
        <v>50</v>
      </c>
      <c r="G197" t="s">
        <v>91</v>
      </c>
      <c r="H197" t="s">
        <v>92</v>
      </c>
      <c r="I197" t="s">
        <v>32</v>
      </c>
      <c r="J197">
        <f t="shared" si="14"/>
        <v>28</v>
      </c>
      <c r="K197">
        <v>28</v>
      </c>
      <c r="L197" s="5" t="str">
        <f t="shared" si="15"/>
        <v>$100</v>
      </c>
      <c r="M197" s="2" t="s">
        <v>222</v>
      </c>
      <c r="N197" s="2">
        <f>IF(O197&gt;=90%,5,IF(O197&gt;=80%,4,IF(O197&gt;=70%,3,IF(O197&gt;=60%,2,1))))</f>
        <v>4</v>
      </c>
      <c r="O197" s="3">
        <v>0.86</v>
      </c>
      <c r="P197" t="s">
        <v>46</v>
      </c>
      <c r="Q197" t="s">
        <v>58</v>
      </c>
      <c r="R197">
        <v>12</v>
      </c>
      <c r="S197">
        <v>3</v>
      </c>
    </row>
    <row r="198" spans="1:19" x14ac:dyDescent="0.3">
      <c r="A198" t="s">
        <v>474</v>
      </c>
      <c r="B198" t="s">
        <v>475</v>
      </c>
      <c r="C198" t="str">
        <f t="shared" si="12"/>
        <v>Female</v>
      </c>
      <c r="D198" t="s">
        <v>39</v>
      </c>
      <c r="E198">
        <f t="shared" si="13"/>
        <v>39</v>
      </c>
      <c r="F198">
        <v>39</v>
      </c>
      <c r="G198" t="s">
        <v>72</v>
      </c>
      <c r="H198" t="s">
        <v>73</v>
      </c>
      <c r="I198" t="s">
        <v>52</v>
      </c>
      <c r="J198">
        <f t="shared" si="14"/>
        <v>11</v>
      </c>
      <c r="K198">
        <v>11</v>
      </c>
      <c r="L198" s="5">
        <f t="shared" si="15"/>
        <v>100</v>
      </c>
      <c r="M198" s="2">
        <v>100</v>
      </c>
      <c r="N198" s="2">
        <f>IF(O198&gt;=90%,5,IF(O198&gt;=80%,4,IF(O198&gt;=70%,3,IF(O198&gt;=60%,2,1))))</f>
        <v>4</v>
      </c>
      <c r="O198" s="3">
        <v>0.82</v>
      </c>
      <c r="P198" t="s">
        <v>69</v>
      </c>
      <c r="Q198" t="s">
        <v>33</v>
      </c>
      <c r="R198">
        <v>12</v>
      </c>
      <c r="S198">
        <v>2</v>
      </c>
    </row>
    <row r="199" spans="1:19" x14ac:dyDescent="0.3">
      <c r="A199" t="s">
        <v>476</v>
      </c>
      <c r="B199" t="s">
        <v>477</v>
      </c>
      <c r="C199" t="str">
        <f t="shared" si="12"/>
        <v>Female</v>
      </c>
      <c r="D199" t="s">
        <v>15</v>
      </c>
      <c r="E199">
        <f t="shared" si="13"/>
        <v>25</v>
      </c>
      <c r="F199">
        <v>25</v>
      </c>
      <c r="G199" t="s">
        <v>183</v>
      </c>
      <c r="H199" t="s">
        <v>73</v>
      </c>
      <c r="I199" t="s">
        <v>44</v>
      </c>
      <c r="J199">
        <f t="shared" si="14"/>
        <v>2</v>
      </c>
      <c r="K199">
        <v>2</v>
      </c>
      <c r="L199" s="5">
        <f t="shared" si="15"/>
        <v>100</v>
      </c>
      <c r="M199" s="2">
        <v>100</v>
      </c>
      <c r="N199" s="2">
        <f>IF(O199&gt;=90%,5,IF(O199&gt;=80%,4,IF(O199&gt;=70%,3,IF(O199&gt;=60%,2,1))))</f>
        <v>4</v>
      </c>
      <c r="O199" s="3">
        <v>0.87</v>
      </c>
      <c r="P199" t="s">
        <v>65</v>
      </c>
      <c r="Q199" t="s">
        <v>33</v>
      </c>
      <c r="R199">
        <v>1</v>
      </c>
      <c r="S199">
        <v>1</v>
      </c>
    </row>
    <row r="200" spans="1:19" x14ac:dyDescent="0.3">
      <c r="A200" t="s">
        <v>478</v>
      </c>
      <c r="B200" t="s">
        <v>479</v>
      </c>
      <c r="C200" t="str">
        <f t="shared" si="12"/>
        <v>Female</v>
      </c>
      <c r="D200" t="s">
        <v>23</v>
      </c>
      <c r="E200">
        <f t="shared" si="13"/>
        <v>55</v>
      </c>
      <c r="F200">
        <v>55</v>
      </c>
      <c r="G200" t="s">
        <v>168</v>
      </c>
      <c r="H200" t="s">
        <v>169</v>
      </c>
      <c r="I200" t="s">
        <v>110</v>
      </c>
      <c r="J200">
        <f t="shared" si="14"/>
        <v>7</v>
      </c>
      <c r="K200">
        <v>7</v>
      </c>
      <c r="L200" s="5">
        <f t="shared" si="15"/>
        <v>100</v>
      </c>
      <c r="M200" s="2">
        <v>100</v>
      </c>
      <c r="N200" s="2">
        <f>IF(O200&gt;=90%,5,IF(O200&gt;=80%,4,IF(O200&gt;=70%,3,IF(O200&gt;=60%,2,1))))</f>
        <v>4</v>
      </c>
      <c r="O200" s="3">
        <v>0.8</v>
      </c>
      <c r="P200" t="s">
        <v>65</v>
      </c>
      <c r="Q200" t="s">
        <v>33</v>
      </c>
      <c r="R200">
        <v>14</v>
      </c>
      <c r="S200">
        <v>4</v>
      </c>
    </row>
    <row r="201" spans="1:19" x14ac:dyDescent="0.3">
      <c r="A201" t="s">
        <v>480</v>
      </c>
      <c r="B201" t="s">
        <v>481</v>
      </c>
      <c r="C201" t="str">
        <f t="shared" si="12"/>
        <v>Male</v>
      </c>
      <c r="D201" t="s">
        <v>49</v>
      </c>
      <c r="E201">
        <f t="shared" si="13"/>
        <v>42</v>
      </c>
      <c r="F201">
        <v>42</v>
      </c>
      <c r="G201" t="s">
        <v>16</v>
      </c>
      <c r="H201" t="s">
        <v>17</v>
      </c>
      <c r="I201" t="s">
        <v>87</v>
      </c>
      <c r="J201">
        <f t="shared" si="14"/>
        <v>10</v>
      </c>
      <c r="K201">
        <v>10</v>
      </c>
      <c r="L201" s="5" t="str">
        <f t="shared" si="15"/>
        <v>$100</v>
      </c>
      <c r="M201" s="2" t="s">
        <v>222</v>
      </c>
      <c r="N201" s="2">
        <f>IF(O201&gt;=90%,5,IF(O201&gt;=80%,4,IF(O201&gt;=70%,3,IF(O201&gt;=60%,2,1))))</f>
        <v>3</v>
      </c>
      <c r="O201" s="3">
        <v>0.71</v>
      </c>
      <c r="P201" t="s">
        <v>19</v>
      </c>
      <c r="Q201" t="s">
        <v>27</v>
      </c>
      <c r="R201">
        <v>15</v>
      </c>
      <c r="S201">
        <v>10</v>
      </c>
    </row>
    <row r="202" spans="1:19" x14ac:dyDescent="0.3">
      <c r="A202" t="s">
        <v>482</v>
      </c>
      <c r="B202" t="s">
        <v>483</v>
      </c>
      <c r="C202" t="str">
        <f t="shared" si="12"/>
        <v>Male</v>
      </c>
      <c r="D202" t="s">
        <v>30</v>
      </c>
      <c r="E202">
        <f t="shared" si="13"/>
        <v>43</v>
      </c>
      <c r="F202">
        <v>43</v>
      </c>
      <c r="G202" t="s">
        <v>120</v>
      </c>
      <c r="H202" t="s">
        <v>121</v>
      </c>
      <c r="I202" t="s">
        <v>26</v>
      </c>
      <c r="J202">
        <f t="shared" si="14"/>
        <v>6</v>
      </c>
      <c r="K202">
        <v>6</v>
      </c>
      <c r="L202" s="5">
        <f t="shared" si="15"/>
        <v>50</v>
      </c>
      <c r="M202" s="2">
        <v>50</v>
      </c>
      <c r="N202" s="2">
        <f>IF(O202&gt;=90%,5,IF(O202&gt;=80%,4,IF(O202&gt;=70%,3,IF(O202&gt;=60%,2,1))))</f>
        <v>3</v>
      </c>
      <c r="O202" s="3">
        <v>0.77</v>
      </c>
      <c r="P202" t="s">
        <v>69</v>
      </c>
      <c r="Q202" t="s">
        <v>27</v>
      </c>
      <c r="R202">
        <v>6</v>
      </c>
      <c r="S202">
        <v>9</v>
      </c>
    </row>
    <row r="203" spans="1:19" x14ac:dyDescent="0.3">
      <c r="A203" t="s">
        <v>484</v>
      </c>
      <c r="B203" t="s">
        <v>485</v>
      </c>
      <c r="C203" t="str">
        <f t="shared" si="12"/>
        <v>Male</v>
      </c>
      <c r="D203" t="s">
        <v>49</v>
      </c>
      <c r="E203">
        <f t="shared" si="13"/>
        <v>54</v>
      </c>
      <c r="F203">
        <v>54</v>
      </c>
      <c r="G203" t="s">
        <v>16</v>
      </c>
      <c r="H203" t="s">
        <v>17</v>
      </c>
      <c r="I203" t="s">
        <v>87</v>
      </c>
      <c r="J203">
        <f t="shared" si="14"/>
        <v>29</v>
      </c>
      <c r="K203">
        <v>29</v>
      </c>
      <c r="L203" s="5" t="str">
        <f t="shared" si="15"/>
        <v>$30</v>
      </c>
      <c r="M203" s="2" t="s">
        <v>45</v>
      </c>
      <c r="N203" s="2">
        <f>IF(O203&gt;=90%,5,IF(O203&gt;=80%,4,IF(O203&gt;=70%,3,IF(O203&gt;=60%,2,1))))</f>
        <v>2</v>
      </c>
      <c r="O203" s="3">
        <v>0.68</v>
      </c>
      <c r="P203" t="s">
        <v>65</v>
      </c>
      <c r="Q203" t="s">
        <v>20</v>
      </c>
      <c r="R203">
        <v>19</v>
      </c>
      <c r="S203">
        <v>2</v>
      </c>
    </row>
    <row r="204" spans="1:19" x14ac:dyDescent="0.3">
      <c r="A204" t="s">
        <v>486</v>
      </c>
      <c r="B204" t="s">
        <v>487</v>
      </c>
      <c r="C204" t="str">
        <f t="shared" si="12"/>
        <v>Female</v>
      </c>
      <c r="D204" t="s">
        <v>23</v>
      </c>
      <c r="E204">
        <f t="shared" si="13"/>
        <v>21</v>
      </c>
      <c r="F204">
        <v>21</v>
      </c>
      <c r="G204" t="s">
        <v>135</v>
      </c>
      <c r="H204" t="s">
        <v>136</v>
      </c>
      <c r="I204" t="s">
        <v>32</v>
      </c>
      <c r="J204">
        <f t="shared" si="14"/>
        <v>0</v>
      </c>
      <c r="K204">
        <v>0</v>
      </c>
      <c r="L204" s="5">
        <f t="shared" si="15"/>
        <v>20</v>
      </c>
      <c r="M204" s="2">
        <v>20</v>
      </c>
      <c r="N204" s="2">
        <f>IF(O204&gt;=90%,5,IF(O204&gt;=80%,4,IF(O204&gt;=70%,3,IF(O204&gt;=60%,2,1))))</f>
        <v>5</v>
      </c>
      <c r="O204" s="3">
        <v>0.91</v>
      </c>
      <c r="P204" t="s">
        <v>69</v>
      </c>
      <c r="Q204" t="s">
        <v>27</v>
      </c>
      <c r="R204">
        <v>4</v>
      </c>
      <c r="S204">
        <v>1</v>
      </c>
    </row>
    <row r="205" spans="1:19" x14ac:dyDescent="0.3">
      <c r="A205" t="s">
        <v>488</v>
      </c>
      <c r="B205" t="s">
        <v>489</v>
      </c>
      <c r="C205" t="str">
        <f t="shared" si="12"/>
        <v>Male</v>
      </c>
      <c r="D205" t="s">
        <v>49</v>
      </c>
      <c r="E205">
        <f t="shared" si="13"/>
        <v>46</v>
      </c>
      <c r="F205">
        <v>46</v>
      </c>
      <c r="G205" t="s">
        <v>124</v>
      </c>
      <c r="H205" t="s">
        <v>25</v>
      </c>
      <c r="I205" t="s">
        <v>74</v>
      </c>
      <c r="J205">
        <f t="shared" si="14"/>
        <v>5</v>
      </c>
      <c r="K205">
        <v>5</v>
      </c>
      <c r="L205" s="5">
        <f t="shared" si="15"/>
        <v>20</v>
      </c>
      <c r="M205" s="2">
        <v>20</v>
      </c>
      <c r="N205" s="2">
        <f>IF(O205&gt;=90%,5,IF(O205&gt;=80%,4,IF(O205&gt;=70%,3,IF(O205&gt;=60%,2,1))))</f>
        <v>3</v>
      </c>
      <c r="O205" s="3">
        <v>0.75</v>
      </c>
      <c r="P205" t="s">
        <v>65</v>
      </c>
      <c r="Q205" t="s">
        <v>33</v>
      </c>
      <c r="R205">
        <v>1</v>
      </c>
      <c r="S205">
        <v>5</v>
      </c>
    </row>
    <row r="206" spans="1:19" x14ac:dyDescent="0.3">
      <c r="A206" t="s">
        <v>490</v>
      </c>
      <c r="B206" t="s">
        <v>491</v>
      </c>
      <c r="C206" t="str">
        <f t="shared" si="12"/>
        <v>Female</v>
      </c>
      <c r="D206" t="s">
        <v>15</v>
      </c>
      <c r="E206">
        <f t="shared" si="13"/>
        <v>30</v>
      </c>
      <c r="F206">
        <v>30</v>
      </c>
      <c r="G206" t="s">
        <v>183</v>
      </c>
      <c r="H206" t="s">
        <v>73</v>
      </c>
      <c r="I206" t="s">
        <v>18</v>
      </c>
      <c r="J206">
        <f t="shared" si="14"/>
        <v>11</v>
      </c>
      <c r="K206">
        <v>11</v>
      </c>
      <c r="L206" s="5">
        <f t="shared" si="15"/>
        <v>40</v>
      </c>
      <c r="M206" s="2">
        <v>40</v>
      </c>
      <c r="N206" s="2">
        <f>IF(O206&gt;=90%,5,IF(O206&gt;=80%,4,IF(O206&gt;=70%,3,IF(O206&gt;=60%,2,1))))</f>
        <v>5</v>
      </c>
      <c r="O206" s="3">
        <v>0.9</v>
      </c>
      <c r="P206" t="s">
        <v>46</v>
      </c>
      <c r="Q206" t="s">
        <v>33</v>
      </c>
      <c r="R206">
        <v>11</v>
      </c>
      <c r="S206">
        <v>1</v>
      </c>
    </row>
    <row r="207" spans="1:19" x14ac:dyDescent="0.3">
      <c r="A207" t="s">
        <v>492</v>
      </c>
      <c r="B207" t="s">
        <v>493</v>
      </c>
      <c r="C207" t="str">
        <f t="shared" si="12"/>
        <v>Male</v>
      </c>
      <c r="D207" t="s">
        <v>30</v>
      </c>
      <c r="E207">
        <f t="shared" si="13"/>
        <v>36</v>
      </c>
      <c r="F207">
        <v>36</v>
      </c>
      <c r="G207" t="s">
        <v>168</v>
      </c>
      <c r="H207" t="s">
        <v>169</v>
      </c>
      <c r="I207" t="s">
        <v>110</v>
      </c>
      <c r="J207">
        <f t="shared" si="14"/>
        <v>11</v>
      </c>
      <c r="K207">
        <v>11</v>
      </c>
      <c r="L207" s="5" t="str">
        <f t="shared" si="15"/>
        <v>$75</v>
      </c>
      <c r="M207" s="2" t="s">
        <v>163</v>
      </c>
      <c r="N207" s="2">
        <f>IF(O207&gt;=90%,5,IF(O207&gt;=80%,4,IF(O207&gt;=70%,3,IF(O207&gt;=60%,2,1))))</f>
        <v>5</v>
      </c>
      <c r="O207" s="3">
        <v>0.93</v>
      </c>
      <c r="P207" t="s">
        <v>65</v>
      </c>
      <c r="Q207" t="s">
        <v>27</v>
      </c>
      <c r="R207">
        <v>10</v>
      </c>
      <c r="S207">
        <v>3</v>
      </c>
    </row>
    <row r="208" spans="1:19" x14ac:dyDescent="0.3">
      <c r="A208" t="s">
        <v>494</v>
      </c>
      <c r="B208" t="s">
        <v>495</v>
      </c>
      <c r="C208" t="str">
        <f t="shared" si="12"/>
        <v>Female</v>
      </c>
      <c r="D208" t="s">
        <v>77</v>
      </c>
      <c r="E208">
        <f t="shared" si="13"/>
        <v>47</v>
      </c>
      <c r="F208">
        <v>47</v>
      </c>
      <c r="G208" t="s">
        <v>31</v>
      </c>
      <c r="H208" t="s">
        <v>31</v>
      </c>
      <c r="I208" t="s">
        <v>52</v>
      </c>
      <c r="J208">
        <f t="shared" si="14"/>
        <v>15</v>
      </c>
      <c r="K208">
        <v>15</v>
      </c>
      <c r="L208" s="5">
        <f t="shared" si="15"/>
        <v>40</v>
      </c>
      <c r="M208" s="2">
        <v>40</v>
      </c>
      <c r="N208" s="2">
        <f>IF(O208&gt;=90%,5,IF(O208&gt;=80%,4,IF(O208&gt;=70%,3,IF(O208&gt;=60%,2,1))))</f>
        <v>5</v>
      </c>
      <c r="O208" s="3">
        <v>0.94</v>
      </c>
      <c r="P208" t="s">
        <v>46</v>
      </c>
      <c r="Q208" t="s">
        <v>58</v>
      </c>
      <c r="R208">
        <v>8</v>
      </c>
      <c r="S208">
        <v>10</v>
      </c>
    </row>
    <row r="209" spans="1:19" x14ac:dyDescent="0.3">
      <c r="A209" t="s">
        <v>496</v>
      </c>
      <c r="B209" t="s">
        <v>497</v>
      </c>
      <c r="C209" t="str">
        <f t="shared" si="12"/>
        <v>Female</v>
      </c>
      <c r="D209" t="s">
        <v>36</v>
      </c>
      <c r="E209">
        <f t="shared" si="13"/>
        <v>43</v>
      </c>
      <c r="F209">
        <v>43</v>
      </c>
      <c r="G209" t="s">
        <v>124</v>
      </c>
      <c r="H209" t="s">
        <v>25</v>
      </c>
      <c r="I209" t="s">
        <v>26</v>
      </c>
      <c r="J209">
        <f t="shared" si="14"/>
        <v>1</v>
      </c>
      <c r="K209">
        <v>1</v>
      </c>
      <c r="L209" s="5" t="str">
        <f t="shared" si="15"/>
        <v>$50</v>
      </c>
      <c r="M209" s="2" t="s">
        <v>64</v>
      </c>
      <c r="N209" s="2">
        <f>IF(O209&gt;=90%,5,IF(O209&gt;=80%,4,IF(O209&gt;=70%,3,IF(O209&gt;=60%,2,1))))</f>
        <v>2</v>
      </c>
      <c r="O209" s="3">
        <v>0.64</v>
      </c>
      <c r="P209" t="s">
        <v>65</v>
      </c>
      <c r="Q209" t="s">
        <v>27</v>
      </c>
      <c r="R209">
        <v>4</v>
      </c>
      <c r="S209">
        <v>2</v>
      </c>
    </row>
    <row r="210" spans="1:19" x14ac:dyDescent="0.3">
      <c r="A210" t="s">
        <v>498</v>
      </c>
      <c r="B210" t="s">
        <v>499</v>
      </c>
      <c r="C210" t="str">
        <f t="shared" si="12"/>
        <v>Male</v>
      </c>
      <c r="D210" t="s">
        <v>49</v>
      </c>
      <c r="E210">
        <f t="shared" si="13"/>
        <v>57</v>
      </c>
      <c r="F210">
        <v>57</v>
      </c>
      <c r="G210" t="s">
        <v>108</v>
      </c>
      <c r="H210" t="s">
        <v>109</v>
      </c>
      <c r="I210" t="s">
        <v>78</v>
      </c>
      <c r="J210">
        <f t="shared" si="14"/>
        <v>8</v>
      </c>
      <c r="K210">
        <v>8</v>
      </c>
      <c r="L210" s="5" t="str">
        <f t="shared" si="15"/>
        <v>$20</v>
      </c>
      <c r="M210" s="2" t="s">
        <v>117</v>
      </c>
      <c r="N210" s="2">
        <f>IF(O210&gt;=90%,5,IF(O210&gt;=80%,4,IF(O210&gt;=70%,3,IF(O210&gt;=60%,2,1))))</f>
        <v>4</v>
      </c>
      <c r="O210" s="3">
        <v>0.84</v>
      </c>
      <c r="P210" t="s">
        <v>19</v>
      </c>
      <c r="Q210" t="s">
        <v>27</v>
      </c>
      <c r="R210">
        <v>8</v>
      </c>
      <c r="S210">
        <v>5</v>
      </c>
    </row>
    <row r="211" spans="1:19" x14ac:dyDescent="0.3">
      <c r="A211" t="s">
        <v>500</v>
      </c>
      <c r="B211" t="s">
        <v>501</v>
      </c>
      <c r="C211" t="str">
        <f t="shared" si="12"/>
        <v>Male</v>
      </c>
      <c r="D211" t="s">
        <v>30</v>
      </c>
      <c r="E211">
        <f t="shared" si="13"/>
        <v>52</v>
      </c>
      <c r="F211">
        <v>52</v>
      </c>
      <c r="G211" t="s">
        <v>16</v>
      </c>
      <c r="H211" t="s">
        <v>17</v>
      </c>
      <c r="I211" t="s">
        <v>110</v>
      </c>
      <c r="J211">
        <f t="shared" si="14"/>
        <v>30</v>
      </c>
      <c r="K211">
        <v>30</v>
      </c>
      <c r="L211" s="5" t="str">
        <f t="shared" si="15"/>
        <v>$20</v>
      </c>
      <c r="M211" s="2" t="s">
        <v>117</v>
      </c>
      <c r="N211" s="2">
        <f>IF(O211&gt;=90%,5,IF(O211&gt;=80%,4,IF(O211&gt;=70%,3,IF(O211&gt;=60%,2,1))))</f>
        <v>4</v>
      </c>
      <c r="O211" s="3">
        <v>0.87</v>
      </c>
      <c r="P211" t="s">
        <v>46</v>
      </c>
      <c r="Q211" t="s">
        <v>33</v>
      </c>
      <c r="R211">
        <v>12</v>
      </c>
      <c r="S211">
        <v>5</v>
      </c>
    </row>
    <row r="212" spans="1:19" x14ac:dyDescent="0.3">
      <c r="A212" t="s">
        <v>502</v>
      </c>
      <c r="B212" t="s">
        <v>503</v>
      </c>
      <c r="C212" t="str">
        <f t="shared" si="12"/>
        <v>Male</v>
      </c>
      <c r="D212" t="s">
        <v>61</v>
      </c>
      <c r="E212">
        <f t="shared" si="13"/>
        <v>41</v>
      </c>
      <c r="G212" t="s">
        <v>31</v>
      </c>
      <c r="H212" t="s">
        <v>31</v>
      </c>
      <c r="I212" t="s">
        <v>18</v>
      </c>
      <c r="J212">
        <f t="shared" si="14"/>
        <v>8</v>
      </c>
      <c r="K212">
        <v>8</v>
      </c>
      <c r="L212" s="5" t="str">
        <f t="shared" si="15"/>
        <v>$40</v>
      </c>
      <c r="M212" s="2" t="s">
        <v>38</v>
      </c>
      <c r="N212" s="2">
        <f>IF(O212&gt;=90%,5,IF(O212&gt;=80%,4,IF(O212&gt;=70%,3,IF(O212&gt;=60%,2,1))))</f>
        <v>2</v>
      </c>
      <c r="O212" s="3">
        <v>0.64</v>
      </c>
      <c r="P212" t="s">
        <v>65</v>
      </c>
      <c r="Q212" t="s">
        <v>20</v>
      </c>
      <c r="R212">
        <v>14</v>
      </c>
      <c r="S212">
        <v>4</v>
      </c>
    </row>
    <row r="213" spans="1:19" x14ac:dyDescent="0.3">
      <c r="A213" t="s">
        <v>504</v>
      </c>
      <c r="B213" t="s">
        <v>505</v>
      </c>
      <c r="C213" t="str">
        <f t="shared" si="12"/>
        <v>Female</v>
      </c>
      <c r="D213" t="s">
        <v>39</v>
      </c>
      <c r="E213">
        <f t="shared" si="13"/>
        <v>22</v>
      </c>
      <c r="F213">
        <v>22</v>
      </c>
      <c r="G213" t="s">
        <v>50</v>
      </c>
      <c r="H213" t="s">
        <v>51</v>
      </c>
      <c r="I213" t="s">
        <v>110</v>
      </c>
      <c r="J213">
        <f t="shared" si="14"/>
        <v>0</v>
      </c>
      <c r="K213">
        <v>0</v>
      </c>
      <c r="L213" s="5">
        <f t="shared" si="15"/>
        <v>100</v>
      </c>
      <c r="M213" s="2">
        <v>100</v>
      </c>
      <c r="N213" s="2">
        <f>IF(O213&gt;=90%,5,IF(O213&gt;=80%,4,IF(O213&gt;=70%,3,IF(O213&gt;=60%,2,1))))</f>
        <v>2</v>
      </c>
      <c r="O213" s="3">
        <v>0.64</v>
      </c>
      <c r="P213" t="s">
        <v>19</v>
      </c>
      <c r="Q213" t="s">
        <v>33</v>
      </c>
      <c r="R213">
        <v>1</v>
      </c>
      <c r="S213">
        <v>1</v>
      </c>
    </row>
    <row r="214" spans="1:19" x14ac:dyDescent="0.3">
      <c r="A214" t="s">
        <v>506</v>
      </c>
      <c r="B214" t="s">
        <v>507</v>
      </c>
      <c r="C214" t="str">
        <f t="shared" si="12"/>
        <v>Male</v>
      </c>
      <c r="D214" t="s">
        <v>49</v>
      </c>
      <c r="E214">
        <f t="shared" si="13"/>
        <v>41</v>
      </c>
      <c r="G214" t="s">
        <v>91</v>
      </c>
      <c r="H214" t="s">
        <v>92</v>
      </c>
      <c r="I214" t="s">
        <v>110</v>
      </c>
      <c r="J214">
        <f t="shared" si="14"/>
        <v>12</v>
      </c>
      <c r="K214">
        <v>12</v>
      </c>
      <c r="L214" s="5" t="str">
        <f t="shared" si="15"/>
        <v>$20</v>
      </c>
      <c r="M214" s="2" t="s">
        <v>117</v>
      </c>
      <c r="N214" s="2">
        <f>IF(O214&gt;=90%,5,IF(O214&gt;=80%,4,IF(O214&gt;=70%,3,IF(O214&gt;=60%,2,1))))</f>
        <v>4</v>
      </c>
      <c r="O214" s="3">
        <v>0.8</v>
      </c>
      <c r="P214" t="s">
        <v>46</v>
      </c>
      <c r="Q214" t="s">
        <v>20</v>
      </c>
      <c r="R214">
        <v>8</v>
      </c>
      <c r="S214">
        <v>13</v>
      </c>
    </row>
    <row r="215" spans="1:19" x14ac:dyDescent="0.3">
      <c r="A215" t="s">
        <v>508</v>
      </c>
      <c r="B215" t="s">
        <v>509</v>
      </c>
      <c r="C215" t="str">
        <f t="shared" si="12"/>
        <v>Female</v>
      </c>
      <c r="D215" t="s">
        <v>36</v>
      </c>
      <c r="E215">
        <f t="shared" si="13"/>
        <v>58</v>
      </c>
      <c r="F215">
        <v>58</v>
      </c>
      <c r="G215" t="s">
        <v>183</v>
      </c>
      <c r="H215" t="s">
        <v>73</v>
      </c>
      <c r="I215" t="s">
        <v>26</v>
      </c>
      <c r="J215">
        <f t="shared" si="14"/>
        <v>4</v>
      </c>
      <c r="K215">
        <v>4</v>
      </c>
      <c r="L215" s="5" t="str">
        <f t="shared" si="15"/>
        <v>$50</v>
      </c>
      <c r="M215" s="2" t="s">
        <v>64</v>
      </c>
      <c r="N215" s="2">
        <f>IF(O215&gt;=90%,5,IF(O215&gt;=80%,4,IF(O215&gt;=70%,3,IF(O215&gt;=60%,2,1))))</f>
        <v>5</v>
      </c>
      <c r="O215" s="3">
        <v>0.9</v>
      </c>
      <c r="P215" t="s">
        <v>19</v>
      </c>
      <c r="Q215" t="s">
        <v>33</v>
      </c>
      <c r="R215">
        <v>2</v>
      </c>
      <c r="S215">
        <v>1</v>
      </c>
    </row>
    <row r="216" spans="1:19" x14ac:dyDescent="0.3">
      <c r="A216" t="s">
        <v>510</v>
      </c>
      <c r="B216" t="s">
        <v>511</v>
      </c>
      <c r="C216" t="str">
        <f t="shared" si="12"/>
        <v>Male</v>
      </c>
      <c r="D216" t="s">
        <v>90</v>
      </c>
      <c r="E216">
        <f t="shared" si="13"/>
        <v>39</v>
      </c>
      <c r="F216">
        <v>39</v>
      </c>
      <c r="G216" t="s">
        <v>108</v>
      </c>
      <c r="H216" t="s">
        <v>109</v>
      </c>
      <c r="I216" t="s">
        <v>37</v>
      </c>
      <c r="J216">
        <f t="shared" si="14"/>
        <v>14</v>
      </c>
      <c r="K216">
        <v>14</v>
      </c>
      <c r="L216" s="5" t="str">
        <f t="shared" si="15"/>
        <v>$100</v>
      </c>
      <c r="M216" s="2" t="s">
        <v>222</v>
      </c>
      <c r="N216" s="2">
        <f>IF(O216&gt;=90%,5,IF(O216&gt;=80%,4,IF(O216&gt;=70%,3,IF(O216&gt;=60%,2,1))))</f>
        <v>5</v>
      </c>
      <c r="O216" s="3">
        <v>0.92</v>
      </c>
      <c r="P216" t="s">
        <v>69</v>
      </c>
      <c r="Q216" t="s">
        <v>27</v>
      </c>
      <c r="R216">
        <v>7</v>
      </c>
      <c r="S216">
        <v>9</v>
      </c>
    </row>
    <row r="217" spans="1:19" x14ac:dyDescent="0.3">
      <c r="A217" t="s">
        <v>512</v>
      </c>
      <c r="B217" t="s">
        <v>513</v>
      </c>
      <c r="C217" t="str">
        <f t="shared" si="12"/>
        <v>Male</v>
      </c>
      <c r="D217" t="s">
        <v>90</v>
      </c>
      <c r="E217">
        <f t="shared" si="13"/>
        <v>32</v>
      </c>
      <c r="F217">
        <v>32</v>
      </c>
      <c r="G217" t="s">
        <v>50</v>
      </c>
      <c r="H217" t="s">
        <v>51</v>
      </c>
      <c r="I217" t="s">
        <v>32</v>
      </c>
      <c r="J217">
        <f t="shared" si="14"/>
        <v>14</v>
      </c>
      <c r="K217">
        <v>14</v>
      </c>
      <c r="L217" s="5">
        <f t="shared" si="15"/>
        <v>55.182648401826484</v>
      </c>
      <c r="N217" s="2">
        <f>IF(O217&gt;=90%,5,IF(O217&gt;=80%,4,IF(O217&gt;=70%,3,IF(O217&gt;=60%,2,1))))</f>
        <v>5</v>
      </c>
      <c r="O217" s="3">
        <v>0.96</v>
      </c>
      <c r="P217" t="s">
        <v>69</v>
      </c>
      <c r="Q217" t="s">
        <v>33</v>
      </c>
      <c r="R217">
        <v>14</v>
      </c>
      <c r="S217">
        <v>3</v>
      </c>
    </row>
    <row r="218" spans="1:19" x14ac:dyDescent="0.3">
      <c r="A218" t="s">
        <v>514</v>
      </c>
      <c r="B218" t="s">
        <v>515</v>
      </c>
      <c r="C218" t="str">
        <f t="shared" si="12"/>
        <v>Male</v>
      </c>
      <c r="D218" t="s">
        <v>49</v>
      </c>
      <c r="E218">
        <f t="shared" si="13"/>
        <v>37</v>
      </c>
      <c r="F218">
        <v>37</v>
      </c>
      <c r="G218" t="s">
        <v>124</v>
      </c>
      <c r="H218" t="s">
        <v>25</v>
      </c>
      <c r="I218" t="s">
        <v>74</v>
      </c>
      <c r="J218">
        <f t="shared" si="14"/>
        <v>2</v>
      </c>
      <c r="K218">
        <v>2</v>
      </c>
      <c r="L218" s="5" t="str">
        <f t="shared" si="15"/>
        <v>$30</v>
      </c>
      <c r="M218" s="2" t="s">
        <v>45</v>
      </c>
      <c r="N218" s="2">
        <f>IF(O218&gt;=90%,5,IF(O218&gt;=80%,4,IF(O218&gt;=70%,3,IF(O218&gt;=60%,2,1))))</f>
        <v>1</v>
      </c>
      <c r="O218" s="3">
        <v>0.5</v>
      </c>
      <c r="P218" t="s">
        <v>46</v>
      </c>
      <c r="Q218" t="s">
        <v>33</v>
      </c>
      <c r="R218">
        <v>4</v>
      </c>
      <c r="S218">
        <v>4</v>
      </c>
    </row>
    <row r="219" spans="1:19" x14ac:dyDescent="0.3">
      <c r="A219" t="s">
        <v>516</v>
      </c>
      <c r="B219" t="s">
        <v>517</v>
      </c>
      <c r="C219" t="str">
        <f t="shared" si="12"/>
        <v>Female</v>
      </c>
      <c r="D219" t="s">
        <v>23</v>
      </c>
      <c r="E219">
        <f t="shared" si="13"/>
        <v>21</v>
      </c>
      <c r="F219">
        <v>21</v>
      </c>
      <c r="G219" t="s">
        <v>168</v>
      </c>
      <c r="H219" t="s">
        <v>169</v>
      </c>
      <c r="I219" t="s">
        <v>78</v>
      </c>
      <c r="J219">
        <f t="shared" si="14"/>
        <v>2</v>
      </c>
      <c r="K219">
        <v>2</v>
      </c>
      <c r="L219" s="5">
        <f t="shared" si="15"/>
        <v>100</v>
      </c>
      <c r="M219" s="2">
        <v>100</v>
      </c>
      <c r="N219" s="2">
        <f>IF(O219&gt;=90%,5,IF(O219&gt;=80%,4,IF(O219&gt;=70%,3,IF(O219&gt;=60%,2,1))))</f>
        <v>1</v>
      </c>
      <c r="O219" s="3">
        <v>0.5</v>
      </c>
      <c r="P219" t="s">
        <v>65</v>
      </c>
      <c r="Q219" t="s">
        <v>33</v>
      </c>
      <c r="R219">
        <v>3</v>
      </c>
      <c r="S219">
        <v>1</v>
      </c>
    </row>
    <row r="220" spans="1:19" x14ac:dyDescent="0.3">
      <c r="A220" t="s">
        <v>518</v>
      </c>
      <c r="B220" t="s">
        <v>519</v>
      </c>
      <c r="C220" t="str">
        <f t="shared" si="12"/>
        <v>Male</v>
      </c>
      <c r="D220" t="s">
        <v>61</v>
      </c>
      <c r="E220">
        <f t="shared" si="13"/>
        <v>41</v>
      </c>
      <c r="F220">
        <v>41</v>
      </c>
      <c r="G220" t="s">
        <v>108</v>
      </c>
      <c r="H220" t="s">
        <v>109</v>
      </c>
      <c r="I220" t="s">
        <v>110</v>
      </c>
      <c r="J220">
        <f t="shared" si="14"/>
        <v>4</v>
      </c>
      <c r="K220">
        <v>4</v>
      </c>
      <c r="L220" s="5">
        <f t="shared" si="15"/>
        <v>75</v>
      </c>
      <c r="M220" s="2">
        <v>75</v>
      </c>
      <c r="N220" s="2">
        <f>IF(O220&gt;=90%,5,IF(O220&gt;=80%,4,IF(O220&gt;=70%,3,IF(O220&gt;=60%,2,1))))</f>
        <v>4</v>
      </c>
      <c r="O220" s="3">
        <v>0.85</v>
      </c>
      <c r="P220" t="s">
        <v>46</v>
      </c>
      <c r="Q220" t="s">
        <v>27</v>
      </c>
      <c r="R220">
        <v>4</v>
      </c>
      <c r="S220">
        <v>1</v>
      </c>
    </row>
    <row r="221" spans="1:19" x14ac:dyDescent="0.3">
      <c r="A221" t="s">
        <v>520</v>
      </c>
      <c r="B221" t="s">
        <v>521</v>
      </c>
      <c r="C221" t="str">
        <f t="shared" si="12"/>
        <v>Female</v>
      </c>
      <c r="D221" t="s">
        <v>15</v>
      </c>
      <c r="E221">
        <f t="shared" si="13"/>
        <v>21</v>
      </c>
      <c r="F221">
        <v>21</v>
      </c>
      <c r="G221" t="s">
        <v>124</v>
      </c>
      <c r="H221" t="s">
        <v>25</v>
      </c>
      <c r="I221" t="s">
        <v>44</v>
      </c>
      <c r="J221">
        <f t="shared" si="14"/>
        <v>0</v>
      </c>
      <c r="K221">
        <v>0</v>
      </c>
      <c r="L221" s="5" t="str">
        <f t="shared" si="15"/>
        <v>$40</v>
      </c>
      <c r="M221" s="2" t="s">
        <v>38</v>
      </c>
      <c r="N221" s="2">
        <f>IF(O221&gt;=90%,5,IF(O221&gt;=80%,4,IF(O221&gt;=70%,3,IF(O221&gt;=60%,2,1))))</f>
        <v>3</v>
      </c>
      <c r="O221" s="3">
        <v>0.79</v>
      </c>
      <c r="P221" t="s">
        <v>19</v>
      </c>
      <c r="Q221" t="s">
        <v>27</v>
      </c>
      <c r="R221">
        <v>5</v>
      </c>
      <c r="S221">
        <v>2</v>
      </c>
    </row>
    <row r="222" spans="1:19" x14ac:dyDescent="0.3">
      <c r="A222" t="s">
        <v>522</v>
      </c>
      <c r="B222" t="s">
        <v>523</v>
      </c>
      <c r="C222" t="str">
        <f t="shared" si="12"/>
        <v>Female</v>
      </c>
      <c r="D222" t="s">
        <v>36</v>
      </c>
      <c r="E222">
        <f t="shared" si="13"/>
        <v>58</v>
      </c>
      <c r="F222">
        <v>58</v>
      </c>
      <c r="G222" t="s">
        <v>168</v>
      </c>
      <c r="H222" t="s">
        <v>169</v>
      </c>
      <c r="I222" t="s">
        <v>110</v>
      </c>
      <c r="J222">
        <f t="shared" si="14"/>
        <v>9</v>
      </c>
      <c r="K222">
        <v>9</v>
      </c>
      <c r="L222" s="5">
        <f t="shared" si="15"/>
        <v>30</v>
      </c>
      <c r="M222" s="2">
        <v>30</v>
      </c>
      <c r="N222" s="2">
        <f>IF(O222&gt;=90%,5,IF(O222&gt;=80%,4,IF(O222&gt;=70%,3,IF(O222&gt;=60%,2,1))))</f>
        <v>2</v>
      </c>
      <c r="O222" s="3">
        <v>0.65</v>
      </c>
      <c r="P222" t="s">
        <v>65</v>
      </c>
      <c r="Q222" t="s">
        <v>27</v>
      </c>
      <c r="R222">
        <v>15</v>
      </c>
      <c r="S222">
        <v>6</v>
      </c>
    </row>
    <row r="223" spans="1:19" x14ac:dyDescent="0.3">
      <c r="A223" t="s">
        <v>524</v>
      </c>
      <c r="B223" t="s">
        <v>525</v>
      </c>
      <c r="C223" t="str">
        <f t="shared" si="12"/>
        <v>Male</v>
      </c>
      <c r="D223" t="s">
        <v>95</v>
      </c>
      <c r="E223">
        <f t="shared" si="13"/>
        <v>60</v>
      </c>
      <c r="F223">
        <v>60</v>
      </c>
      <c r="G223" t="s">
        <v>124</v>
      </c>
      <c r="H223" t="s">
        <v>25</v>
      </c>
      <c r="I223" t="s">
        <v>110</v>
      </c>
      <c r="J223">
        <f t="shared" si="14"/>
        <v>3</v>
      </c>
      <c r="K223">
        <v>3</v>
      </c>
      <c r="L223" s="5">
        <f t="shared" si="15"/>
        <v>40</v>
      </c>
      <c r="M223" s="2">
        <v>40</v>
      </c>
      <c r="N223" s="2">
        <f>IF(O223&gt;=90%,5,IF(O223&gt;=80%,4,IF(O223&gt;=70%,3,IF(O223&gt;=60%,2,1))))</f>
        <v>2</v>
      </c>
      <c r="O223" s="3">
        <v>0.63</v>
      </c>
      <c r="P223" t="s">
        <v>69</v>
      </c>
      <c r="Q223" t="s">
        <v>27</v>
      </c>
      <c r="R223">
        <v>1</v>
      </c>
      <c r="S223">
        <v>5</v>
      </c>
    </row>
    <row r="224" spans="1:19" x14ac:dyDescent="0.3">
      <c r="A224" t="s">
        <v>526</v>
      </c>
      <c r="B224" t="s">
        <v>527</v>
      </c>
      <c r="C224" t="str">
        <f t="shared" si="12"/>
        <v>Male</v>
      </c>
      <c r="D224" t="s">
        <v>90</v>
      </c>
      <c r="E224">
        <f t="shared" si="13"/>
        <v>27</v>
      </c>
      <c r="F224">
        <v>27</v>
      </c>
      <c r="G224" t="s">
        <v>147</v>
      </c>
      <c r="H224" t="s">
        <v>148</v>
      </c>
      <c r="I224" t="s">
        <v>37</v>
      </c>
      <c r="J224">
        <f t="shared" si="14"/>
        <v>2</v>
      </c>
      <c r="K224">
        <v>2</v>
      </c>
      <c r="L224" s="5" t="str">
        <f t="shared" si="15"/>
        <v>$40</v>
      </c>
      <c r="M224" s="2" t="s">
        <v>38</v>
      </c>
      <c r="N224" s="2">
        <f>IF(O224&gt;=90%,5,IF(O224&gt;=80%,4,IF(O224&gt;=70%,3,IF(O224&gt;=60%,2,1))))</f>
        <v>1</v>
      </c>
      <c r="O224" s="3">
        <v>0.5</v>
      </c>
      <c r="P224" t="s">
        <v>65</v>
      </c>
      <c r="Q224" t="s">
        <v>20</v>
      </c>
      <c r="R224">
        <v>1</v>
      </c>
      <c r="S224">
        <v>1</v>
      </c>
    </row>
    <row r="225" spans="1:19" x14ac:dyDescent="0.3">
      <c r="A225" t="s">
        <v>528</v>
      </c>
      <c r="B225" t="s">
        <v>529</v>
      </c>
      <c r="C225" t="str">
        <f t="shared" si="12"/>
        <v>Female</v>
      </c>
      <c r="D225" t="s">
        <v>15</v>
      </c>
      <c r="E225">
        <f t="shared" si="13"/>
        <v>29</v>
      </c>
      <c r="F225">
        <v>29</v>
      </c>
      <c r="G225" t="s">
        <v>31</v>
      </c>
      <c r="H225" t="s">
        <v>31</v>
      </c>
      <c r="I225" t="s">
        <v>110</v>
      </c>
      <c r="J225">
        <f t="shared" si="14"/>
        <v>10</v>
      </c>
      <c r="K225">
        <v>10</v>
      </c>
      <c r="L225" s="5" t="str">
        <f t="shared" si="15"/>
        <v>$40</v>
      </c>
      <c r="M225" s="2" t="s">
        <v>38</v>
      </c>
      <c r="N225" s="2">
        <f>IF(O225&gt;=90%,5,IF(O225&gt;=80%,4,IF(O225&gt;=70%,3,IF(O225&gt;=60%,2,1))))</f>
        <v>3</v>
      </c>
      <c r="O225" s="3">
        <v>0.78</v>
      </c>
      <c r="P225" t="s">
        <v>69</v>
      </c>
      <c r="Q225" t="s">
        <v>20</v>
      </c>
      <c r="R225">
        <v>7</v>
      </c>
      <c r="S225">
        <v>6</v>
      </c>
    </row>
    <row r="226" spans="1:19" x14ac:dyDescent="0.3">
      <c r="A226" t="s">
        <v>530</v>
      </c>
      <c r="B226" t="s">
        <v>531</v>
      </c>
      <c r="C226" t="str">
        <f t="shared" si="12"/>
        <v>Female</v>
      </c>
      <c r="D226" t="s">
        <v>77</v>
      </c>
      <c r="E226">
        <f t="shared" si="13"/>
        <v>54</v>
      </c>
      <c r="F226">
        <v>54</v>
      </c>
      <c r="G226" t="s">
        <v>124</v>
      </c>
      <c r="H226" t="s">
        <v>25</v>
      </c>
      <c r="I226" t="s">
        <v>32</v>
      </c>
      <c r="J226">
        <f t="shared" si="14"/>
        <v>33</v>
      </c>
      <c r="K226">
        <v>33</v>
      </c>
      <c r="L226" s="5" t="str">
        <f t="shared" si="15"/>
        <v>$75</v>
      </c>
      <c r="M226" s="2" t="s">
        <v>163</v>
      </c>
      <c r="N226" s="2">
        <f>IF(O226&gt;=90%,5,IF(O226&gt;=80%,4,IF(O226&gt;=70%,3,IF(O226&gt;=60%,2,1))))</f>
        <v>2</v>
      </c>
      <c r="O226" s="3">
        <v>0.62</v>
      </c>
      <c r="P226" t="s">
        <v>65</v>
      </c>
      <c r="Q226" t="s">
        <v>58</v>
      </c>
      <c r="R226">
        <v>18</v>
      </c>
      <c r="S226">
        <v>9</v>
      </c>
    </row>
    <row r="227" spans="1:19" x14ac:dyDescent="0.3">
      <c r="A227" t="s">
        <v>532</v>
      </c>
      <c r="B227" t="s">
        <v>533</v>
      </c>
      <c r="C227" t="str">
        <f t="shared" si="12"/>
        <v>Male</v>
      </c>
      <c r="D227" t="s">
        <v>90</v>
      </c>
      <c r="E227">
        <f t="shared" si="13"/>
        <v>52</v>
      </c>
      <c r="F227">
        <v>52</v>
      </c>
      <c r="G227" t="s">
        <v>172</v>
      </c>
      <c r="H227" t="s">
        <v>73</v>
      </c>
      <c r="I227" t="s">
        <v>110</v>
      </c>
      <c r="J227">
        <f t="shared" si="14"/>
        <v>12</v>
      </c>
      <c r="K227">
        <v>12</v>
      </c>
      <c r="L227" s="5">
        <f t="shared" si="15"/>
        <v>40</v>
      </c>
      <c r="M227" s="2">
        <v>40</v>
      </c>
      <c r="N227" s="2">
        <f>IF(O227&gt;=90%,5,IF(O227&gt;=80%,4,IF(O227&gt;=70%,3,IF(O227&gt;=60%,2,1))))</f>
        <v>3</v>
      </c>
      <c r="O227" s="3">
        <v>0.76</v>
      </c>
      <c r="P227" t="s">
        <v>65</v>
      </c>
      <c r="Q227" t="s">
        <v>27</v>
      </c>
      <c r="R227">
        <v>14</v>
      </c>
      <c r="S227">
        <v>3</v>
      </c>
    </row>
    <row r="228" spans="1:19" x14ac:dyDescent="0.3">
      <c r="A228" t="s">
        <v>534</v>
      </c>
      <c r="B228" t="s">
        <v>535</v>
      </c>
      <c r="C228" t="str">
        <f t="shared" si="12"/>
        <v>Female</v>
      </c>
      <c r="D228" t="s">
        <v>23</v>
      </c>
      <c r="E228">
        <f t="shared" si="13"/>
        <v>55</v>
      </c>
      <c r="F228">
        <v>55</v>
      </c>
      <c r="G228" t="s">
        <v>50</v>
      </c>
      <c r="H228" t="s">
        <v>51</v>
      </c>
      <c r="I228" t="s">
        <v>18</v>
      </c>
      <c r="J228">
        <f t="shared" si="14"/>
        <v>18</v>
      </c>
      <c r="K228">
        <v>18</v>
      </c>
      <c r="L228" s="5">
        <f t="shared" si="15"/>
        <v>100</v>
      </c>
      <c r="M228" s="2">
        <v>100</v>
      </c>
      <c r="N228" s="2">
        <f>IF(O228&gt;=90%,5,IF(O228&gt;=80%,4,IF(O228&gt;=70%,3,IF(O228&gt;=60%,2,1))))</f>
        <v>5</v>
      </c>
      <c r="O228" s="3">
        <v>0.97</v>
      </c>
      <c r="P228" t="s">
        <v>65</v>
      </c>
      <c r="Q228" t="s">
        <v>20</v>
      </c>
      <c r="R228">
        <v>12</v>
      </c>
      <c r="S228">
        <v>9</v>
      </c>
    </row>
    <row r="229" spans="1:19" x14ac:dyDescent="0.3">
      <c r="A229" t="s">
        <v>536</v>
      </c>
      <c r="B229" t="s">
        <v>537</v>
      </c>
      <c r="C229" t="str">
        <f t="shared" si="12"/>
        <v>Male</v>
      </c>
      <c r="D229" t="s">
        <v>30</v>
      </c>
      <c r="E229">
        <f t="shared" si="13"/>
        <v>37</v>
      </c>
      <c r="F229">
        <v>37</v>
      </c>
      <c r="G229" t="s">
        <v>104</v>
      </c>
      <c r="H229" t="s">
        <v>105</v>
      </c>
      <c r="I229" t="s">
        <v>18</v>
      </c>
      <c r="J229">
        <f t="shared" si="14"/>
        <v>4</v>
      </c>
      <c r="K229">
        <v>4</v>
      </c>
      <c r="L229" s="5">
        <f t="shared" si="15"/>
        <v>54.929577464788736</v>
      </c>
      <c r="N229" s="2">
        <f>IF(O229&gt;=90%,5,IF(O229&gt;=80%,4,IF(O229&gt;=70%,3,IF(O229&gt;=60%,2,1))))</f>
        <v>1</v>
      </c>
      <c r="O229" s="3">
        <v>0.5</v>
      </c>
      <c r="P229" t="s">
        <v>19</v>
      </c>
      <c r="Q229" t="s">
        <v>33</v>
      </c>
      <c r="R229">
        <v>3</v>
      </c>
      <c r="S229">
        <v>2</v>
      </c>
    </row>
    <row r="230" spans="1:19" x14ac:dyDescent="0.3">
      <c r="A230" t="s">
        <v>538</v>
      </c>
      <c r="B230" t="s">
        <v>539</v>
      </c>
      <c r="C230" t="str">
        <f t="shared" si="12"/>
        <v>Female</v>
      </c>
      <c r="D230" t="s">
        <v>15</v>
      </c>
      <c r="E230">
        <f t="shared" si="13"/>
        <v>34</v>
      </c>
      <c r="F230">
        <v>34</v>
      </c>
      <c r="G230" t="s">
        <v>135</v>
      </c>
      <c r="H230" t="s">
        <v>136</v>
      </c>
      <c r="I230" t="s">
        <v>52</v>
      </c>
      <c r="J230">
        <f t="shared" si="14"/>
        <v>11</v>
      </c>
      <c r="K230">
        <v>11</v>
      </c>
      <c r="L230" s="5" t="str">
        <f t="shared" si="15"/>
        <v>$50</v>
      </c>
      <c r="M230" s="2" t="s">
        <v>64</v>
      </c>
      <c r="N230" s="2">
        <f>IF(O230&gt;=90%,5,IF(O230&gt;=80%,4,IF(O230&gt;=70%,3,IF(O230&gt;=60%,2,1))))</f>
        <v>4</v>
      </c>
      <c r="O230" s="3">
        <v>0.82</v>
      </c>
      <c r="P230" t="s">
        <v>19</v>
      </c>
      <c r="Q230" t="s">
        <v>27</v>
      </c>
      <c r="R230">
        <v>13</v>
      </c>
      <c r="S230">
        <v>2</v>
      </c>
    </row>
    <row r="231" spans="1:19" x14ac:dyDescent="0.3">
      <c r="A231" t="s">
        <v>540</v>
      </c>
      <c r="B231" t="s">
        <v>541</v>
      </c>
      <c r="C231" t="str">
        <f t="shared" si="12"/>
        <v>Male</v>
      </c>
      <c r="D231" t="s">
        <v>49</v>
      </c>
      <c r="E231">
        <f t="shared" si="13"/>
        <v>20</v>
      </c>
      <c r="F231">
        <v>20</v>
      </c>
      <c r="G231" t="s">
        <v>131</v>
      </c>
      <c r="H231" t="s">
        <v>132</v>
      </c>
      <c r="I231" t="s">
        <v>52</v>
      </c>
      <c r="J231">
        <f t="shared" si="14"/>
        <v>1</v>
      </c>
      <c r="K231">
        <v>1</v>
      </c>
      <c r="L231" s="5">
        <f t="shared" si="15"/>
        <v>50</v>
      </c>
      <c r="M231" s="2">
        <v>50</v>
      </c>
      <c r="N231" s="2">
        <f>IF(O231&gt;=90%,5,IF(O231&gt;=80%,4,IF(O231&gt;=70%,3,IF(O231&gt;=60%,2,1))))</f>
        <v>3</v>
      </c>
      <c r="O231" s="3">
        <v>0.71</v>
      </c>
      <c r="P231" t="s">
        <v>46</v>
      </c>
      <c r="Q231" t="s">
        <v>58</v>
      </c>
      <c r="R231">
        <v>4</v>
      </c>
      <c r="S231">
        <v>3</v>
      </c>
    </row>
    <row r="232" spans="1:19" x14ac:dyDescent="0.3">
      <c r="A232" t="s">
        <v>542</v>
      </c>
      <c r="B232" t="s">
        <v>543</v>
      </c>
      <c r="C232" t="str">
        <f t="shared" si="12"/>
        <v>Male</v>
      </c>
      <c r="D232" t="s">
        <v>49</v>
      </c>
      <c r="E232">
        <f t="shared" si="13"/>
        <v>22</v>
      </c>
      <c r="F232">
        <v>22</v>
      </c>
      <c r="G232" t="s">
        <v>172</v>
      </c>
      <c r="H232" t="s">
        <v>73</v>
      </c>
      <c r="I232" t="s">
        <v>74</v>
      </c>
      <c r="J232">
        <f t="shared" si="14"/>
        <v>2</v>
      </c>
      <c r="K232">
        <v>2</v>
      </c>
      <c r="L232" s="5">
        <f t="shared" si="15"/>
        <v>54.952830188679243</v>
      </c>
      <c r="N232" s="2">
        <f>IF(O232&gt;=90%,5,IF(O232&gt;=80%,4,IF(O232&gt;=70%,3,IF(O232&gt;=60%,2,1))))</f>
        <v>1</v>
      </c>
      <c r="O232" s="3">
        <v>0.5</v>
      </c>
      <c r="P232" t="s">
        <v>46</v>
      </c>
      <c r="Q232" t="s">
        <v>58</v>
      </c>
      <c r="R232">
        <v>5</v>
      </c>
      <c r="S232">
        <v>1</v>
      </c>
    </row>
    <row r="233" spans="1:19" x14ac:dyDescent="0.3">
      <c r="A233" t="s">
        <v>544</v>
      </c>
      <c r="B233" t="s">
        <v>545</v>
      </c>
      <c r="C233" t="str">
        <f t="shared" si="12"/>
        <v>Female</v>
      </c>
      <c r="D233" t="s">
        <v>15</v>
      </c>
      <c r="E233">
        <f t="shared" si="13"/>
        <v>23</v>
      </c>
      <c r="F233">
        <v>23</v>
      </c>
      <c r="G233" t="s">
        <v>108</v>
      </c>
      <c r="H233" t="s">
        <v>109</v>
      </c>
      <c r="I233" t="s">
        <v>32</v>
      </c>
      <c r="J233">
        <f t="shared" si="14"/>
        <v>2</v>
      </c>
      <c r="K233">
        <v>2</v>
      </c>
      <c r="L233" s="5">
        <f t="shared" si="15"/>
        <v>50</v>
      </c>
      <c r="M233" s="2">
        <v>50</v>
      </c>
      <c r="N233" s="2">
        <f>IF(O233&gt;=90%,5,IF(O233&gt;=80%,4,IF(O233&gt;=70%,3,IF(O233&gt;=60%,2,1))))</f>
        <v>1</v>
      </c>
      <c r="O233" s="3">
        <v>0.5</v>
      </c>
      <c r="P233" t="s">
        <v>69</v>
      </c>
      <c r="Q233" t="s">
        <v>58</v>
      </c>
      <c r="R233">
        <v>2</v>
      </c>
      <c r="S233">
        <v>1</v>
      </c>
    </row>
    <row r="234" spans="1:19" x14ac:dyDescent="0.3">
      <c r="A234" t="s">
        <v>546</v>
      </c>
      <c r="B234" t="s">
        <v>547</v>
      </c>
      <c r="C234" t="str">
        <f t="shared" si="12"/>
        <v>Female</v>
      </c>
      <c r="D234" t="s">
        <v>36</v>
      </c>
      <c r="E234">
        <f t="shared" si="13"/>
        <v>53</v>
      </c>
      <c r="F234">
        <v>53</v>
      </c>
      <c r="G234" t="s">
        <v>108</v>
      </c>
      <c r="H234" t="s">
        <v>109</v>
      </c>
      <c r="I234" t="s">
        <v>18</v>
      </c>
      <c r="J234">
        <f t="shared" si="14"/>
        <v>34</v>
      </c>
      <c r="K234">
        <v>34</v>
      </c>
      <c r="L234" s="5">
        <f t="shared" si="15"/>
        <v>30</v>
      </c>
      <c r="M234" s="2">
        <v>30</v>
      </c>
      <c r="N234" s="2">
        <f>IF(O234&gt;=90%,5,IF(O234&gt;=80%,4,IF(O234&gt;=70%,3,IF(O234&gt;=60%,2,1))))</f>
        <v>1</v>
      </c>
      <c r="O234" s="3">
        <v>0.5</v>
      </c>
      <c r="P234" t="s">
        <v>19</v>
      </c>
      <c r="Q234" t="s">
        <v>33</v>
      </c>
      <c r="R234">
        <v>14</v>
      </c>
      <c r="S234">
        <v>9</v>
      </c>
    </row>
    <row r="235" spans="1:19" x14ac:dyDescent="0.3">
      <c r="A235" t="s">
        <v>548</v>
      </c>
      <c r="B235" t="s">
        <v>549</v>
      </c>
      <c r="C235" t="str">
        <f t="shared" si="12"/>
        <v>Female</v>
      </c>
      <c r="D235" t="s">
        <v>36</v>
      </c>
      <c r="E235">
        <f t="shared" si="13"/>
        <v>56</v>
      </c>
      <c r="F235">
        <v>56</v>
      </c>
      <c r="G235" t="s">
        <v>108</v>
      </c>
      <c r="H235" t="s">
        <v>109</v>
      </c>
      <c r="I235" t="s">
        <v>32</v>
      </c>
      <c r="J235">
        <f t="shared" si="14"/>
        <v>27</v>
      </c>
      <c r="K235">
        <v>27</v>
      </c>
      <c r="L235" s="5">
        <f t="shared" si="15"/>
        <v>100</v>
      </c>
      <c r="M235" s="2">
        <v>100</v>
      </c>
      <c r="N235" s="2">
        <f>IF(O235&gt;=90%,5,IF(O235&gt;=80%,4,IF(O235&gt;=70%,3,IF(O235&gt;=60%,2,1))))</f>
        <v>2</v>
      </c>
      <c r="O235" s="3">
        <v>0.69</v>
      </c>
      <c r="P235" t="s">
        <v>69</v>
      </c>
      <c r="Q235" t="s">
        <v>20</v>
      </c>
      <c r="R235">
        <v>19</v>
      </c>
      <c r="S235">
        <v>7</v>
      </c>
    </row>
    <row r="236" spans="1:19" x14ac:dyDescent="0.3">
      <c r="A236" t="s">
        <v>550</v>
      </c>
      <c r="B236" t="s">
        <v>551</v>
      </c>
      <c r="C236" t="str">
        <f t="shared" si="12"/>
        <v>Male</v>
      </c>
      <c r="D236" t="s">
        <v>90</v>
      </c>
      <c r="E236">
        <f t="shared" si="13"/>
        <v>27</v>
      </c>
      <c r="F236">
        <v>27</v>
      </c>
      <c r="G236" t="s">
        <v>124</v>
      </c>
      <c r="H236" t="s">
        <v>25</v>
      </c>
      <c r="I236" t="s">
        <v>44</v>
      </c>
      <c r="J236">
        <f t="shared" si="14"/>
        <v>4</v>
      </c>
      <c r="K236">
        <v>4</v>
      </c>
      <c r="L236" s="5">
        <f t="shared" si="15"/>
        <v>75</v>
      </c>
      <c r="M236" s="2">
        <v>75</v>
      </c>
      <c r="N236" s="2">
        <f>IF(O236&gt;=90%,5,IF(O236&gt;=80%,4,IF(O236&gt;=70%,3,IF(O236&gt;=60%,2,1))))</f>
        <v>4</v>
      </c>
      <c r="O236" s="3">
        <v>0.88</v>
      </c>
      <c r="P236" t="s">
        <v>46</v>
      </c>
      <c r="Q236" t="s">
        <v>33</v>
      </c>
      <c r="R236">
        <v>5</v>
      </c>
      <c r="S236">
        <v>1</v>
      </c>
    </row>
    <row r="237" spans="1:19" x14ac:dyDescent="0.3">
      <c r="A237" t="s">
        <v>552</v>
      </c>
      <c r="B237" t="s">
        <v>553</v>
      </c>
      <c r="C237" t="str">
        <f t="shared" si="12"/>
        <v>Male</v>
      </c>
      <c r="D237" t="s">
        <v>95</v>
      </c>
      <c r="E237">
        <f t="shared" si="13"/>
        <v>34</v>
      </c>
      <c r="F237">
        <v>34</v>
      </c>
      <c r="G237" t="s">
        <v>16</v>
      </c>
      <c r="H237" t="s">
        <v>17</v>
      </c>
      <c r="I237" t="s">
        <v>26</v>
      </c>
      <c r="J237">
        <f t="shared" si="14"/>
        <v>11</v>
      </c>
      <c r="K237">
        <v>11</v>
      </c>
      <c r="L237" s="5" t="str">
        <f t="shared" si="15"/>
        <v>$40</v>
      </c>
      <c r="M237" s="2" t="s">
        <v>38</v>
      </c>
      <c r="N237" s="2">
        <f>IF(O237&gt;=90%,5,IF(O237&gt;=80%,4,IF(O237&gt;=70%,3,IF(O237&gt;=60%,2,1))))</f>
        <v>2</v>
      </c>
      <c r="O237" s="3">
        <v>0.67</v>
      </c>
      <c r="P237" t="s">
        <v>69</v>
      </c>
      <c r="Q237" t="s">
        <v>27</v>
      </c>
      <c r="R237">
        <v>13</v>
      </c>
      <c r="S237">
        <v>9</v>
      </c>
    </row>
    <row r="238" spans="1:19" x14ac:dyDescent="0.3">
      <c r="A238" t="s">
        <v>554</v>
      </c>
      <c r="B238" t="s">
        <v>555</v>
      </c>
      <c r="C238" t="str">
        <f t="shared" si="12"/>
        <v>Male</v>
      </c>
      <c r="D238" t="s">
        <v>90</v>
      </c>
      <c r="E238">
        <f t="shared" si="13"/>
        <v>29</v>
      </c>
      <c r="F238">
        <v>29</v>
      </c>
      <c r="G238" t="s">
        <v>57</v>
      </c>
      <c r="H238" t="s">
        <v>25</v>
      </c>
      <c r="I238" t="s">
        <v>37</v>
      </c>
      <c r="J238">
        <f t="shared" si="14"/>
        <v>4</v>
      </c>
      <c r="K238">
        <v>4</v>
      </c>
      <c r="L238" s="5" t="str">
        <f t="shared" si="15"/>
        <v>$50</v>
      </c>
      <c r="M238" s="2" t="s">
        <v>64</v>
      </c>
      <c r="N238" s="2">
        <f>IF(O238&gt;=90%,5,IF(O238&gt;=80%,4,IF(O238&gt;=70%,3,IF(O238&gt;=60%,2,1))))</f>
        <v>1</v>
      </c>
      <c r="O238" s="3">
        <v>0.5</v>
      </c>
      <c r="P238" t="s">
        <v>46</v>
      </c>
      <c r="Q238" t="s">
        <v>58</v>
      </c>
      <c r="R238">
        <v>3</v>
      </c>
      <c r="S238">
        <v>2</v>
      </c>
    </row>
    <row r="239" spans="1:19" x14ac:dyDescent="0.3">
      <c r="A239" t="s">
        <v>556</v>
      </c>
      <c r="B239" t="s">
        <v>557</v>
      </c>
      <c r="C239" t="str">
        <f t="shared" si="12"/>
        <v>Male</v>
      </c>
      <c r="D239" t="s">
        <v>90</v>
      </c>
      <c r="E239">
        <f t="shared" si="13"/>
        <v>34</v>
      </c>
      <c r="F239">
        <v>34</v>
      </c>
      <c r="G239" t="s">
        <v>91</v>
      </c>
      <c r="H239" t="s">
        <v>92</v>
      </c>
      <c r="I239" t="s">
        <v>44</v>
      </c>
      <c r="J239">
        <f t="shared" si="14"/>
        <v>11</v>
      </c>
      <c r="K239">
        <v>11</v>
      </c>
      <c r="L239" s="5">
        <f t="shared" si="15"/>
        <v>54.783653846153847</v>
      </c>
      <c r="N239" s="2">
        <f>IF(O239&gt;=90%,5,IF(O239&gt;=80%,4,IF(O239&gt;=70%,3,IF(O239&gt;=60%,2,1))))</f>
        <v>1</v>
      </c>
      <c r="O239" s="3">
        <v>0.5</v>
      </c>
      <c r="P239" t="s">
        <v>19</v>
      </c>
      <c r="Q239" t="s">
        <v>33</v>
      </c>
      <c r="R239">
        <v>11</v>
      </c>
      <c r="S239">
        <v>4</v>
      </c>
    </row>
    <row r="240" spans="1:19" x14ac:dyDescent="0.3">
      <c r="A240" t="s">
        <v>558</v>
      </c>
      <c r="B240" t="s">
        <v>559</v>
      </c>
      <c r="C240" t="str">
        <f t="shared" si="12"/>
        <v>Female</v>
      </c>
      <c r="D240" t="s">
        <v>39</v>
      </c>
      <c r="E240">
        <f t="shared" si="13"/>
        <v>32</v>
      </c>
      <c r="F240">
        <v>32</v>
      </c>
      <c r="G240" t="s">
        <v>172</v>
      </c>
      <c r="H240" t="s">
        <v>73</v>
      </c>
      <c r="I240" t="s">
        <v>44</v>
      </c>
      <c r="J240">
        <f t="shared" si="14"/>
        <v>1</v>
      </c>
      <c r="K240">
        <v>1</v>
      </c>
      <c r="L240" s="5">
        <f t="shared" si="15"/>
        <v>100</v>
      </c>
      <c r="M240" s="2">
        <v>100</v>
      </c>
      <c r="N240" s="2">
        <f>IF(O240&gt;=90%,5,IF(O240&gt;=80%,4,IF(O240&gt;=70%,3,IF(O240&gt;=60%,2,1))))</f>
        <v>2</v>
      </c>
      <c r="O240" s="3">
        <v>0.67</v>
      </c>
      <c r="P240" t="s">
        <v>65</v>
      </c>
      <c r="Q240" t="s">
        <v>33</v>
      </c>
      <c r="R240">
        <v>5</v>
      </c>
      <c r="S240">
        <v>1</v>
      </c>
    </row>
    <row r="241" spans="1:19" x14ac:dyDescent="0.3">
      <c r="A241" t="s">
        <v>560</v>
      </c>
      <c r="B241" t="s">
        <v>561</v>
      </c>
      <c r="C241" t="str">
        <f t="shared" si="12"/>
        <v>Female</v>
      </c>
      <c r="D241" t="s">
        <v>15</v>
      </c>
      <c r="E241">
        <f t="shared" si="13"/>
        <v>21</v>
      </c>
      <c r="F241">
        <v>21</v>
      </c>
      <c r="G241" t="s">
        <v>147</v>
      </c>
      <c r="H241" t="s">
        <v>148</v>
      </c>
      <c r="I241" t="s">
        <v>110</v>
      </c>
      <c r="J241">
        <f t="shared" si="14"/>
        <v>2</v>
      </c>
      <c r="K241">
        <v>2</v>
      </c>
      <c r="L241" s="5">
        <f t="shared" si="15"/>
        <v>20</v>
      </c>
      <c r="M241" s="2">
        <v>20</v>
      </c>
      <c r="N241" s="2">
        <f>IF(O241&gt;=90%,5,IF(O241&gt;=80%,4,IF(O241&gt;=70%,3,IF(O241&gt;=60%,2,1))))</f>
        <v>4</v>
      </c>
      <c r="O241" s="3">
        <v>0.86</v>
      </c>
      <c r="P241" t="s">
        <v>19</v>
      </c>
      <c r="Q241" t="s">
        <v>20</v>
      </c>
      <c r="R241">
        <v>4</v>
      </c>
      <c r="S241">
        <v>2</v>
      </c>
    </row>
    <row r="242" spans="1:19" x14ac:dyDescent="0.3">
      <c r="A242" t="s">
        <v>562</v>
      </c>
      <c r="B242" t="s">
        <v>563</v>
      </c>
      <c r="C242" t="str">
        <f t="shared" si="12"/>
        <v>Male</v>
      </c>
      <c r="D242" t="s">
        <v>61</v>
      </c>
      <c r="E242">
        <f t="shared" si="13"/>
        <v>20</v>
      </c>
      <c r="F242">
        <v>20</v>
      </c>
      <c r="G242" t="s">
        <v>172</v>
      </c>
      <c r="H242" t="s">
        <v>73</v>
      </c>
      <c r="I242" t="s">
        <v>32</v>
      </c>
      <c r="J242">
        <f t="shared" si="14"/>
        <v>2</v>
      </c>
      <c r="K242">
        <v>2</v>
      </c>
      <c r="L242" s="5">
        <f t="shared" si="15"/>
        <v>54.733009708737868</v>
      </c>
      <c r="N242" s="2">
        <f>IF(O242&gt;=90%,5,IF(O242&gt;=80%,4,IF(O242&gt;=70%,3,IF(O242&gt;=60%,2,1))))</f>
        <v>2</v>
      </c>
      <c r="O242" s="3">
        <v>0.69</v>
      </c>
      <c r="P242" t="s">
        <v>69</v>
      </c>
      <c r="Q242" t="s">
        <v>20</v>
      </c>
      <c r="R242">
        <v>3</v>
      </c>
      <c r="S242">
        <v>1</v>
      </c>
    </row>
    <row r="243" spans="1:19" x14ac:dyDescent="0.3">
      <c r="A243" t="s">
        <v>564</v>
      </c>
      <c r="B243" t="s">
        <v>565</v>
      </c>
      <c r="C243" t="str">
        <f t="shared" si="12"/>
        <v>Female</v>
      </c>
      <c r="D243" t="s">
        <v>23</v>
      </c>
      <c r="E243">
        <f t="shared" si="13"/>
        <v>35</v>
      </c>
      <c r="F243">
        <v>35</v>
      </c>
      <c r="G243" t="s">
        <v>57</v>
      </c>
      <c r="H243" t="s">
        <v>25</v>
      </c>
      <c r="I243" t="s">
        <v>26</v>
      </c>
      <c r="J243">
        <f t="shared" si="14"/>
        <v>10</v>
      </c>
      <c r="K243">
        <v>10</v>
      </c>
      <c r="L243" s="5">
        <f t="shared" si="15"/>
        <v>50</v>
      </c>
      <c r="M243" s="2">
        <v>50</v>
      </c>
      <c r="N243" s="2">
        <f>IF(O243&gt;=90%,5,IF(O243&gt;=80%,4,IF(O243&gt;=70%,3,IF(O243&gt;=60%,2,1))))</f>
        <v>4</v>
      </c>
      <c r="O243" s="3">
        <v>0.85</v>
      </c>
      <c r="P243" t="s">
        <v>69</v>
      </c>
      <c r="Q243" t="s">
        <v>58</v>
      </c>
      <c r="R243">
        <v>8</v>
      </c>
      <c r="S243">
        <v>4</v>
      </c>
    </row>
    <row r="244" spans="1:19" x14ac:dyDescent="0.3">
      <c r="A244" t="s">
        <v>566</v>
      </c>
      <c r="B244" t="s">
        <v>567</v>
      </c>
      <c r="C244" t="str">
        <f t="shared" si="12"/>
        <v>Female</v>
      </c>
      <c r="D244" t="s">
        <v>15</v>
      </c>
      <c r="E244">
        <f t="shared" si="13"/>
        <v>47</v>
      </c>
      <c r="F244">
        <v>47</v>
      </c>
      <c r="G244" t="s">
        <v>57</v>
      </c>
      <c r="H244" t="s">
        <v>25</v>
      </c>
      <c r="I244" t="s">
        <v>74</v>
      </c>
      <c r="J244">
        <f t="shared" si="14"/>
        <v>18</v>
      </c>
      <c r="K244">
        <v>18</v>
      </c>
      <c r="L244" s="5">
        <f t="shared" si="15"/>
        <v>40</v>
      </c>
      <c r="M244" s="2">
        <v>40</v>
      </c>
      <c r="N244" s="2">
        <f>IF(O244&gt;=90%,5,IF(O244&gt;=80%,4,IF(O244&gt;=70%,3,IF(O244&gt;=60%,2,1))))</f>
        <v>2</v>
      </c>
      <c r="O244" s="3">
        <v>0.6</v>
      </c>
      <c r="P244" t="s">
        <v>19</v>
      </c>
      <c r="Q244" t="s">
        <v>33</v>
      </c>
      <c r="R244">
        <v>11</v>
      </c>
      <c r="S244">
        <v>10</v>
      </c>
    </row>
    <row r="245" spans="1:19" x14ac:dyDescent="0.3">
      <c r="A245" t="s">
        <v>568</v>
      </c>
      <c r="B245" t="s">
        <v>569</v>
      </c>
      <c r="C245" t="str">
        <f t="shared" si="12"/>
        <v>Female</v>
      </c>
      <c r="D245" t="s">
        <v>15</v>
      </c>
      <c r="E245">
        <f t="shared" si="13"/>
        <v>41</v>
      </c>
      <c r="F245">
        <v>41</v>
      </c>
      <c r="G245" t="s">
        <v>62</v>
      </c>
      <c r="H245" t="s">
        <v>63</v>
      </c>
      <c r="I245" t="s">
        <v>18</v>
      </c>
      <c r="J245">
        <f t="shared" si="14"/>
        <v>4</v>
      </c>
      <c r="K245">
        <v>4</v>
      </c>
      <c r="L245" s="5">
        <f t="shared" si="15"/>
        <v>40</v>
      </c>
      <c r="M245" s="2">
        <v>40</v>
      </c>
      <c r="N245" s="2">
        <f>IF(O245&gt;=90%,5,IF(O245&gt;=80%,4,IF(O245&gt;=70%,3,IF(O245&gt;=60%,2,1))))</f>
        <v>3</v>
      </c>
      <c r="O245" s="3">
        <v>0.7</v>
      </c>
      <c r="P245" t="s">
        <v>19</v>
      </c>
      <c r="Q245" t="s">
        <v>33</v>
      </c>
      <c r="R245">
        <v>2</v>
      </c>
      <c r="S245">
        <v>2</v>
      </c>
    </row>
    <row r="246" spans="1:19" x14ac:dyDescent="0.3">
      <c r="A246" t="s">
        <v>570</v>
      </c>
      <c r="B246" t="s">
        <v>571</v>
      </c>
      <c r="C246" t="str">
        <f t="shared" si="12"/>
        <v>Male</v>
      </c>
      <c r="D246" t="s">
        <v>30</v>
      </c>
      <c r="E246">
        <f t="shared" si="13"/>
        <v>58</v>
      </c>
      <c r="F246">
        <v>58</v>
      </c>
      <c r="G246" t="s">
        <v>72</v>
      </c>
      <c r="H246" t="s">
        <v>73</v>
      </c>
      <c r="I246" t="s">
        <v>37</v>
      </c>
      <c r="J246">
        <f t="shared" si="14"/>
        <v>23</v>
      </c>
      <c r="K246">
        <v>23</v>
      </c>
      <c r="L246" s="5">
        <f t="shared" si="15"/>
        <v>54.901477832512313</v>
      </c>
      <c r="N246" s="2">
        <f>IF(O246&gt;=90%,5,IF(O246&gt;=80%,4,IF(O246&gt;=70%,3,IF(O246&gt;=60%,2,1))))</f>
        <v>1</v>
      </c>
      <c r="O246" s="3">
        <v>0.5</v>
      </c>
      <c r="P246" t="s">
        <v>46</v>
      </c>
      <c r="Q246" t="s">
        <v>20</v>
      </c>
      <c r="R246">
        <v>19</v>
      </c>
      <c r="S246">
        <v>5</v>
      </c>
    </row>
    <row r="247" spans="1:19" x14ac:dyDescent="0.3">
      <c r="A247" t="s">
        <v>572</v>
      </c>
      <c r="B247" t="s">
        <v>573</v>
      </c>
      <c r="C247" t="str">
        <f t="shared" si="12"/>
        <v>Male</v>
      </c>
      <c r="D247" t="s">
        <v>49</v>
      </c>
      <c r="E247">
        <f t="shared" si="13"/>
        <v>34</v>
      </c>
      <c r="F247">
        <v>34</v>
      </c>
      <c r="G247" t="s">
        <v>168</v>
      </c>
      <c r="H247" t="s">
        <v>169</v>
      </c>
      <c r="I247" t="s">
        <v>52</v>
      </c>
      <c r="J247">
        <f t="shared" si="14"/>
        <v>6</v>
      </c>
      <c r="K247">
        <v>6</v>
      </c>
      <c r="L247" s="5">
        <f t="shared" si="15"/>
        <v>75</v>
      </c>
      <c r="M247" s="2">
        <v>75</v>
      </c>
      <c r="N247" s="2">
        <f>IF(O247&gt;=90%,5,IF(O247&gt;=80%,4,IF(O247&gt;=70%,3,IF(O247&gt;=60%,2,1))))</f>
        <v>4</v>
      </c>
      <c r="O247" s="3">
        <v>0.81</v>
      </c>
      <c r="P247" t="s">
        <v>69</v>
      </c>
      <c r="Q247" t="s">
        <v>33</v>
      </c>
      <c r="R247">
        <v>9</v>
      </c>
      <c r="S247">
        <v>6</v>
      </c>
    </row>
    <row r="248" spans="1:19" x14ac:dyDescent="0.3">
      <c r="A248" t="s">
        <v>574</v>
      </c>
      <c r="B248" t="s">
        <v>575</v>
      </c>
      <c r="C248" t="str">
        <f t="shared" si="12"/>
        <v>Female</v>
      </c>
      <c r="D248" t="s">
        <v>15</v>
      </c>
      <c r="E248">
        <f t="shared" si="13"/>
        <v>50</v>
      </c>
      <c r="F248">
        <v>50</v>
      </c>
      <c r="G248" t="s">
        <v>91</v>
      </c>
      <c r="H248" t="s">
        <v>92</v>
      </c>
      <c r="I248" t="s">
        <v>26</v>
      </c>
      <c r="J248">
        <f t="shared" si="14"/>
        <v>5</v>
      </c>
      <c r="K248">
        <v>5</v>
      </c>
      <c r="L248" s="5">
        <f t="shared" si="15"/>
        <v>100</v>
      </c>
      <c r="M248" s="2">
        <v>100</v>
      </c>
      <c r="N248" s="2">
        <f>IF(O248&gt;=90%,5,IF(O248&gt;=80%,4,IF(O248&gt;=70%,3,IF(O248&gt;=60%,2,1))))</f>
        <v>1</v>
      </c>
      <c r="O248" s="3">
        <v>0.5</v>
      </c>
      <c r="P248" t="s">
        <v>69</v>
      </c>
      <c r="Q248" t="s">
        <v>33</v>
      </c>
      <c r="R248">
        <v>4</v>
      </c>
      <c r="S248">
        <v>1</v>
      </c>
    </row>
    <row r="249" spans="1:19" x14ac:dyDescent="0.3">
      <c r="A249" t="s">
        <v>576</v>
      </c>
      <c r="B249" t="s">
        <v>577</v>
      </c>
      <c r="C249" t="str">
        <f t="shared" si="12"/>
        <v>Female</v>
      </c>
      <c r="D249" t="s">
        <v>15</v>
      </c>
      <c r="E249">
        <f t="shared" si="13"/>
        <v>42</v>
      </c>
      <c r="F249">
        <v>42</v>
      </c>
      <c r="G249" t="s">
        <v>172</v>
      </c>
      <c r="H249" t="s">
        <v>73</v>
      </c>
      <c r="I249" t="s">
        <v>87</v>
      </c>
      <c r="J249">
        <f t="shared" si="14"/>
        <v>19</v>
      </c>
      <c r="K249">
        <v>19</v>
      </c>
      <c r="L249" s="5" t="str">
        <f t="shared" si="15"/>
        <v>$75</v>
      </c>
      <c r="M249" s="2" t="s">
        <v>163</v>
      </c>
      <c r="N249" s="2">
        <f>IF(O249&gt;=90%,5,IF(O249&gt;=80%,4,IF(O249&gt;=70%,3,IF(O249&gt;=60%,2,1))))</f>
        <v>3</v>
      </c>
      <c r="O249" s="3">
        <v>0.78</v>
      </c>
      <c r="P249" t="s">
        <v>19</v>
      </c>
      <c r="Q249" t="s">
        <v>33</v>
      </c>
      <c r="R249">
        <v>18</v>
      </c>
      <c r="S249">
        <v>13</v>
      </c>
    </row>
    <row r="250" spans="1:19" x14ac:dyDescent="0.3">
      <c r="A250" t="s">
        <v>578</v>
      </c>
      <c r="B250" t="s">
        <v>579</v>
      </c>
      <c r="C250" t="str">
        <f t="shared" si="12"/>
        <v>Male</v>
      </c>
      <c r="D250" t="s">
        <v>90</v>
      </c>
      <c r="E250">
        <f t="shared" si="13"/>
        <v>43</v>
      </c>
      <c r="F250">
        <v>43</v>
      </c>
      <c r="G250" t="s">
        <v>31</v>
      </c>
      <c r="H250" t="s">
        <v>31</v>
      </c>
      <c r="I250" t="s">
        <v>74</v>
      </c>
      <c r="J250">
        <f t="shared" si="14"/>
        <v>6</v>
      </c>
      <c r="K250">
        <v>6</v>
      </c>
      <c r="L250" s="5">
        <f t="shared" si="15"/>
        <v>50</v>
      </c>
      <c r="M250" s="2">
        <v>50</v>
      </c>
      <c r="N250" s="2">
        <f>IF(O250&gt;=90%,5,IF(O250&gt;=80%,4,IF(O250&gt;=70%,3,IF(O250&gt;=60%,2,1))))</f>
        <v>4</v>
      </c>
      <c r="O250" s="3">
        <v>0.81</v>
      </c>
      <c r="P250" t="s">
        <v>65</v>
      </c>
      <c r="Q250" t="s">
        <v>20</v>
      </c>
      <c r="R250">
        <v>8</v>
      </c>
      <c r="S250">
        <v>13</v>
      </c>
    </row>
    <row r="251" spans="1:19" x14ac:dyDescent="0.3">
      <c r="A251" t="s">
        <v>580</v>
      </c>
      <c r="B251" t="s">
        <v>581</v>
      </c>
      <c r="C251" t="str">
        <f t="shared" si="12"/>
        <v>Male</v>
      </c>
      <c r="D251" t="s">
        <v>95</v>
      </c>
      <c r="E251">
        <f t="shared" si="13"/>
        <v>34</v>
      </c>
      <c r="F251">
        <v>34</v>
      </c>
      <c r="G251" t="s">
        <v>31</v>
      </c>
      <c r="H251" t="s">
        <v>31</v>
      </c>
      <c r="I251" t="s">
        <v>52</v>
      </c>
      <c r="J251">
        <f t="shared" si="14"/>
        <v>8</v>
      </c>
      <c r="K251">
        <v>8</v>
      </c>
      <c r="L251" s="5">
        <f t="shared" si="15"/>
        <v>75</v>
      </c>
      <c r="M251" s="2">
        <v>75</v>
      </c>
      <c r="N251" s="2">
        <f>IF(O251&gt;=90%,5,IF(O251&gt;=80%,4,IF(O251&gt;=70%,3,IF(O251&gt;=60%,2,1))))</f>
        <v>3</v>
      </c>
      <c r="O251" s="3">
        <v>0.71</v>
      </c>
      <c r="P251" t="s">
        <v>69</v>
      </c>
      <c r="Q251" t="s">
        <v>58</v>
      </c>
      <c r="R251">
        <v>8</v>
      </c>
      <c r="S251">
        <v>9</v>
      </c>
    </row>
    <row r="252" spans="1:19" x14ac:dyDescent="0.3">
      <c r="A252" t="s">
        <v>582</v>
      </c>
      <c r="B252" t="s">
        <v>583</v>
      </c>
      <c r="C252" t="str">
        <f t="shared" si="12"/>
        <v>Male</v>
      </c>
      <c r="D252" t="s">
        <v>95</v>
      </c>
      <c r="E252">
        <f t="shared" si="13"/>
        <v>24</v>
      </c>
      <c r="F252">
        <v>24</v>
      </c>
      <c r="G252" t="s">
        <v>183</v>
      </c>
      <c r="H252" t="s">
        <v>73</v>
      </c>
      <c r="I252" t="s">
        <v>26</v>
      </c>
      <c r="J252">
        <f t="shared" si="14"/>
        <v>3</v>
      </c>
      <c r="K252">
        <v>3</v>
      </c>
      <c r="L252" s="5">
        <f t="shared" si="15"/>
        <v>75</v>
      </c>
      <c r="M252" s="2">
        <v>75</v>
      </c>
      <c r="N252" s="2">
        <f>IF(O252&gt;=90%,5,IF(O252&gt;=80%,4,IF(O252&gt;=70%,3,IF(O252&gt;=60%,2,1))))</f>
        <v>1</v>
      </c>
      <c r="O252" s="3">
        <v>0.5</v>
      </c>
      <c r="P252" t="s">
        <v>65</v>
      </c>
      <c r="Q252" t="s">
        <v>27</v>
      </c>
      <c r="R252">
        <v>2</v>
      </c>
      <c r="S252">
        <v>1</v>
      </c>
    </row>
    <row r="253" spans="1:19" x14ac:dyDescent="0.3">
      <c r="A253" t="s">
        <v>584</v>
      </c>
      <c r="B253" t="s">
        <v>585</v>
      </c>
      <c r="C253" t="str">
        <f t="shared" si="12"/>
        <v>Male</v>
      </c>
      <c r="D253" t="s">
        <v>49</v>
      </c>
      <c r="E253">
        <f t="shared" si="13"/>
        <v>48</v>
      </c>
      <c r="F253">
        <v>48</v>
      </c>
      <c r="G253" t="s">
        <v>147</v>
      </c>
      <c r="H253" t="s">
        <v>148</v>
      </c>
      <c r="I253" t="s">
        <v>74</v>
      </c>
      <c r="J253">
        <f t="shared" si="14"/>
        <v>8</v>
      </c>
      <c r="K253">
        <v>8</v>
      </c>
      <c r="L253" s="5">
        <f t="shared" si="15"/>
        <v>30</v>
      </c>
      <c r="M253" s="2">
        <v>30</v>
      </c>
      <c r="N253" s="2">
        <f>IF(O253&gt;=90%,5,IF(O253&gt;=80%,4,IF(O253&gt;=70%,3,IF(O253&gt;=60%,2,1))))</f>
        <v>5</v>
      </c>
      <c r="O253" s="3">
        <v>0.99</v>
      </c>
      <c r="P253" t="s">
        <v>19</v>
      </c>
      <c r="Q253" t="s">
        <v>58</v>
      </c>
      <c r="R253">
        <v>6</v>
      </c>
      <c r="S253">
        <v>9</v>
      </c>
    </row>
    <row r="254" spans="1:19" x14ac:dyDescent="0.3">
      <c r="A254" t="s">
        <v>586</v>
      </c>
      <c r="B254" t="s">
        <v>587</v>
      </c>
      <c r="C254" t="str">
        <f t="shared" si="12"/>
        <v>Female</v>
      </c>
      <c r="D254" t="s">
        <v>36</v>
      </c>
      <c r="E254">
        <f t="shared" si="13"/>
        <v>39</v>
      </c>
      <c r="F254">
        <v>39</v>
      </c>
      <c r="G254" t="s">
        <v>108</v>
      </c>
      <c r="H254" t="s">
        <v>109</v>
      </c>
      <c r="I254" t="s">
        <v>52</v>
      </c>
      <c r="J254">
        <f t="shared" si="14"/>
        <v>12</v>
      </c>
      <c r="K254">
        <v>12</v>
      </c>
      <c r="L254" s="5" t="str">
        <f t="shared" si="15"/>
        <v>$20</v>
      </c>
      <c r="M254" s="2" t="s">
        <v>117</v>
      </c>
      <c r="N254" s="2">
        <f>IF(O254&gt;=90%,5,IF(O254&gt;=80%,4,IF(O254&gt;=70%,3,IF(O254&gt;=60%,2,1))))</f>
        <v>2</v>
      </c>
      <c r="O254" s="3">
        <v>0.66</v>
      </c>
      <c r="P254" t="s">
        <v>19</v>
      </c>
      <c r="Q254" t="s">
        <v>27</v>
      </c>
      <c r="R254">
        <v>15</v>
      </c>
      <c r="S254">
        <v>6</v>
      </c>
    </row>
    <row r="255" spans="1:19" x14ac:dyDescent="0.3">
      <c r="A255" t="s">
        <v>588</v>
      </c>
      <c r="B255" t="s">
        <v>589</v>
      </c>
      <c r="C255" t="str">
        <f t="shared" ref="C255:C318" si="16">IF(LEFT(LOWER(TRIM(D255)),1)="f","Female","Male")</f>
        <v>Female</v>
      </c>
      <c r="D255" t="s">
        <v>36</v>
      </c>
      <c r="E255">
        <f t="shared" si="13"/>
        <v>57</v>
      </c>
      <c r="F255">
        <v>57</v>
      </c>
      <c r="G255" t="s">
        <v>24</v>
      </c>
      <c r="H255" t="s">
        <v>25</v>
      </c>
      <c r="I255" t="s">
        <v>18</v>
      </c>
      <c r="J255">
        <f t="shared" si="14"/>
        <v>30</v>
      </c>
      <c r="K255">
        <v>30</v>
      </c>
      <c r="L255" s="5" t="str">
        <f t="shared" si="15"/>
        <v>$30</v>
      </c>
      <c r="M255" s="2" t="s">
        <v>45</v>
      </c>
      <c r="N255" s="2">
        <f>IF(O255&gt;=90%,5,IF(O255&gt;=80%,4,IF(O255&gt;=70%,3,IF(O255&gt;=60%,2,1))))</f>
        <v>4</v>
      </c>
      <c r="O255" s="3">
        <v>0.8</v>
      </c>
      <c r="P255" t="s">
        <v>46</v>
      </c>
      <c r="Q255" t="s">
        <v>33</v>
      </c>
      <c r="R255">
        <v>13</v>
      </c>
      <c r="S255">
        <v>8</v>
      </c>
    </row>
    <row r="256" spans="1:19" x14ac:dyDescent="0.3">
      <c r="A256" t="s">
        <v>590</v>
      </c>
      <c r="B256" t="s">
        <v>591</v>
      </c>
      <c r="C256" t="str">
        <f t="shared" si="16"/>
        <v>Female</v>
      </c>
      <c r="D256" t="s">
        <v>23</v>
      </c>
      <c r="E256">
        <f t="shared" si="13"/>
        <v>44</v>
      </c>
      <c r="F256">
        <v>44</v>
      </c>
      <c r="G256" t="s">
        <v>124</v>
      </c>
      <c r="H256" t="s">
        <v>25</v>
      </c>
      <c r="I256" t="s">
        <v>37</v>
      </c>
      <c r="J256">
        <f t="shared" si="14"/>
        <v>21</v>
      </c>
      <c r="K256">
        <v>21</v>
      </c>
      <c r="L256" s="5">
        <f t="shared" si="15"/>
        <v>100</v>
      </c>
      <c r="M256" s="2">
        <v>100</v>
      </c>
      <c r="N256" s="2">
        <f>IF(O256&gt;=90%,5,IF(O256&gt;=80%,4,IF(O256&gt;=70%,3,IF(O256&gt;=60%,2,1))))</f>
        <v>4</v>
      </c>
      <c r="O256" s="3">
        <v>0.83</v>
      </c>
      <c r="P256" t="s">
        <v>69</v>
      </c>
      <c r="Q256" t="s">
        <v>58</v>
      </c>
      <c r="R256">
        <v>17</v>
      </c>
      <c r="S256">
        <v>1</v>
      </c>
    </row>
    <row r="257" spans="1:19" x14ac:dyDescent="0.3">
      <c r="A257" t="s">
        <v>592</v>
      </c>
      <c r="B257" t="s">
        <v>593</v>
      </c>
      <c r="C257" t="str">
        <f t="shared" si="16"/>
        <v>Male</v>
      </c>
      <c r="D257" t="s">
        <v>30</v>
      </c>
      <c r="E257">
        <f t="shared" si="13"/>
        <v>37</v>
      </c>
      <c r="F257">
        <v>37</v>
      </c>
      <c r="G257" t="s">
        <v>104</v>
      </c>
      <c r="H257" t="s">
        <v>105</v>
      </c>
      <c r="I257" t="s">
        <v>74</v>
      </c>
      <c r="J257">
        <f t="shared" si="14"/>
        <v>17</v>
      </c>
      <c r="K257">
        <v>17</v>
      </c>
      <c r="L257" s="5" t="str">
        <f t="shared" si="15"/>
        <v>$20</v>
      </c>
      <c r="M257" s="2" t="s">
        <v>117</v>
      </c>
      <c r="N257" s="2">
        <f>IF(O257&gt;=90%,5,IF(O257&gt;=80%,4,IF(O257&gt;=70%,3,IF(O257&gt;=60%,2,1))))</f>
        <v>4</v>
      </c>
      <c r="O257" s="3">
        <v>0.87</v>
      </c>
      <c r="P257" t="s">
        <v>65</v>
      </c>
      <c r="Q257" t="s">
        <v>27</v>
      </c>
      <c r="R257">
        <v>16</v>
      </c>
      <c r="S257">
        <v>7</v>
      </c>
    </row>
    <row r="258" spans="1:19" x14ac:dyDescent="0.3">
      <c r="A258" t="s">
        <v>594</v>
      </c>
      <c r="B258" t="s">
        <v>595</v>
      </c>
      <c r="C258" t="str">
        <f t="shared" si="16"/>
        <v>Male</v>
      </c>
      <c r="D258" t="s">
        <v>95</v>
      </c>
      <c r="E258">
        <f t="shared" ref="E258:E321" si="17">IF(F258="",MEDIAN($F$2:$F$698),F258)</f>
        <v>50</v>
      </c>
      <c r="F258">
        <v>50</v>
      </c>
      <c r="G258" t="s">
        <v>62</v>
      </c>
      <c r="H258" t="s">
        <v>63</v>
      </c>
      <c r="I258" t="s">
        <v>52</v>
      </c>
      <c r="J258">
        <f t="shared" ref="J258:J321" si="18">IF(K258="", AVERAGEIF($I$2:$I$698,I258,$K$2:$K$698),K258)</f>
        <v>9</v>
      </c>
      <c r="K258">
        <v>9</v>
      </c>
      <c r="L258" s="5">
        <f t="shared" si="15"/>
        <v>30</v>
      </c>
      <c r="M258" s="2">
        <v>30</v>
      </c>
      <c r="N258" s="2">
        <f>IF(O258&gt;=90%,5,IF(O258&gt;=80%,4,IF(O258&gt;=70%,3,IF(O258&gt;=60%,2,1))))</f>
        <v>3</v>
      </c>
      <c r="O258" s="3">
        <v>0.76</v>
      </c>
      <c r="P258" t="s">
        <v>46</v>
      </c>
      <c r="Q258" t="s">
        <v>20</v>
      </c>
      <c r="R258">
        <v>15</v>
      </c>
      <c r="S258">
        <v>3</v>
      </c>
    </row>
    <row r="259" spans="1:19" x14ac:dyDescent="0.3">
      <c r="A259" t="s">
        <v>596</v>
      </c>
      <c r="B259" t="s">
        <v>597</v>
      </c>
      <c r="C259" t="str">
        <f t="shared" si="16"/>
        <v>Male</v>
      </c>
      <c r="D259" t="s">
        <v>95</v>
      </c>
      <c r="E259">
        <f t="shared" si="17"/>
        <v>50</v>
      </c>
      <c r="F259">
        <v>50</v>
      </c>
      <c r="G259" t="s">
        <v>183</v>
      </c>
      <c r="H259" t="s">
        <v>73</v>
      </c>
      <c r="I259" t="s">
        <v>74</v>
      </c>
      <c r="J259">
        <f t="shared" si="18"/>
        <v>2</v>
      </c>
      <c r="K259">
        <v>2</v>
      </c>
      <c r="L259" s="5">
        <f t="shared" ref="L259:L322" si="19">IF(M259="", AVERAGE(M259:M955), M259)</f>
        <v>50</v>
      </c>
      <c r="M259" s="2">
        <v>50</v>
      </c>
      <c r="N259" s="2">
        <f>IF(O259&gt;=90%,5,IF(O259&gt;=80%,4,IF(O259&gt;=70%,3,IF(O259&gt;=60%,2,1))))</f>
        <v>4</v>
      </c>
      <c r="O259" s="3">
        <v>0.89</v>
      </c>
      <c r="P259" t="s">
        <v>69</v>
      </c>
      <c r="Q259" t="s">
        <v>20</v>
      </c>
      <c r="R259">
        <v>3</v>
      </c>
      <c r="S259">
        <v>1</v>
      </c>
    </row>
    <row r="260" spans="1:19" x14ac:dyDescent="0.3">
      <c r="A260" t="s">
        <v>598</v>
      </c>
      <c r="B260" t="s">
        <v>599</v>
      </c>
      <c r="C260" t="str">
        <f t="shared" si="16"/>
        <v>Female</v>
      </c>
      <c r="D260" t="s">
        <v>77</v>
      </c>
      <c r="E260">
        <f t="shared" si="17"/>
        <v>28</v>
      </c>
      <c r="F260">
        <v>28</v>
      </c>
      <c r="G260" t="s">
        <v>131</v>
      </c>
      <c r="H260" t="s">
        <v>132</v>
      </c>
      <c r="I260" t="s">
        <v>32</v>
      </c>
      <c r="J260">
        <f t="shared" si="18"/>
        <v>1</v>
      </c>
      <c r="K260">
        <v>1</v>
      </c>
      <c r="L260" s="5">
        <f t="shared" si="19"/>
        <v>20</v>
      </c>
      <c r="M260" s="2">
        <v>20</v>
      </c>
      <c r="N260" s="2">
        <f>IF(O260&gt;=90%,5,IF(O260&gt;=80%,4,IF(O260&gt;=70%,3,IF(O260&gt;=60%,2,1))))</f>
        <v>5</v>
      </c>
      <c r="O260" s="3">
        <v>0.94</v>
      </c>
      <c r="P260" t="s">
        <v>46</v>
      </c>
      <c r="Q260" t="s">
        <v>58</v>
      </c>
      <c r="R260">
        <v>3</v>
      </c>
      <c r="S260">
        <v>1</v>
      </c>
    </row>
    <row r="261" spans="1:19" x14ac:dyDescent="0.3">
      <c r="A261" t="s">
        <v>600</v>
      </c>
      <c r="B261" t="s">
        <v>601</v>
      </c>
      <c r="C261" t="str">
        <f t="shared" si="16"/>
        <v>Male</v>
      </c>
      <c r="D261" t="s">
        <v>95</v>
      </c>
      <c r="E261">
        <f t="shared" si="17"/>
        <v>48</v>
      </c>
      <c r="F261">
        <v>48</v>
      </c>
      <c r="G261" t="s">
        <v>16</v>
      </c>
      <c r="H261" t="s">
        <v>17</v>
      </c>
      <c r="I261" t="s">
        <v>37</v>
      </c>
      <c r="J261">
        <f t="shared" si="18"/>
        <v>23</v>
      </c>
      <c r="K261">
        <v>23</v>
      </c>
      <c r="L261" s="5">
        <f t="shared" si="19"/>
        <v>54.611398963730572</v>
      </c>
      <c r="N261" s="2">
        <f>IF(O261&gt;=90%,5,IF(O261&gt;=80%,4,IF(O261&gt;=70%,3,IF(O261&gt;=60%,2,1))))</f>
        <v>2</v>
      </c>
      <c r="O261" s="3">
        <v>0.68</v>
      </c>
      <c r="P261" t="s">
        <v>19</v>
      </c>
      <c r="Q261" t="s">
        <v>58</v>
      </c>
      <c r="R261">
        <v>14</v>
      </c>
      <c r="S261">
        <v>7</v>
      </c>
    </row>
    <row r="262" spans="1:19" x14ac:dyDescent="0.3">
      <c r="A262" t="s">
        <v>602</v>
      </c>
      <c r="B262" t="s">
        <v>603</v>
      </c>
      <c r="C262" t="str">
        <f t="shared" si="16"/>
        <v>Male</v>
      </c>
      <c r="D262" t="s">
        <v>95</v>
      </c>
      <c r="E262">
        <f t="shared" si="17"/>
        <v>42</v>
      </c>
      <c r="F262">
        <v>42</v>
      </c>
      <c r="G262" t="s">
        <v>31</v>
      </c>
      <c r="H262" t="s">
        <v>31</v>
      </c>
      <c r="I262" t="s">
        <v>87</v>
      </c>
      <c r="J262">
        <f t="shared" si="18"/>
        <v>8</v>
      </c>
      <c r="K262">
        <v>8</v>
      </c>
      <c r="L262" s="5">
        <f t="shared" si="19"/>
        <v>30</v>
      </c>
      <c r="M262" s="2">
        <v>30</v>
      </c>
      <c r="N262" s="2">
        <f>IF(O262&gt;=90%,5,IF(O262&gt;=80%,4,IF(O262&gt;=70%,3,IF(O262&gt;=60%,2,1))))</f>
        <v>5</v>
      </c>
      <c r="O262" s="3">
        <v>0.96</v>
      </c>
      <c r="P262" t="s">
        <v>69</v>
      </c>
      <c r="Q262" t="s">
        <v>33</v>
      </c>
      <c r="R262">
        <v>9</v>
      </c>
      <c r="S262">
        <v>7</v>
      </c>
    </row>
    <row r="263" spans="1:19" x14ac:dyDescent="0.3">
      <c r="A263" t="s">
        <v>604</v>
      </c>
      <c r="B263" t="s">
        <v>605</v>
      </c>
      <c r="C263" t="str">
        <f t="shared" si="16"/>
        <v>Female</v>
      </c>
      <c r="D263" t="s">
        <v>77</v>
      </c>
      <c r="E263">
        <f t="shared" si="17"/>
        <v>37</v>
      </c>
      <c r="F263">
        <v>37</v>
      </c>
      <c r="G263" t="s">
        <v>124</v>
      </c>
      <c r="H263" t="s">
        <v>25</v>
      </c>
      <c r="I263" t="s">
        <v>52</v>
      </c>
      <c r="J263">
        <f t="shared" si="18"/>
        <v>6</v>
      </c>
      <c r="K263">
        <v>6</v>
      </c>
      <c r="L263" s="5" t="str">
        <f t="shared" si="19"/>
        <v>$20</v>
      </c>
      <c r="M263" s="2" t="s">
        <v>117</v>
      </c>
      <c r="N263" s="2">
        <f>IF(O263&gt;=90%,5,IF(O263&gt;=80%,4,IF(O263&gt;=70%,3,IF(O263&gt;=60%,2,1))))</f>
        <v>5</v>
      </c>
      <c r="O263" s="3">
        <v>0.91</v>
      </c>
      <c r="P263" t="s">
        <v>46</v>
      </c>
      <c r="Q263" t="s">
        <v>58</v>
      </c>
      <c r="R263">
        <v>6</v>
      </c>
      <c r="S263">
        <v>4</v>
      </c>
    </row>
    <row r="264" spans="1:19" x14ac:dyDescent="0.3">
      <c r="A264" t="s">
        <v>606</v>
      </c>
      <c r="B264" t="s">
        <v>607</v>
      </c>
      <c r="C264" t="str">
        <f t="shared" si="16"/>
        <v>Male</v>
      </c>
      <c r="D264" t="s">
        <v>95</v>
      </c>
      <c r="E264">
        <f t="shared" si="17"/>
        <v>21</v>
      </c>
      <c r="F264">
        <v>21</v>
      </c>
      <c r="G264" t="s">
        <v>91</v>
      </c>
      <c r="H264" t="s">
        <v>92</v>
      </c>
      <c r="I264" t="s">
        <v>18</v>
      </c>
      <c r="J264">
        <f t="shared" si="18"/>
        <v>1</v>
      </c>
      <c r="K264">
        <v>1</v>
      </c>
      <c r="L264" s="5">
        <f t="shared" si="19"/>
        <v>100</v>
      </c>
      <c r="M264" s="2">
        <v>100</v>
      </c>
      <c r="N264" s="2">
        <f>IF(O264&gt;=90%,5,IF(O264&gt;=80%,4,IF(O264&gt;=70%,3,IF(O264&gt;=60%,2,1))))</f>
        <v>5</v>
      </c>
      <c r="O264" s="3">
        <v>0.92</v>
      </c>
      <c r="P264" t="s">
        <v>46</v>
      </c>
      <c r="Q264" t="s">
        <v>33</v>
      </c>
      <c r="R264">
        <v>5</v>
      </c>
      <c r="S264">
        <v>4</v>
      </c>
    </row>
    <row r="265" spans="1:19" x14ac:dyDescent="0.3">
      <c r="A265" t="s">
        <v>608</v>
      </c>
      <c r="B265" t="s">
        <v>609</v>
      </c>
      <c r="C265" t="str">
        <f t="shared" si="16"/>
        <v>Male</v>
      </c>
      <c r="D265" t="s">
        <v>61</v>
      </c>
      <c r="E265">
        <f t="shared" si="17"/>
        <v>50</v>
      </c>
      <c r="F265">
        <v>50</v>
      </c>
      <c r="G265" t="s">
        <v>108</v>
      </c>
      <c r="H265" t="s">
        <v>109</v>
      </c>
      <c r="I265" t="s">
        <v>37</v>
      </c>
      <c r="J265">
        <f t="shared" si="18"/>
        <v>19</v>
      </c>
      <c r="K265">
        <v>19</v>
      </c>
      <c r="L265" s="5" t="str">
        <f t="shared" si="19"/>
        <v>$40</v>
      </c>
      <c r="M265" s="2" t="s">
        <v>38</v>
      </c>
      <c r="N265" s="2">
        <f>IF(O265&gt;=90%,5,IF(O265&gt;=80%,4,IF(O265&gt;=70%,3,IF(O265&gt;=60%,2,1))))</f>
        <v>4</v>
      </c>
      <c r="O265" s="3">
        <v>0.82</v>
      </c>
      <c r="P265" t="s">
        <v>65</v>
      </c>
      <c r="Q265" t="s">
        <v>33</v>
      </c>
      <c r="R265">
        <v>15</v>
      </c>
      <c r="S265">
        <v>15</v>
      </c>
    </row>
    <row r="266" spans="1:19" x14ac:dyDescent="0.3">
      <c r="A266" t="s">
        <v>610</v>
      </c>
      <c r="B266" t="s">
        <v>611</v>
      </c>
      <c r="C266" t="str">
        <f t="shared" si="16"/>
        <v>Female</v>
      </c>
      <c r="D266" t="s">
        <v>36</v>
      </c>
      <c r="E266">
        <f t="shared" si="17"/>
        <v>22</v>
      </c>
      <c r="F266">
        <v>22</v>
      </c>
      <c r="G266" t="s">
        <v>72</v>
      </c>
      <c r="H266" t="s">
        <v>73</v>
      </c>
      <c r="I266" t="s">
        <v>44</v>
      </c>
      <c r="J266">
        <f t="shared" si="18"/>
        <v>2</v>
      </c>
      <c r="K266">
        <v>2</v>
      </c>
      <c r="L266" s="5">
        <f t="shared" si="19"/>
        <v>30</v>
      </c>
      <c r="M266" s="2">
        <v>30</v>
      </c>
      <c r="N266" s="2">
        <f>IF(O266&gt;=90%,5,IF(O266&gt;=80%,4,IF(O266&gt;=70%,3,IF(O266&gt;=60%,2,1))))</f>
        <v>1</v>
      </c>
      <c r="O266" s="3">
        <v>0.5</v>
      </c>
      <c r="P266" t="s">
        <v>46</v>
      </c>
      <c r="Q266" t="s">
        <v>20</v>
      </c>
      <c r="R266">
        <v>2</v>
      </c>
      <c r="S266">
        <v>2</v>
      </c>
    </row>
    <row r="267" spans="1:19" x14ac:dyDescent="0.3">
      <c r="A267" t="s">
        <v>612</v>
      </c>
      <c r="B267" t="s">
        <v>613</v>
      </c>
      <c r="C267" t="str">
        <f t="shared" si="16"/>
        <v>Female</v>
      </c>
      <c r="D267" t="s">
        <v>77</v>
      </c>
      <c r="E267">
        <f t="shared" si="17"/>
        <v>39</v>
      </c>
      <c r="F267">
        <v>39</v>
      </c>
      <c r="G267" t="s">
        <v>83</v>
      </c>
      <c r="H267" t="s">
        <v>84</v>
      </c>
      <c r="I267" t="s">
        <v>37</v>
      </c>
      <c r="J267">
        <f t="shared" si="18"/>
        <v>21</v>
      </c>
      <c r="K267">
        <v>21</v>
      </c>
      <c r="L267" s="5">
        <f t="shared" si="19"/>
        <v>100</v>
      </c>
      <c r="M267" s="2">
        <v>100</v>
      </c>
      <c r="N267" s="2">
        <f>IF(O267&gt;=90%,5,IF(O267&gt;=80%,4,IF(O267&gt;=70%,3,IF(O267&gt;=60%,2,1))))</f>
        <v>5</v>
      </c>
      <c r="O267" s="3">
        <v>0.91</v>
      </c>
      <c r="P267" t="s">
        <v>69</v>
      </c>
      <c r="Q267" t="s">
        <v>20</v>
      </c>
      <c r="R267">
        <v>17</v>
      </c>
      <c r="S267">
        <v>13</v>
      </c>
    </row>
    <row r="268" spans="1:19" x14ac:dyDescent="0.3">
      <c r="A268" t="s">
        <v>614</v>
      </c>
      <c r="B268" t="s">
        <v>615</v>
      </c>
      <c r="C268" t="str">
        <f t="shared" si="16"/>
        <v>Female</v>
      </c>
      <c r="D268" t="s">
        <v>77</v>
      </c>
      <c r="E268">
        <f t="shared" si="17"/>
        <v>25</v>
      </c>
      <c r="F268">
        <v>25</v>
      </c>
      <c r="G268" t="s">
        <v>83</v>
      </c>
      <c r="H268" t="s">
        <v>84</v>
      </c>
      <c r="I268" t="s">
        <v>110</v>
      </c>
      <c r="J268">
        <f t="shared" si="18"/>
        <v>3</v>
      </c>
      <c r="K268">
        <v>3</v>
      </c>
      <c r="L268" s="5" t="str">
        <f t="shared" si="19"/>
        <v>$50</v>
      </c>
      <c r="M268" s="2" t="s">
        <v>64</v>
      </c>
      <c r="N268" s="2">
        <f>IF(O268&gt;=90%,5,IF(O268&gt;=80%,4,IF(O268&gt;=70%,3,IF(O268&gt;=60%,2,1))))</f>
        <v>4</v>
      </c>
      <c r="O268" s="3">
        <v>0.86</v>
      </c>
      <c r="P268" t="s">
        <v>69</v>
      </c>
      <c r="Q268" t="s">
        <v>27</v>
      </c>
      <c r="R268">
        <v>3</v>
      </c>
      <c r="S268">
        <v>2</v>
      </c>
    </row>
    <row r="269" spans="1:19" x14ac:dyDescent="0.3">
      <c r="A269" t="s">
        <v>616</v>
      </c>
      <c r="B269" t="s">
        <v>617</v>
      </c>
      <c r="C269" t="str">
        <f t="shared" si="16"/>
        <v>Female</v>
      </c>
      <c r="D269" t="s">
        <v>23</v>
      </c>
      <c r="E269">
        <f t="shared" si="17"/>
        <v>47</v>
      </c>
      <c r="F269">
        <v>47</v>
      </c>
      <c r="G269" t="s">
        <v>147</v>
      </c>
      <c r="H269" t="s">
        <v>148</v>
      </c>
      <c r="I269" t="s">
        <v>26</v>
      </c>
      <c r="J269">
        <f t="shared" si="18"/>
        <v>14</v>
      </c>
      <c r="K269">
        <v>14</v>
      </c>
      <c r="L269" s="5">
        <f t="shared" si="19"/>
        <v>54.391534391534393</v>
      </c>
      <c r="N269" s="2">
        <f>IF(O269&gt;=90%,5,IF(O269&gt;=80%,4,IF(O269&gt;=70%,3,IF(O269&gt;=60%,2,1))))</f>
        <v>2</v>
      </c>
      <c r="O269" s="3">
        <v>0.69</v>
      </c>
      <c r="P269" t="s">
        <v>65</v>
      </c>
      <c r="Q269" t="s">
        <v>20</v>
      </c>
      <c r="R269">
        <v>12</v>
      </c>
      <c r="S269">
        <v>13</v>
      </c>
    </row>
    <row r="270" spans="1:19" x14ac:dyDescent="0.3">
      <c r="A270" t="s">
        <v>618</v>
      </c>
      <c r="B270" t="s">
        <v>619</v>
      </c>
      <c r="C270" t="str">
        <f t="shared" si="16"/>
        <v>Female</v>
      </c>
      <c r="D270" t="s">
        <v>15</v>
      </c>
      <c r="E270">
        <f t="shared" si="17"/>
        <v>35</v>
      </c>
      <c r="F270">
        <v>35</v>
      </c>
      <c r="G270" t="s">
        <v>147</v>
      </c>
      <c r="H270" t="s">
        <v>148</v>
      </c>
      <c r="I270" t="s">
        <v>74</v>
      </c>
      <c r="J270">
        <f t="shared" si="18"/>
        <v>10</v>
      </c>
      <c r="K270">
        <v>10</v>
      </c>
      <c r="L270" s="5" t="str">
        <f t="shared" si="19"/>
        <v>$100</v>
      </c>
      <c r="M270" s="2" t="s">
        <v>222</v>
      </c>
      <c r="N270" s="2">
        <f>IF(O270&gt;=90%,5,IF(O270&gt;=80%,4,IF(O270&gt;=70%,3,IF(O270&gt;=60%,2,1))))</f>
        <v>4</v>
      </c>
      <c r="O270" s="3">
        <v>0.84</v>
      </c>
      <c r="P270" t="s">
        <v>69</v>
      </c>
      <c r="Q270" t="s">
        <v>20</v>
      </c>
      <c r="R270">
        <v>7</v>
      </c>
      <c r="S270">
        <v>13</v>
      </c>
    </row>
    <row r="271" spans="1:19" x14ac:dyDescent="0.3">
      <c r="A271" t="s">
        <v>620</v>
      </c>
      <c r="B271" t="s">
        <v>621</v>
      </c>
      <c r="C271" t="str">
        <f t="shared" si="16"/>
        <v>Female</v>
      </c>
      <c r="D271" t="s">
        <v>15</v>
      </c>
      <c r="E271">
        <f t="shared" si="17"/>
        <v>41</v>
      </c>
      <c r="G271" t="s">
        <v>68</v>
      </c>
      <c r="H271" t="s">
        <v>25</v>
      </c>
      <c r="I271" t="s">
        <v>78</v>
      </c>
      <c r="J271">
        <f t="shared" si="18"/>
        <v>5</v>
      </c>
      <c r="K271">
        <v>5</v>
      </c>
      <c r="L271" s="5">
        <f t="shared" si="19"/>
        <v>100</v>
      </c>
      <c r="M271" s="2">
        <v>100</v>
      </c>
      <c r="N271" s="2">
        <f>IF(O271&gt;=90%,5,IF(O271&gt;=80%,4,IF(O271&gt;=70%,3,IF(O271&gt;=60%,2,1))))</f>
        <v>2</v>
      </c>
      <c r="O271" s="3">
        <v>0.6</v>
      </c>
      <c r="P271" t="s">
        <v>19</v>
      </c>
      <c r="Q271" t="s">
        <v>58</v>
      </c>
      <c r="R271">
        <v>5</v>
      </c>
      <c r="S271">
        <v>2</v>
      </c>
    </row>
    <row r="272" spans="1:19" x14ac:dyDescent="0.3">
      <c r="A272" t="s">
        <v>622</v>
      </c>
      <c r="B272" t="s">
        <v>623</v>
      </c>
      <c r="C272" t="str">
        <f t="shared" si="16"/>
        <v>Male</v>
      </c>
      <c r="D272" t="s">
        <v>30</v>
      </c>
      <c r="E272">
        <f t="shared" si="17"/>
        <v>35</v>
      </c>
      <c r="F272">
        <v>35</v>
      </c>
      <c r="G272" t="s">
        <v>42</v>
      </c>
      <c r="H272" t="s">
        <v>43</v>
      </c>
      <c r="I272" t="s">
        <v>18</v>
      </c>
      <c r="J272">
        <f t="shared" si="18"/>
        <v>6</v>
      </c>
      <c r="K272">
        <v>6</v>
      </c>
      <c r="L272" s="5" t="str">
        <f t="shared" si="19"/>
        <v>$75</v>
      </c>
      <c r="M272" s="2" t="s">
        <v>163</v>
      </c>
      <c r="N272" s="2">
        <f>IF(O272&gt;=90%,5,IF(O272&gt;=80%,4,IF(O272&gt;=70%,3,IF(O272&gt;=60%,2,1))))</f>
        <v>5</v>
      </c>
      <c r="O272" s="3">
        <v>0.97</v>
      </c>
      <c r="P272" t="s">
        <v>69</v>
      </c>
      <c r="Q272" t="s">
        <v>20</v>
      </c>
      <c r="R272">
        <v>13</v>
      </c>
      <c r="S272">
        <v>6</v>
      </c>
    </row>
    <row r="273" spans="1:19" x14ac:dyDescent="0.3">
      <c r="A273" t="s">
        <v>624</v>
      </c>
      <c r="B273" t="s">
        <v>625</v>
      </c>
      <c r="C273" t="str">
        <f t="shared" si="16"/>
        <v>Male</v>
      </c>
      <c r="D273" t="s">
        <v>95</v>
      </c>
      <c r="E273">
        <f t="shared" si="17"/>
        <v>59</v>
      </c>
      <c r="F273">
        <v>59</v>
      </c>
      <c r="G273" t="s">
        <v>131</v>
      </c>
      <c r="H273" t="s">
        <v>132</v>
      </c>
      <c r="I273" t="s">
        <v>37</v>
      </c>
      <c r="J273">
        <f t="shared" si="18"/>
        <v>21</v>
      </c>
      <c r="K273">
        <v>21</v>
      </c>
      <c r="L273" s="5">
        <f t="shared" si="19"/>
        <v>100</v>
      </c>
      <c r="M273" s="2">
        <v>100</v>
      </c>
      <c r="N273" s="2">
        <f>IF(O273&gt;=90%,5,IF(O273&gt;=80%,4,IF(O273&gt;=70%,3,IF(O273&gt;=60%,2,1))))</f>
        <v>3</v>
      </c>
      <c r="O273" s="3">
        <v>0.7</v>
      </c>
      <c r="P273" t="s">
        <v>69</v>
      </c>
      <c r="Q273" t="s">
        <v>27</v>
      </c>
      <c r="R273">
        <v>17</v>
      </c>
      <c r="S273">
        <v>7</v>
      </c>
    </row>
    <row r="274" spans="1:19" x14ac:dyDescent="0.3">
      <c r="A274" t="s">
        <v>626</v>
      </c>
      <c r="B274" t="s">
        <v>627</v>
      </c>
      <c r="C274" t="str">
        <f t="shared" si="16"/>
        <v>Female</v>
      </c>
      <c r="D274" t="s">
        <v>23</v>
      </c>
      <c r="E274">
        <f t="shared" si="17"/>
        <v>26</v>
      </c>
      <c r="F274">
        <v>26</v>
      </c>
      <c r="G274" t="s">
        <v>168</v>
      </c>
      <c r="H274" t="s">
        <v>169</v>
      </c>
      <c r="I274" t="s">
        <v>74</v>
      </c>
      <c r="J274">
        <f t="shared" si="18"/>
        <v>4</v>
      </c>
      <c r="K274">
        <v>4</v>
      </c>
      <c r="L274" s="5" t="str">
        <f t="shared" si="19"/>
        <v>$100</v>
      </c>
      <c r="M274" s="2" t="s">
        <v>222</v>
      </c>
      <c r="N274" s="2">
        <f>IF(O274&gt;=90%,5,IF(O274&gt;=80%,4,IF(O274&gt;=70%,3,IF(O274&gt;=60%,2,1))))</f>
        <v>4</v>
      </c>
      <c r="O274" s="3">
        <v>0.81</v>
      </c>
      <c r="P274" t="s">
        <v>46</v>
      </c>
      <c r="Q274" t="s">
        <v>58</v>
      </c>
      <c r="R274">
        <v>5</v>
      </c>
      <c r="S274">
        <v>2</v>
      </c>
    </row>
    <row r="275" spans="1:19" x14ac:dyDescent="0.3">
      <c r="A275" t="s">
        <v>628</v>
      </c>
      <c r="B275" t="s">
        <v>629</v>
      </c>
      <c r="C275" t="str">
        <f t="shared" si="16"/>
        <v>Male</v>
      </c>
      <c r="D275" t="s">
        <v>61</v>
      </c>
      <c r="E275">
        <f t="shared" si="17"/>
        <v>44</v>
      </c>
      <c r="F275">
        <v>44</v>
      </c>
      <c r="G275" t="s">
        <v>120</v>
      </c>
      <c r="H275" t="s">
        <v>121</v>
      </c>
      <c r="I275" t="s">
        <v>110</v>
      </c>
      <c r="J275">
        <f t="shared" si="18"/>
        <v>18</v>
      </c>
      <c r="K275">
        <v>18</v>
      </c>
      <c r="L275" s="5">
        <f t="shared" si="19"/>
        <v>20</v>
      </c>
      <c r="M275" s="2">
        <v>20</v>
      </c>
      <c r="N275" s="2">
        <f>IF(O275&gt;=90%,5,IF(O275&gt;=80%,4,IF(O275&gt;=70%,3,IF(O275&gt;=60%,2,1))))</f>
        <v>4</v>
      </c>
      <c r="O275" s="3">
        <v>0.88</v>
      </c>
      <c r="P275" t="s">
        <v>46</v>
      </c>
      <c r="Q275" t="s">
        <v>27</v>
      </c>
      <c r="R275">
        <v>15</v>
      </c>
      <c r="S275">
        <v>10</v>
      </c>
    </row>
    <row r="276" spans="1:19" x14ac:dyDescent="0.3">
      <c r="A276" t="s">
        <v>630</v>
      </c>
      <c r="B276" t="s">
        <v>631</v>
      </c>
      <c r="C276" t="str">
        <f t="shared" si="16"/>
        <v>Female</v>
      </c>
      <c r="D276" t="s">
        <v>77</v>
      </c>
      <c r="E276">
        <f t="shared" si="17"/>
        <v>31</v>
      </c>
      <c r="F276">
        <v>31</v>
      </c>
      <c r="G276" t="s">
        <v>147</v>
      </c>
      <c r="H276" t="s">
        <v>148</v>
      </c>
      <c r="I276" t="s">
        <v>74</v>
      </c>
      <c r="J276">
        <f t="shared" si="18"/>
        <v>12</v>
      </c>
      <c r="K276">
        <v>12</v>
      </c>
      <c r="L276" s="5" t="str">
        <f t="shared" si="19"/>
        <v>$40</v>
      </c>
      <c r="M276" s="2" t="s">
        <v>38</v>
      </c>
      <c r="N276" s="2">
        <f>IF(O276&gt;=90%,5,IF(O276&gt;=80%,4,IF(O276&gt;=70%,3,IF(O276&gt;=60%,2,1))))</f>
        <v>5</v>
      </c>
      <c r="O276" s="3">
        <v>1</v>
      </c>
      <c r="P276" t="s">
        <v>69</v>
      </c>
      <c r="Q276" t="s">
        <v>20</v>
      </c>
      <c r="R276">
        <v>15</v>
      </c>
      <c r="S276">
        <v>13</v>
      </c>
    </row>
    <row r="277" spans="1:19" x14ac:dyDescent="0.3">
      <c r="A277" t="s">
        <v>632</v>
      </c>
      <c r="B277" t="s">
        <v>633</v>
      </c>
      <c r="C277" t="str">
        <f t="shared" si="16"/>
        <v>Male</v>
      </c>
      <c r="D277" t="s">
        <v>30</v>
      </c>
      <c r="E277">
        <f t="shared" si="17"/>
        <v>60</v>
      </c>
      <c r="F277">
        <v>60</v>
      </c>
      <c r="G277" t="s">
        <v>62</v>
      </c>
      <c r="H277" t="s">
        <v>63</v>
      </c>
      <c r="I277" t="s">
        <v>52</v>
      </c>
      <c r="J277">
        <f t="shared" si="18"/>
        <v>6</v>
      </c>
      <c r="K277">
        <v>6</v>
      </c>
      <c r="L277" s="5">
        <f t="shared" si="19"/>
        <v>54.086021505376344</v>
      </c>
      <c r="N277" s="2">
        <f>IF(O277&gt;=90%,5,IF(O277&gt;=80%,4,IF(O277&gt;=70%,3,IF(O277&gt;=60%,2,1))))</f>
        <v>5</v>
      </c>
      <c r="O277" s="3">
        <v>0.95</v>
      </c>
      <c r="P277" t="s">
        <v>65</v>
      </c>
      <c r="Q277" t="s">
        <v>27</v>
      </c>
      <c r="R277">
        <v>10</v>
      </c>
      <c r="S277">
        <v>5</v>
      </c>
    </row>
    <row r="278" spans="1:19" x14ac:dyDescent="0.3">
      <c r="A278" t="s">
        <v>634</v>
      </c>
      <c r="B278" t="s">
        <v>635</v>
      </c>
      <c r="C278" t="str">
        <f t="shared" si="16"/>
        <v>Female</v>
      </c>
      <c r="D278" t="s">
        <v>39</v>
      </c>
      <c r="E278">
        <f t="shared" si="17"/>
        <v>23</v>
      </c>
      <c r="F278">
        <v>23</v>
      </c>
      <c r="G278" t="s">
        <v>68</v>
      </c>
      <c r="H278" t="s">
        <v>25</v>
      </c>
      <c r="I278" t="s">
        <v>18</v>
      </c>
      <c r="J278">
        <f t="shared" si="18"/>
        <v>4</v>
      </c>
      <c r="K278">
        <v>4</v>
      </c>
      <c r="L278" s="5" t="str">
        <f t="shared" si="19"/>
        <v>$20</v>
      </c>
      <c r="M278" s="2" t="s">
        <v>117</v>
      </c>
      <c r="N278" s="2">
        <f>IF(O278&gt;=90%,5,IF(O278&gt;=80%,4,IF(O278&gt;=70%,3,IF(O278&gt;=60%,2,1))))</f>
        <v>3</v>
      </c>
      <c r="O278" s="3">
        <v>0.71</v>
      </c>
      <c r="P278" t="s">
        <v>46</v>
      </c>
      <c r="Q278" t="s">
        <v>58</v>
      </c>
      <c r="R278">
        <v>3</v>
      </c>
      <c r="S278">
        <v>5</v>
      </c>
    </row>
    <row r="279" spans="1:19" x14ac:dyDescent="0.3">
      <c r="A279" t="s">
        <v>636</v>
      </c>
      <c r="B279" t="s">
        <v>637</v>
      </c>
      <c r="C279" t="str">
        <f t="shared" si="16"/>
        <v>Male</v>
      </c>
      <c r="D279" t="s">
        <v>90</v>
      </c>
      <c r="E279">
        <f t="shared" si="17"/>
        <v>42</v>
      </c>
      <c r="F279">
        <v>42</v>
      </c>
      <c r="G279" t="s">
        <v>50</v>
      </c>
      <c r="H279" t="s">
        <v>51</v>
      </c>
      <c r="I279" t="s">
        <v>74</v>
      </c>
      <c r="J279">
        <f t="shared" si="18"/>
        <v>13</v>
      </c>
      <c r="K279">
        <v>13</v>
      </c>
      <c r="L279" s="5" t="str">
        <f t="shared" si="19"/>
        <v>$20</v>
      </c>
      <c r="M279" s="2" t="s">
        <v>117</v>
      </c>
      <c r="N279" s="2">
        <f>IF(O279&gt;=90%,5,IF(O279&gt;=80%,4,IF(O279&gt;=70%,3,IF(O279&gt;=60%,2,1))))</f>
        <v>4</v>
      </c>
      <c r="O279" s="3">
        <v>0.85</v>
      </c>
      <c r="P279" t="s">
        <v>65</v>
      </c>
      <c r="Q279" t="s">
        <v>33</v>
      </c>
      <c r="R279">
        <v>9</v>
      </c>
      <c r="S279">
        <v>3</v>
      </c>
    </row>
    <row r="280" spans="1:19" x14ac:dyDescent="0.3">
      <c r="A280" t="s">
        <v>638</v>
      </c>
      <c r="B280" t="s">
        <v>639</v>
      </c>
      <c r="C280" t="str">
        <f t="shared" si="16"/>
        <v>Female</v>
      </c>
      <c r="D280" t="s">
        <v>15</v>
      </c>
      <c r="E280">
        <f t="shared" si="17"/>
        <v>48</v>
      </c>
      <c r="F280">
        <v>48</v>
      </c>
      <c r="G280" t="s">
        <v>91</v>
      </c>
      <c r="H280" t="s">
        <v>92</v>
      </c>
      <c r="I280" t="s">
        <v>26</v>
      </c>
      <c r="J280">
        <f t="shared" si="18"/>
        <v>6</v>
      </c>
      <c r="K280">
        <v>6</v>
      </c>
      <c r="L280" s="5">
        <f t="shared" si="19"/>
        <v>30</v>
      </c>
      <c r="M280" s="2">
        <v>30</v>
      </c>
      <c r="N280" s="2">
        <f>IF(O280&gt;=90%,5,IF(O280&gt;=80%,4,IF(O280&gt;=70%,3,IF(O280&gt;=60%,2,1))))</f>
        <v>5</v>
      </c>
      <c r="O280" s="3">
        <v>0.96</v>
      </c>
      <c r="P280" t="s">
        <v>69</v>
      </c>
      <c r="Q280" t="s">
        <v>27</v>
      </c>
      <c r="R280">
        <v>11</v>
      </c>
      <c r="S280">
        <v>7</v>
      </c>
    </row>
    <row r="281" spans="1:19" x14ac:dyDescent="0.3">
      <c r="A281" t="s">
        <v>640</v>
      </c>
      <c r="B281" t="s">
        <v>641</v>
      </c>
      <c r="C281" t="str">
        <f t="shared" si="16"/>
        <v>Male</v>
      </c>
      <c r="D281" t="s">
        <v>49</v>
      </c>
      <c r="E281">
        <f t="shared" si="17"/>
        <v>42</v>
      </c>
      <c r="F281">
        <v>42</v>
      </c>
      <c r="G281" t="s">
        <v>42</v>
      </c>
      <c r="H281" t="s">
        <v>43</v>
      </c>
      <c r="I281" t="s">
        <v>32</v>
      </c>
      <c r="J281">
        <f t="shared" si="18"/>
        <v>10</v>
      </c>
      <c r="K281">
        <v>10</v>
      </c>
      <c r="L281" s="5" t="str">
        <f t="shared" si="19"/>
        <v>$20</v>
      </c>
      <c r="M281" s="2" t="s">
        <v>117</v>
      </c>
      <c r="N281" s="2">
        <f>IF(O281&gt;=90%,5,IF(O281&gt;=80%,4,IF(O281&gt;=70%,3,IF(O281&gt;=60%,2,1))))</f>
        <v>5</v>
      </c>
      <c r="O281" s="3">
        <v>0.92</v>
      </c>
      <c r="P281" t="s">
        <v>69</v>
      </c>
      <c r="Q281" t="s">
        <v>27</v>
      </c>
      <c r="R281">
        <v>11</v>
      </c>
      <c r="S281">
        <v>6</v>
      </c>
    </row>
    <row r="282" spans="1:19" x14ac:dyDescent="0.3">
      <c r="A282" t="s">
        <v>642</v>
      </c>
      <c r="B282" t="s">
        <v>643</v>
      </c>
      <c r="C282" t="str">
        <f t="shared" si="16"/>
        <v>Male</v>
      </c>
      <c r="D282" t="s">
        <v>90</v>
      </c>
      <c r="E282">
        <f t="shared" si="17"/>
        <v>52</v>
      </c>
      <c r="F282">
        <v>52</v>
      </c>
      <c r="G282" t="s">
        <v>108</v>
      </c>
      <c r="H282" t="s">
        <v>109</v>
      </c>
      <c r="I282" t="s">
        <v>78</v>
      </c>
      <c r="J282">
        <f t="shared" si="18"/>
        <v>20</v>
      </c>
      <c r="K282">
        <v>20</v>
      </c>
      <c r="L282" s="5">
        <f t="shared" si="19"/>
        <v>50</v>
      </c>
      <c r="M282" s="2">
        <v>50</v>
      </c>
      <c r="N282" s="2">
        <f>IF(O282&gt;=90%,5,IF(O282&gt;=80%,4,IF(O282&gt;=70%,3,IF(O282&gt;=60%,2,1))))</f>
        <v>3</v>
      </c>
      <c r="O282" s="3">
        <v>0.79</v>
      </c>
      <c r="P282" t="s">
        <v>19</v>
      </c>
      <c r="Q282" t="s">
        <v>58</v>
      </c>
      <c r="R282">
        <v>14</v>
      </c>
      <c r="S282">
        <v>10</v>
      </c>
    </row>
    <row r="283" spans="1:19" x14ac:dyDescent="0.3">
      <c r="A283" t="s">
        <v>644</v>
      </c>
      <c r="B283" t="s">
        <v>645</v>
      </c>
      <c r="C283" t="str">
        <f t="shared" si="16"/>
        <v>Female</v>
      </c>
      <c r="D283" t="s">
        <v>39</v>
      </c>
      <c r="E283">
        <f t="shared" si="17"/>
        <v>55</v>
      </c>
      <c r="F283">
        <v>55</v>
      </c>
      <c r="G283" t="s">
        <v>83</v>
      </c>
      <c r="H283" t="s">
        <v>84</v>
      </c>
      <c r="I283" t="s">
        <v>37</v>
      </c>
      <c r="J283">
        <f t="shared" si="18"/>
        <v>20</v>
      </c>
      <c r="K283">
        <v>20</v>
      </c>
      <c r="L283" s="5">
        <f t="shared" si="19"/>
        <v>75</v>
      </c>
      <c r="M283" s="2">
        <v>75</v>
      </c>
      <c r="N283" s="2">
        <f>IF(O283&gt;=90%,5,IF(O283&gt;=80%,4,IF(O283&gt;=70%,3,IF(O283&gt;=60%,2,1))))</f>
        <v>1</v>
      </c>
      <c r="O283" s="3">
        <v>0.5</v>
      </c>
      <c r="P283" t="s">
        <v>46</v>
      </c>
      <c r="Q283" t="s">
        <v>58</v>
      </c>
      <c r="R283">
        <v>12</v>
      </c>
      <c r="S283">
        <v>11</v>
      </c>
    </row>
    <row r="284" spans="1:19" x14ac:dyDescent="0.3">
      <c r="A284" t="s">
        <v>646</v>
      </c>
      <c r="B284" t="s">
        <v>647</v>
      </c>
      <c r="C284" t="str">
        <f t="shared" si="16"/>
        <v>Female</v>
      </c>
      <c r="D284" t="s">
        <v>15</v>
      </c>
      <c r="E284">
        <f t="shared" si="17"/>
        <v>58</v>
      </c>
      <c r="F284">
        <v>58</v>
      </c>
      <c r="G284" t="s">
        <v>147</v>
      </c>
      <c r="H284" t="s">
        <v>148</v>
      </c>
      <c r="I284" t="s">
        <v>78</v>
      </c>
      <c r="J284">
        <f t="shared" si="18"/>
        <v>11</v>
      </c>
      <c r="K284">
        <v>11</v>
      </c>
      <c r="L284" s="5">
        <f t="shared" si="19"/>
        <v>50</v>
      </c>
      <c r="M284" s="2">
        <v>50</v>
      </c>
      <c r="N284" s="2">
        <f>IF(O284&gt;=90%,5,IF(O284&gt;=80%,4,IF(O284&gt;=70%,3,IF(O284&gt;=60%,2,1))))</f>
        <v>1</v>
      </c>
      <c r="O284" s="3">
        <v>0.5</v>
      </c>
      <c r="P284" t="s">
        <v>69</v>
      </c>
      <c r="Q284" t="s">
        <v>27</v>
      </c>
      <c r="R284">
        <v>8</v>
      </c>
      <c r="S284">
        <v>5</v>
      </c>
    </row>
    <row r="285" spans="1:19" x14ac:dyDescent="0.3">
      <c r="A285" t="s">
        <v>648</v>
      </c>
      <c r="B285" t="s">
        <v>649</v>
      </c>
      <c r="C285" t="str">
        <f t="shared" si="16"/>
        <v>Female</v>
      </c>
      <c r="D285" t="s">
        <v>23</v>
      </c>
      <c r="E285">
        <f t="shared" si="17"/>
        <v>46</v>
      </c>
      <c r="F285">
        <v>46</v>
      </c>
      <c r="G285" t="s">
        <v>108</v>
      </c>
      <c r="H285" t="s">
        <v>109</v>
      </c>
      <c r="I285" t="s">
        <v>110</v>
      </c>
      <c r="J285">
        <f t="shared" si="18"/>
        <v>12</v>
      </c>
      <c r="K285">
        <v>12</v>
      </c>
      <c r="L285" s="5">
        <f t="shared" si="19"/>
        <v>20</v>
      </c>
      <c r="M285" s="2">
        <v>20</v>
      </c>
      <c r="N285" s="2">
        <f>IF(O285&gt;=90%,5,IF(O285&gt;=80%,4,IF(O285&gt;=70%,3,IF(O285&gt;=60%,2,1))))</f>
        <v>4</v>
      </c>
      <c r="O285" s="3">
        <v>0.89</v>
      </c>
      <c r="P285" t="s">
        <v>19</v>
      </c>
      <c r="Q285" t="s">
        <v>20</v>
      </c>
      <c r="R285">
        <v>10</v>
      </c>
      <c r="S285">
        <v>4</v>
      </c>
    </row>
    <row r="286" spans="1:19" x14ac:dyDescent="0.3">
      <c r="A286" t="s">
        <v>650</v>
      </c>
      <c r="B286" t="s">
        <v>651</v>
      </c>
      <c r="C286" t="str">
        <f t="shared" si="16"/>
        <v>Female</v>
      </c>
      <c r="D286" t="s">
        <v>23</v>
      </c>
      <c r="E286">
        <f t="shared" si="17"/>
        <v>45</v>
      </c>
      <c r="F286">
        <v>45</v>
      </c>
      <c r="G286" t="s">
        <v>183</v>
      </c>
      <c r="H286" t="s">
        <v>73</v>
      </c>
      <c r="I286" t="s">
        <v>110</v>
      </c>
      <c r="J286">
        <f t="shared" si="18"/>
        <v>1</v>
      </c>
      <c r="K286">
        <v>1</v>
      </c>
      <c r="L286" s="5">
        <f t="shared" si="19"/>
        <v>100</v>
      </c>
      <c r="M286" s="2">
        <v>100</v>
      </c>
      <c r="N286" s="2">
        <f>IF(O286&gt;=90%,5,IF(O286&gt;=80%,4,IF(O286&gt;=70%,3,IF(O286&gt;=60%,2,1))))</f>
        <v>5</v>
      </c>
      <c r="O286" s="3">
        <v>1</v>
      </c>
      <c r="P286" t="s">
        <v>46</v>
      </c>
      <c r="Q286" t="s">
        <v>27</v>
      </c>
      <c r="R286">
        <v>4</v>
      </c>
      <c r="S286">
        <v>4</v>
      </c>
    </row>
    <row r="287" spans="1:19" x14ac:dyDescent="0.3">
      <c r="A287" t="s">
        <v>652</v>
      </c>
      <c r="B287" t="s">
        <v>653</v>
      </c>
      <c r="C287" t="str">
        <f t="shared" si="16"/>
        <v>Female</v>
      </c>
      <c r="D287" t="s">
        <v>23</v>
      </c>
      <c r="E287">
        <f t="shared" si="17"/>
        <v>56</v>
      </c>
      <c r="F287">
        <v>56</v>
      </c>
      <c r="G287" t="s">
        <v>91</v>
      </c>
      <c r="H287" t="s">
        <v>92</v>
      </c>
      <c r="I287" t="s">
        <v>110</v>
      </c>
      <c r="J287">
        <f t="shared" si="18"/>
        <v>2</v>
      </c>
      <c r="K287">
        <v>2</v>
      </c>
      <c r="L287" s="5">
        <f t="shared" si="19"/>
        <v>30</v>
      </c>
      <c r="M287" s="2">
        <v>30</v>
      </c>
      <c r="N287" s="2">
        <f>IF(O287&gt;=90%,5,IF(O287&gt;=80%,4,IF(O287&gt;=70%,3,IF(O287&gt;=60%,2,1))))</f>
        <v>4</v>
      </c>
      <c r="O287" s="3">
        <v>0.81</v>
      </c>
      <c r="P287" t="s">
        <v>69</v>
      </c>
      <c r="Q287" t="s">
        <v>58</v>
      </c>
      <c r="R287">
        <v>1</v>
      </c>
      <c r="S287">
        <v>1</v>
      </c>
    </row>
    <row r="288" spans="1:19" x14ac:dyDescent="0.3">
      <c r="A288" t="s">
        <v>654</v>
      </c>
      <c r="B288" t="s">
        <v>655</v>
      </c>
      <c r="C288" t="str">
        <f t="shared" si="16"/>
        <v>Male</v>
      </c>
      <c r="D288" t="s">
        <v>30</v>
      </c>
      <c r="E288">
        <f t="shared" si="17"/>
        <v>44</v>
      </c>
      <c r="F288">
        <v>44</v>
      </c>
      <c r="G288" t="s">
        <v>68</v>
      </c>
      <c r="H288" t="s">
        <v>25</v>
      </c>
      <c r="I288" t="s">
        <v>18</v>
      </c>
      <c r="J288">
        <f t="shared" si="18"/>
        <v>13</v>
      </c>
      <c r="K288">
        <v>13</v>
      </c>
      <c r="L288" s="5">
        <f t="shared" si="19"/>
        <v>100</v>
      </c>
      <c r="M288" s="2">
        <v>100</v>
      </c>
      <c r="N288" s="2">
        <f>IF(O288&gt;=90%,5,IF(O288&gt;=80%,4,IF(O288&gt;=70%,3,IF(O288&gt;=60%,2,1))))</f>
        <v>5</v>
      </c>
      <c r="O288" s="3">
        <v>0.95</v>
      </c>
      <c r="P288" t="s">
        <v>69</v>
      </c>
      <c r="Q288" t="s">
        <v>33</v>
      </c>
      <c r="R288">
        <v>10</v>
      </c>
      <c r="S288">
        <v>3</v>
      </c>
    </row>
    <row r="289" spans="1:19" x14ac:dyDescent="0.3">
      <c r="A289" t="s">
        <v>656</v>
      </c>
      <c r="B289" t="s">
        <v>657</v>
      </c>
      <c r="C289" t="str">
        <f t="shared" si="16"/>
        <v>Male</v>
      </c>
      <c r="D289" t="s">
        <v>95</v>
      </c>
      <c r="E289">
        <f t="shared" si="17"/>
        <v>46</v>
      </c>
      <c r="F289">
        <v>46</v>
      </c>
      <c r="G289" t="s">
        <v>50</v>
      </c>
      <c r="H289" t="s">
        <v>51</v>
      </c>
      <c r="I289" t="s">
        <v>74</v>
      </c>
      <c r="J289">
        <f t="shared" si="18"/>
        <v>0</v>
      </c>
      <c r="K289">
        <v>0</v>
      </c>
      <c r="L289" s="5">
        <f t="shared" si="19"/>
        <v>53.960674157303373</v>
      </c>
      <c r="N289" s="2">
        <f>IF(O289&gt;=90%,5,IF(O289&gt;=80%,4,IF(O289&gt;=70%,3,IF(O289&gt;=60%,2,1))))</f>
        <v>4</v>
      </c>
      <c r="O289" s="3">
        <v>0.88</v>
      </c>
      <c r="P289" t="s">
        <v>46</v>
      </c>
      <c r="Q289" t="s">
        <v>33</v>
      </c>
      <c r="R289">
        <v>3</v>
      </c>
      <c r="S289">
        <v>2</v>
      </c>
    </row>
    <row r="290" spans="1:19" x14ac:dyDescent="0.3">
      <c r="A290" t="s">
        <v>658</v>
      </c>
      <c r="B290" t="s">
        <v>659</v>
      </c>
      <c r="C290" t="str">
        <f t="shared" si="16"/>
        <v>Female</v>
      </c>
      <c r="D290" t="s">
        <v>77</v>
      </c>
      <c r="E290">
        <f t="shared" si="17"/>
        <v>27</v>
      </c>
      <c r="F290">
        <v>27</v>
      </c>
      <c r="G290" t="s">
        <v>83</v>
      </c>
      <c r="H290" t="s">
        <v>84</v>
      </c>
      <c r="I290" t="s">
        <v>37</v>
      </c>
      <c r="J290">
        <f t="shared" si="18"/>
        <v>7</v>
      </c>
      <c r="K290">
        <v>7</v>
      </c>
      <c r="L290" s="5">
        <f t="shared" si="19"/>
        <v>30</v>
      </c>
      <c r="M290" s="2">
        <v>30</v>
      </c>
      <c r="N290" s="2">
        <f>IF(O290&gt;=90%,5,IF(O290&gt;=80%,4,IF(O290&gt;=70%,3,IF(O290&gt;=60%,2,1))))</f>
        <v>2</v>
      </c>
      <c r="O290" s="3">
        <v>0.66</v>
      </c>
      <c r="P290" t="s">
        <v>46</v>
      </c>
      <c r="Q290" t="s">
        <v>20</v>
      </c>
      <c r="R290">
        <v>12</v>
      </c>
      <c r="S290">
        <v>8</v>
      </c>
    </row>
    <row r="291" spans="1:19" x14ac:dyDescent="0.3">
      <c r="A291" t="s">
        <v>660</v>
      </c>
      <c r="B291" t="s">
        <v>661</v>
      </c>
      <c r="C291" t="str">
        <f t="shared" si="16"/>
        <v>Female</v>
      </c>
      <c r="D291" t="s">
        <v>23</v>
      </c>
      <c r="E291">
        <f t="shared" si="17"/>
        <v>49</v>
      </c>
      <c r="F291">
        <v>49</v>
      </c>
      <c r="G291" t="s">
        <v>91</v>
      </c>
      <c r="H291" t="s">
        <v>92</v>
      </c>
      <c r="I291" t="s">
        <v>18</v>
      </c>
      <c r="J291">
        <f t="shared" si="18"/>
        <v>13</v>
      </c>
      <c r="K291">
        <v>13</v>
      </c>
      <c r="L291" s="5">
        <f t="shared" si="19"/>
        <v>100</v>
      </c>
      <c r="M291" s="2">
        <v>100</v>
      </c>
      <c r="N291" s="2">
        <f>IF(O291&gt;=90%,5,IF(O291&gt;=80%,4,IF(O291&gt;=70%,3,IF(O291&gt;=60%,2,1))))</f>
        <v>4</v>
      </c>
      <c r="O291" s="3">
        <v>0.84</v>
      </c>
      <c r="P291" t="s">
        <v>46</v>
      </c>
      <c r="Q291" t="s">
        <v>27</v>
      </c>
      <c r="R291">
        <v>7</v>
      </c>
      <c r="S291">
        <v>4</v>
      </c>
    </row>
    <row r="292" spans="1:19" x14ac:dyDescent="0.3">
      <c r="A292" t="s">
        <v>662</v>
      </c>
      <c r="B292" t="s">
        <v>663</v>
      </c>
      <c r="C292" t="str">
        <f t="shared" si="16"/>
        <v>Male</v>
      </c>
      <c r="D292" t="s">
        <v>95</v>
      </c>
      <c r="E292">
        <f t="shared" si="17"/>
        <v>53</v>
      </c>
      <c r="F292">
        <v>53</v>
      </c>
      <c r="G292" t="s">
        <v>172</v>
      </c>
      <c r="H292" t="s">
        <v>73</v>
      </c>
      <c r="I292" t="s">
        <v>37</v>
      </c>
      <c r="J292">
        <f t="shared" si="18"/>
        <v>21</v>
      </c>
      <c r="K292">
        <v>21</v>
      </c>
      <c r="L292" s="5" t="str">
        <f t="shared" si="19"/>
        <v>$50</v>
      </c>
      <c r="M292" s="2" t="s">
        <v>64</v>
      </c>
      <c r="N292" s="2">
        <f>IF(O292&gt;=90%,5,IF(O292&gt;=80%,4,IF(O292&gt;=70%,3,IF(O292&gt;=60%,2,1))))</f>
        <v>1</v>
      </c>
      <c r="O292" s="3">
        <v>0.5</v>
      </c>
      <c r="P292" t="s">
        <v>69</v>
      </c>
      <c r="Q292" t="s">
        <v>33</v>
      </c>
      <c r="R292">
        <v>20</v>
      </c>
      <c r="S292">
        <v>7</v>
      </c>
    </row>
    <row r="293" spans="1:19" x14ac:dyDescent="0.3">
      <c r="A293" t="s">
        <v>664</v>
      </c>
      <c r="B293" t="s">
        <v>665</v>
      </c>
      <c r="C293" t="str">
        <f t="shared" si="16"/>
        <v>Male</v>
      </c>
      <c r="D293" t="s">
        <v>95</v>
      </c>
      <c r="E293">
        <f t="shared" si="17"/>
        <v>56</v>
      </c>
      <c r="F293">
        <v>56</v>
      </c>
      <c r="G293" t="s">
        <v>24</v>
      </c>
      <c r="H293" t="s">
        <v>25</v>
      </c>
      <c r="I293" t="s">
        <v>37</v>
      </c>
      <c r="J293">
        <f t="shared" si="18"/>
        <v>19</v>
      </c>
      <c r="K293">
        <v>19</v>
      </c>
      <c r="L293" s="5">
        <f t="shared" si="19"/>
        <v>40</v>
      </c>
      <c r="M293" s="2">
        <v>40</v>
      </c>
      <c r="N293" s="2">
        <f>IF(O293&gt;=90%,5,IF(O293&gt;=80%,4,IF(O293&gt;=70%,3,IF(O293&gt;=60%,2,1))))</f>
        <v>4</v>
      </c>
      <c r="O293" s="3">
        <v>0.82</v>
      </c>
      <c r="P293" t="s">
        <v>69</v>
      </c>
      <c r="Q293" t="s">
        <v>27</v>
      </c>
      <c r="R293">
        <v>11</v>
      </c>
      <c r="S293">
        <v>3</v>
      </c>
    </row>
    <row r="294" spans="1:19" x14ac:dyDescent="0.3">
      <c r="A294" t="s">
        <v>666</v>
      </c>
      <c r="B294" t="s">
        <v>667</v>
      </c>
      <c r="C294" t="str">
        <f t="shared" si="16"/>
        <v>Female</v>
      </c>
      <c r="D294" t="s">
        <v>23</v>
      </c>
      <c r="E294">
        <f t="shared" si="17"/>
        <v>56</v>
      </c>
      <c r="F294">
        <v>56</v>
      </c>
      <c r="G294" t="s">
        <v>68</v>
      </c>
      <c r="H294" t="s">
        <v>25</v>
      </c>
      <c r="I294" t="s">
        <v>87</v>
      </c>
      <c r="J294">
        <f t="shared" si="18"/>
        <v>34</v>
      </c>
      <c r="K294">
        <v>34</v>
      </c>
      <c r="L294" s="5">
        <f t="shared" si="19"/>
        <v>53.914285714285711</v>
      </c>
      <c r="N294" s="2">
        <f>IF(O294&gt;=90%,5,IF(O294&gt;=80%,4,IF(O294&gt;=70%,3,IF(O294&gt;=60%,2,1))))</f>
        <v>4</v>
      </c>
      <c r="O294" s="3">
        <v>0.84</v>
      </c>
      <c r="P294" t="s">
        <v>19</v>
      </c>
      <c r="Q294" t="s">
        <v>58</v>
      </c>
      <c r="R294">
        <v>17</v>
      </c>
      <c r="S294">
        <v>11</v>
      </c>
    </row>
    <row r="295" spans="1:19" x14ac:dyDescent="0.3">
      <c r="A295" t="s">
        <v>668</v>
      </c>
      <c r="B295" t="s">
        <v>669</v>
      </c>
      <c r="C295" t="str">
        <f t="shared" si="16"/>
        <v>Male</v>
      </c>
      <c r="D295" t="s">
        <v>61</v>
      </c>
      <c r="E295">
        <f t="shared" si="17"/>
        <v>38</v>
      </c>
      <c r="F295">
        <v>38</v>
      </c>
      <c r="G295" t="s">
        <v>147</v>
      </c>
      <c r="H295" t="s">
        <v>148</v>
      </c>
      <c r="I295" t="s">
        <v>52</v>
      </c>
      <c r="J295">
        <f t="shared" si="18"/>
        <v>3</v>
      </c>
      <c r="K295">
        <v>3</v>
      </c>
      <c r="L295" s="5">
        <f t="shared" si="19"/>
        <v>100</v>
      </c>
      <c r="M295" s="2">
        <v>100</v>
      </c>
      <c r="N295" s="2">
        <f>IF(O295&gt;=90%,5,IF(O295&gt;=80%,4,IF(O295&gt;=70%,3,IF(O295&gt;=60%,2,1))))</f>
        <v>3</v>
      </c>
      <c r="O295" s="3">
        <v>0.73</v>
      </c>
      <c r="P295" t="s">
        <v>65</v>
      </c>
      <c r="Q295" t="s">
        <v>33</v>
      </c>
      <c r="R295">
        <v>3</v>
      </c>
      <c r="S295">
        <v>5</v>
      </c>
    </row>
    <row r="296" spans="1:19" x14ac:dyDescent="0.3">
      <c r="A296" t="s">
        <v>670</v>
      </c>
      <c r="B296" t="s">
        <v>671</v>
      </c>
      <c r="C296" t="str">
        <f t="shared" si="16"/>
        <v>Male</v>
      </c>
      <c r="D296" t="s">
        <v>90</v>
      </c>
      <c r="E296">
        <f t="shared" si="17"/>
        <v>20</v>
      </c>
      <c r="F296">
        <v>20</v>
      </c>
      <c r="G296" t="s">
        <v>108</v>
      </c>
      <c r="H296" t="s">
        <v>109</v>
      </c>
      <c r="I296" t="s">
        <v>26</v>
      </c>
      <c r="J296">
        <f t="shared" si="18"/>
        <v>0</v>
      </c>
      <c r="K296">
        <v>0</v>
      </c>
      <c r="L296" s="5">
        <f t="shared" si="19"/>
        <v>30</v>
      </c>
      <c r="M296" s="2">
        <v>30</v>
      </c>
      <c r="N296" s="2">
        <f>IF(O296&gt;=90%,5,IF(O296&gt;=80%,4,IF(O296&gt;=70%,3,IF(O296&gt;=60%,2,1))))</f>
        <v>5</v>
      </c>
      <c r="O296" s="3">
        <v>0.93</v>
      </c>
      <c r="P296" t="s">
        <v>46</v>
      </c>
      <c r="Q296" t="s">
        <v>20</v>
      </c>
      <c r="R296">
        <v>5</v>
      </c>
      <c r="S296">
        <v>2</v>
      </c>
    </row>
    <row r="297" spans="1:19" x14ac:dyDescent="0.3">
      <c r="A297" t="s">
        <v>672</v>
      </c>
      <c r="B297" t="s">
        <v>673</v>
      </c>
      <c r="C297" t="str">
        <f t="shared" si="16"/>
        <v>Female</v>
      </c>
      <c r="D297" t="s">
        <v>39</v>
      </c>
      <c r="E297">
        <f t="shared" si="17"/>
        <v>38</v>
      </c>
      <c r="F297">
        <v>38</v>
      </c>
      <c r="G297" t="s">
        <v>124</v>
      </c>
      <c r="H297" t="s">
        <v>25</v>
      </c>
      <c r="I297" t="s">
        <v>110</v>
      </c>
      <c r="J297">
        <f t="shared" si="18"/>
        <v>20</v>
      </c>
      <c r="K297">
        <v>20</v>
      </c>
      <c r="L297" s="5">
        <f t="shared" si="19"/>
        <v>50</v>
      </c>
      <c r="M297" s="2">
        <v>50</v>
      </c>
      <c r="N297" s="2">
        <f>IF(O297&gt;=90%,5,IF(O297&gt;=80%,4,IF(O297&gt;=70%,3,IF(O297&gt;=60%,2,1))))</f>
        <v>2</v>
      </c>
      <c r="O297" s="3">
        <v>0.64</v>
      </c>
      <c r="P297" t="s">
        <v>69</v>
      </c>
      <c r="Q297" t="s">
        <v>58</v>
      </c>
      <c r="R297">
        <v>10</v>
      </c>
      <c r="S297">
        <v>2</v>
      </c>
    </row>
    <row r="298" spans="1:19" x14ac:dyDescent="0.3">
      <c r="A298" t="s">
        <v>674</v>
      </c>
      <c r="B298" t="s">
        <v>675</v>
      </c>
      <c r="C298" t="str">
        <f t="shared" si="16"/>
        <v>Female</v>
      </c>
      <c r="D298" t="s">
        <v>15</v>
      </c>
      <c r="E298">
        <f t="shared" si="17"/>
        <v>41</v>
      </c>
      <c r="G298" t="s">
        <v>42</v>
      </c>
      <c r="H298" t="s">
        <v>43</v>
      </c>
      <c r="I298" t="s">
        <v>26</v>
      </c>
      <c r="J298">
        <f t="shared" si="18"/>
        <v>6</v>
      </c>
      <c r="K298">
        <v>6</v>
      </c>
      <c r="L298" s="5">
        <f t="shared" si="19"/>
        <v>40</v>
      </c>
      <c r="M298" s="2">
        <v>40</v>
      </c>
      <c r="N298" s="2">
        <f>IF(O298&gt;=90%,5,IF(O298&gt;=80%,4,IF(O298&gt;=70%,3,IF(O298&gt;=60%,2,1))))</f>
        <v>3</v>
      </c>
      <c r="O298" s="3">
        <v>0.76</v>
      </c>
      <c r="P298" t="s">
        <v>69</v>
      </c>
      <c r="Q298" t="s">
        <v>20</v>
      </c>
      <c r="R298">
        <v>15</v>
      </c>
      <c r="S298">
        <v>6</v>
      </c>
    </row>
    <row r="299" spans="1:19" x14ac:dyDescent="0.3">
      <c r="A299" t="s">
        <v>676</v>
      </c>
      <c r="B299" t="s">
        <v>677</v>
      </c>
      <c r="C299" t="str">
        <f t="shared" si="16"/>
        <v>Male</v>
      </c>
      <c r="D299" t="s">
        <v>61</v>
      </c>
      <c r="E299">
        <f t="shared" si="17"/>
        <v>46</v>
      </c>
      <c r="F299">
        <v>46</v>
      </c>
      <c r="G299" t="s">
        <v>91</v>
      </c>
      <c r="H299" t="s">
        <v>92</v>
      </c>
      <c r="I299" t="s">
        <v>110</v>
      </c>
      <c r="J299">
        <f t="shared" si="18"/>
        <v>13</v>
      </c>
      <c r="K299">
        <v>13</v>
      </c>
      <c r="L299" s="5" t="str">
        <f t="shared" si="19"/>
        <v>$100</v>
      </c>
      <c r="M299" s="2" t="s">
        <v>222</v>
      </c>
      <c r="N299" s="2">
        <f>IF(O299&gt;=90%,5,IF(O299&gt;=80%,4,IF(O299&gt;=70%,3,IF(O299&gt;=60%,2,1))))</f>
        <v>5</v>
      </c>
      <c r="O299" s="3">
        <v>0.97</v>
      </c>
      <c r="P299" t="s">
        <v>46</v>
      </c>
      <c r="Q299" t="s">
        <v>58</v>
      </c>
      <c r="R299">
        <v>9</v>
      </c>
      <c r="S299">
        <v>12</v>
      </c>
    </row>
    <row r="300" spans="1:19" x14ac:dyDescent="0.3">
      <c r="A300" t="s">
        <v>678</v>
      </c>
      <c r="B300" t="s">
        <v>679</v>
      </c>
      <c r="C300" t="str">
        <f t="shared" si="16"/>
        <v>Male</v>
      </c>
      <c r="D300" t="s">
        <v>95</v>
      </c>
      <c r="E300">
        <f t="shared" si="17"/>
        <v>36</v>
      </c>
      <c r="F300">
        <v>36</v>
      </c>
      <c r="G300" t="s">
        <v>147</v>
      </c>
      <c r="H300" t="s">
        <v>148</v>
      </c>
      <c r="I300" t="s">
        <v>52</v>
      </c>
      <c r="J300">
        <f t="shared" si="18"/>
        <v>9</v>
      </c>
      <c r="K300">
        <v>9</v>
      </c>
      <c r="L300" s="5">
        <f t="shared" si="19"/>
        <v>75</v>
      </c>
      <c r="M300" s="2">
        <v>75</v>
      </c>
      <c r="N300" s="2">
        <f>IF(O300&gt;=90%,5,IF(O300&gt;=80%,4,IF(O300&gt;=70%,3,IF(O300&gt;=60%,2,1))))</f>
        <v>5</v>
      </c>
      <c r="O300" s="3">
        <v>0.95</v>
      </c>
      <c r="P300" t="s">
        <v>65</v>
      </c>
      <c r="Q300" t="s">
        <v>33</v>
      </c>
      <c r="R300">
        <v>11</v>
      </c>
      <c r="S300">
        <v>1</v>
      </c>
    </row>
    <row r="301" spans="1:19" x14ac:dyDescent="0.3">
      <c r="A301" t="s">
        <v>680</v>
      </c>
      <c r="B301" t="s">
        <v>681</v>
      </c>
      <c r="C301" t="str">
        <f t="shared" si="16"/>
        <v>Male</v>
      </c>
      <c r="D301" t="s">
        <v>95</v>
      </c>
      <c r="E301">
        <f t="shared" si="17"/>
        <v>33</v>
      </c>
      <c r="F301">
        <v>33</v>
      </c>
      <c r="G301" t="s">
        <v>120</v>
      </c>
      <c r="H301" t="s">
        <v>121</v>
      </c>
      <c r="I301" t="s">
        <v>37</v>
      </c>
      <c r="J301">
        <f t="shared" si="18"/>
        <v>2</v>
      </c>
      <c r="K301">
        <v>2</v>
      </c>
      <c r="L301" s="5">
        <f t="shared" si="19"/>
        <v>75</v>
      </c>
      <c r="M301" s="2">
        <v>75</v>
      </c>
      <c r="N301" s="2">
        <f>IF(O301&gt;=90%,5,IF(O301&gt;=80%,4,IF(O301&gt;=70%,3,IF(O301&gt;=60%,2,1))))</f>
        <v>2</v>
      </c>
      <c r="O301" s="3">
        <v>0.65</v>
      </c>
      <c r="P301" t="s">
        <v>46</v>
      </c>
      <c r="Q301" t="s">
        <v>20</v>
      </c>
      <c r="R301">
        <v>4</v>
      </c>
      <c r="S301">
        <v>1</v>
      </c>
    </row>
    <row r="302" spans="1:19" x14ac:dyDescent="0.3">
      <c r="A302" t="s">
        <v>682</v>
      </c>
      <c r="B302" t="s">
        <v>683</v>
      </c>
      <c r="C302" t="str">
        <f t="shared" si="16"/>
        <v>Female</v>
      </c>
      <c r="D302" t="s">
        <v>36</v>
      </c>
      <c r="E302">
        <f t="shared" si="17"/>
        <v>37</v>
      </c>
      <c r="F302">
        <v>37</v>
      </c>
      <c r="G302" t="s">
        <v>124</v>
      </c>
      <c r="H302" t="s">
        <v>25</v>
      </c>
      <c r="I302" t="s">
        <v>32</v>
      </c>
      <c r="J302">
        <f t="shared" si="18"/>
        <v>0</v>
      </c>
      <c r="K302">
        <v>0</v>
      </c>
      <c r="L302" s="5" t="str">
        <f t="shared" si="19"/>
        <v>$50</v>
      </c>
      <c r="M302" s="2" t="s">
        <v>64</v>
      </c>
      <c r="N302" s="2">
        <f>IF(O302&gt;=90%,5,IF(O302&gt;=80%,4,IF(O302&gt;=70%,3,IF(O302&gt;=60%,2,1))))</f>
        <v>3</v>
      </c>
      <c r="O302" s="3">
        <v>0.77</v>
      </c>
      <c r="P302" t="s">
        <v>65</v>
      </c>
      <c r="Q302" t="s">
        <v>20</v>
      </c>
      <c r="R302">
        <v>3</v>
      </c>
      <c r="S302">
        <v>2</v>
      </c>
    </row>
    <row r="303" spans="1:19" x14ac:dyDescent="0.3">
      <c r="A303" t="s">
        <v>684</v>
      </c>
      <c r="B303" t="s">
        <v>685</v>
      </c>
      <c r="C303" t="str">
        <f t="shared" si="16"/>
        <v>Male</v>
      </c>
      <c r="D303" t="s">
        <v>95</v>
      </c>
      <c r="E303">
        <f t="shared" si="17"/>
        <v>20</v>
      </c>
      <c r="F303">
        <v>20</v>
      </c>
      <c r="G303" t="s">
        <v>135</v>
      </c>
      <c r="H303" t="s">
        <v>136</v>
      </c>
      <c r="I303" t="s">
        <v>52</v>
      </c>
      <c r="J303">
        <f t="shared" si="18"/>
        <v>0</v>
      </c>
      <c r="K303">
        <v>0</v>
      </c>
      <c r="L303" s="5">
        <f t="shared" si="19"/>
        <v>20</v>
      </c>
      <c r="M303" s="2">
        <v>20</v>
      </c>
      <c r="N303" s="2">
        <f>IF(O303&gt;=90%,5,IF(O303&gt;=80%,4,IF(O303&gt;=70%,3,IF(O303&gt;=60%,2,1))))</f>
        <v>1</v>
      </c>
      <c r="O303" s="3">
        <v>0.5</v>
      </c>
      <c r="P303" t="s">
        <v>69</v>
      </c>
      <c r="Q303" t="s">
        <v>58</v>
      </c>
      <c r="R303">
        <v>1</v>
      </c>
      <c r="S303">
        <v>1</v>
      </c>
    </row>
    <row r="304" spans="1:19" x14ac:dyDescent="0.3">
      <c r="A304" t="s">
        <v>686</v>
      </c>
      <c r="B304" t="s">
        <v>687</v>
      </c>
      <c r="C304" t="str">
        <f t="shared" si="16"/>
        <v>Female</v>
      </c>
      <c r="D304" t="s">
        <v>23</v>
      </c>
      <c r="E304">
        <f t="shared" si="17"/>
        <v>48</v>
      </c>
      <c r="F304">
        <v>48</v>
      </c>
      <c r="G304" t="s">
        <v>168</v>
      </c>
      <c r="H304" t="s">
        <v>169</v>
      </c>
      <c r="I304" t="s">
        <v>52</v>
      </c>
      <c r="J304">
        <f t="shared" si="18"/>
        <v>2</v>
      </c>
      <c r="K304">
        <v>2</v>
      </c>
      <c r="L304" s="5">
        <f t="shared" si="19"/>
        <v>75</v>
      </c>
      <c r="M304" s="2">
        <v>75</v>
      </c>
      <c r="N304" s="2">
        <f>IF(O304&gt;=90%,5,IF(O304&gt;=80%,4,IF(O304&gt;=70%,3,IF(O304&gt;=60%,2,1))))</f>
        <v>2</v>
      </c>
      <c r="O304" s="3">
        <v>0.67</v>
      </c>
      <c r="P304" t="s">
        <v>65</v>
      </c>
      <c r="Q304" t="s">
        <v>20</v>
      </c>
      <c r="R304">
        <v>5</v>
      </c>
      <c r="S304">
        <v>2</v>
      </c>
    </row>
    <row r="305" spans="1:19" x14ac:dyDescent="0.3">
      <c r="A305" t="s">
        <v>688</v>
      </c>
      <c r="B305" t="s">
        <v>689</v>
      </c>
      <c r="C305" t="str">
        <f t="shared" si="16"/>
        <v>Male</v>
      </c>
      <c r="D305" t="s">
        <v>30</v>
      </c>
      <c r="E305">
        <f t="shared" si="17"/>
        <v>27</v>
      </c>
      <c r="F305">
        <v>27</v>
      </c>
      <c r="G305" t="s">
        <v>131</v>
      </c>
      <c r="H305" t="s">
        <v>132</v>
      </c>
      <c r="I305" t="s">
        <v>78</v>
      </c>
      <c r="J305">
        <f t="shared" si="18"/>
        <v>2</v>
      </c>
      <c r="K305">
        <v>2</v>
      </c>
      <c r="L305" s="5" t="str">
        <f t="shared" si="19"/>
        <v>$50</v>
      </c>
      <c r="M305" s="2" t="s">
        <v>64</v>
      </c>
      <c r="N305" s="2">
        <f>IF(O305&gt;=90%,5,IF(O305&gt;=80%,4,IF(O305&gt;=70%,3,IF(O305&gt;=60%,2,1))))</f>
        <v>4</v>
      </c>
      <c r="O305" s="3">
        <v>0.84</v>
      </c>
      <c r="P305" t="s">
        <v>19</v>
      </c>
      <c r="Q305" t="s">
        <v>58</v>
      </c>
      <c r="R305">
        <v>2</v>
      </c>
      <c r="S305">
        <v>3</v>
      </c>
    </row>
    <row r="306" spans="1:19" x14ac:dyDescent="0.3">
      <c r="A306" t="s">
        <v>690</v>
      </c>
      <c r="B306" t="s">
        <v>691</v>
      </c>
      <c r="C306" t="str">
        <f t="shared" si="16"/>
        <v>Male</v>
      </c>
      <c r="D306" t="s">
        <v>90</v>
      </c>
      <c r="E306">
        <f t="shared" si="17"/>
        <v>34</v>
      </c>
      <c r="F306">
        <v>34</v>
      </c>
      <c r="G306" t="s">
        <v>108</v>
      </c>
      <c r="H306" t="s">
        <v>109</v>
      </c>
      <c r="I306" t="s">
        <v>26</v>
      </c>
      <c r="J306">
        <f t="shared" si="18"/>
        <v>1</v>
      </c>
      <c r="K306">
        <v>1</v>
      </c>
      <c r="L306" s="5">
        <f t="shared" si="19"/>
        <v>30</v>
      </c>
      <c r="M306" s="2">
        <v>30</v>
      </c>
      <c r="N306" s="2">
        <f>IF(O306&gt;=90%,5,IF(O306&gt;=80%,4,IF(O306&gt;=70%,3,IF(O306&gt;=60%,2,1))))</f>
        <v>4</v>
      </c>
      <c r="O306" s="3">
        <v>0.87</v>
      </c>
      <c r="P306" t="s">
        <v>69</v>
      </c>
      <c r="Q306" t="s">
        <v>58</v>
      </c>
      <c r="R306">
        <v>2</v>
      </c>
      <c r="S306">
        <v>2</v>
      </c>
    </row>
    <row r="307" spans="1:19" x14ac:dyDescent="0.3">
      <c r="A307" t="s">
        <v>692</v>
      </c>
      <c r="B307" t="s">
        <v>693</v>
      </c>
      <c r="C307" t="str">
        <f t="shared" si="16"/>
        <v>Male</v>
      </c>
      <c r="D307" t="s">
        <v>95</v>
      </c>
      <c r="E307">
        <f t="shared" si="17"/>
        <v>55</v>
      </c>
      <c r="F307">
        <v>55</v>
      </c>
      <c r="G307" t="s">
        <v>104</v>
      </c>
      <c r="H307" t="s">
        <v>105</v>
      </c>
      <c r="I307" t="s">
        <v>110</v>
      </c>
      <c r="J307">
        <f t="shared" si="18"/>
        <v>14</v>
      </c>
      <c r="K307">
        <v>14</v>
      </c>
      <c r="L307" s="5" t="str">
        <f t="shared" si="19"/>
        <v>$30</v>
      </c>
      <c r="M307" s="2" t="s">
        <v>45</v>
      </c>
      <c r="N307" s="2">
        <f>IF(O307&gt;=90%,5,IF(O307&gt;=80%,4,IF(O307&gt;=70%,3,IF(O307&gt;=60%,2,1))))</f>
        <v>5</v>
      </c>
      <c r="O307" s="3">
        <v>0.91</v>
      </c>
      <c r="P307" t="s">
        <v>19</v>
      </c>
      <c r="Q307" t="s">
        <v>58</v>
      </c>
      <c r="R307">
        <v>7</v>
      </c>
      <c r="S307">
        <v>6</v>
      </c>
    </row>
    <row r="308" spans="1:19" x14ac:dyDescent="0.3">
      <c r="A308" t="s">
        <v>694</v>
      </c>
      <c r="B308" t="s">
        <v>695</v>
      </c>
      <c r="C308" t="str">
        <f t="shared" si="16"/>
        <v>Female</v>
      </c>
      <c r="D308" t="s">
        <v>36</v>
      </c>
      <c r="E308">
        <f t="shared" si="17"/>
        <v>44</v>
      </c>
      <c r="F308">
        <v>44</v>
      </c>
      <c r="G308" t="s">
        <v>147</v>
      </c>
      <c r="H308" t="s">
        <v>148</v>
      </c>
      <c r="I308" t="s">
        <v>110</v>
      </c>
      <c r="J308">
        <f t="shared" si="18"/>
        <v>14</v>
      </c>
      <c r="K308">
        <v>14</v>
      </c>
      <c r="L308" s="5" t="str">
        <f t="shared" si="19"/>
        <v>$75</v>
      </c>
      <c r="M308" s="2" t="s">
        <v>163</v>
      </c>
      <c r="N308" s="2">
        <f>IF(O308&gt;=90%,5,IF(O308&gt;=80%,4,IF(O308&gt;=70%,3,IF(O308&gt;=60%,2,1))))</f>
        <v>3</v>
      </c>
      <c r="O308" s="3">
        <v>0.78</v>
      </c>
      <c r="P308" t="s">
        <v>46</v>
      </c>
      <c r="Q308" t="s">
        <v>58</v>
      </c>
      <c r="R308">
        <v>13</v>
      </c>
      <c r="S308">
        <v>6</v>
      </c>
    </row>
    <row r="309" spans="1:19" x14ac:dyDescent="0.3">
      <c r="A309" t="s">
        <v>696</v>
      </c>
      <c r="B309" t="s">
        <v>697</v>
      </c>
      <c r="C309" t="str">
        <f t="shared" si="16"/>
        <v>Male</v>
      </c>
      <c r="D309" t="s">
        <v>30</v>
      </c>
      <c r="E309">
        <f t="shared" si="17"/>
        <v>31</v>
      </c>
      <c r="F309">
        <v>31</v>
      </c>
      <c r="G309" t="s">
        <v>42</v>
      </c>
      <c r="H309" t="s">
        <v>43</v>
      </c>
      <c r="I309" t="s">
        <v>74</v>
      </c>
      <c r="J309">
        <f t="shared" si="18"/>
        <v>2</v>
      </c>
      <c r="K309">
        <v>2</v>
      </c>
      <c r="L309" s="5">
        <f t="shared" si="19"/>
        <v>50</v>
      </c>
      <c r="M309" s="2">
        <v>50</v>
      </c>
      <c r="N309" s="2">
        <f>IF(O309&gt;=90%,5,IF(O309&gt;=80%,4,IF(O309&gt;=70%,3,IF(O309&gt;=60%,2,1))))</f>
        <v>1</v>
      </c>
      <c r="O309" s="3">
        <v>0.5</v>
      </c>
      <c r="P309" t="s">
        <v>46</v>
      </c>
      <c r="Q309" t="s">
        <v>33</v>
      </c>
      <c r="R309">
        <v>4</v>
      </c>
      <c r="S309">
        <v>1</v>
      </c>
    </row>
    <row r="310" spans="1:19" x14ac:dyDescent="0.3">
      <c r="A310" t="s">
        <v>698</v>
      </c>
      <c r="B310" t="s">
        <v>699</v>
      </c>
      <c r="C310" t="str">
        <f t="shared" si="16"/>
        <v>Male</v>
      </c>
      <c r="D310" t="s">
        <v>49</v>
      </c>
      <c r="E310">
        <f t="shared" si="17"/>
        <v>34</v>
      </c>
      <c r="F310">
        <v>34</v>
      </c>
      <c r="G310" t="s">
        <v>24</v>
      </c>
      <c r="H310" t="s">
        <v>25</v>
      </c>
      <c r="I310" t="s">
        <v>87</v>
      </c>
      <c r="J310">
        <f t="shared" si="18"/>
        <v>1</v>
      </c>
      <c r="K310">
        <v>1</v>
      </c>
      <c r="L310" s="5">
        <f t="shared" si="19"/>
        <v>40</v>
      </c>
      <c r="M310" s="2">
        <v>40</v>
      </c>
      <c r="N310" s="2">
        <f>IF(O310&gt;=90%,5,IF(O310&gt;=80%,4,IF(O310&gt;=70%,3,IF(O310&gt;=60%,2,1))))</f>
        <v>3</v>
      </c>
      <c r="O310" s="3">
        <v>0.74</v>
      </c>
      <c r="P310" t="s">
        <v>46</v>
      </c>
      <c r="Q310" t="s">
        <v>58</v>
      </c>
      <c r="R310">
        <v>4</v>
      </c>
      <c r="S310">
        <v>4</v>
      </c>
    </row>
    <row r="311" spans="1:19" x14ac:dyDescent="0.3">
      <c r="A311" t="s">
        <v>700</v>
      </c>
      <c r="B311" t="s">
        <v>701</v>
      </c>
      <c r="C311" t="str">
        <f t="shared" si="16"/>
        <v>Female</v>
      </c>
      <c r="D311" t="s">
        <v>36</v>
      </c>
      <c r="E311">
        <f t="shared" si="17"/>
        <v>47</v>
      </c>
      <c r="F311">
        <v>47</v>
      </c>
      <c r="G311" t="s">
        <v>104</v>
      </c>
      <c r="H311" t="s">
        <v>105</v>
      </c>
      <c r="I311" t="s">
        <v>87</v>
      </c>
      <c r="J311">
        <f t="shared" si="18"/>
        <v>13</v>
      </c>
      <c r="K311">
        <v>13</v>
      </c>
      <c r="L311" s="5">
        <f t="shared" si="19"/>
        <v>20</v>
      </c>
      <c r="M311" s="2">
        <v>20</v>
      </c>
      <c r="N311" s="2">
        <f>IF(O311&gt;=90%,5,IF(O311&gt;=80%,4,IF(O311&gt;=70%,3,IF(O311&gt;=60%,2,1))))</f>
        <v>5</v>
      </c>
      <c r="O311" s="3">
        <v>0.91</v>
      </c>
      <c r="P311" t="s">
        <v>65</v>
      </c>
      <c r="Q311" t="s">
        <v>27</v>
      </c>
      <c r="R311">
        <v>7</v>
      </c>
      <c r="S311">
        <v>6</v>
      </c>
    </row>
    <row r="312" spans="1:19" x14ac:dyDescent="0.3">
      <c r="A312" t="s">
        <v>702</v>
      </c>
      <c r="B312" t="s">
        <v>703</v>
      </c>
      <c r="C312" t="str">
        <f t="shared" si="16"/>
        <v>Male</v>
      </c>
      <c r="D312" t="s">
        <v>49</v>
      </c>
      <c r="E312">
        <f t="shared" si="17"/>
        <v>50</v>
      </c>
      <c r="F312">
        <v>50</v>
      </c>
      <c r="G312" t="s">
        <v>57</v>
      </c>
      <c r="H312" t="s">
        <v>25</v>
      </c>
      <c r="I312" t="s">
        <v>32</v>
      </c>
      <c r="J312">
        <f t="shared" si="18"/>
        <v>23</v>
      </c>
      <c r="K312">
        <v>23</v>
      </c>
      <c r="L312" s="5" t="str">
        <f t="shared" si="19"/>
        <v>$40</v>
      </c>
      <c r="M312" s="2" t="s">
        <v>38</v>
      </c>
      <c r="N312" s="2">
        <f>IF(O312&gt;=90%,5,IF(O312&gt;=80%,4,IF(O312&gt;=70%,3,IF(O312&gt;=60%,2,1))))</f>
        <v>3</v>
      </c>
      <c r="O312" s="3">
        <v>0.71</v>
      </c>
      <c r="P312" t="s">
        <v>69</v>
      </c>
      <c r="Q312" t="s">
        <v>20</v>
      </c>
      <c r="R312">
        <v>12</v>
      </c>
      <c r="S312">
        <v>9</v>
      </c>
    </row>
    <row r="313" spans="1:19" x14ac:dyDescent="0.3">
      <c r="A313" t="s">
        <v>704</v>
      </c>
      <c r="B313" t="s">
        <v>705</v>
      </c>
      <c r="C313" t="str">
        <f t="shared" si="16"/>
        <v>Male</v>
      </c>
      <c r="D313" t="s">
        <v>90</v>
      </c>
      <c r="E313">
        <f t="shared" si="17"/>
        <v>39</v>
      </c>
      <c r="F313">
        <v>39</v>
      </c>
      <c r="G313" t="s">
        <v>31</v>
      </c>
      <c r="H313" t="s">
        <v>31</v>
      </c>
      <c r="I313" t="s">
        <v>78</v>
      </c>
      <c r="J313" s="4">
        <f t="shared" si="18"/>
        <v>12.833333333333334</v>
      </c>
      <c r="L313" s="5" t="str">
        <f t="shared" si="19"/>
        <v>$75</v>
      </c>
      <c r="M313" s="2" t="s">
        <v>163</v>
      </c>
      <c r="N313" s="2">
        <f>IF(O313&gt;=90%,5,IF(O313&gt;=80%,4,IF(O313&gt;=70%,3,IF(O313&gt;=60%,2,1))))</f>
        <v>4</v>
      </c>
      <c r="O313" s="3">
        <v>0.87</v>
      </c>
      <c r="P313" t="s">
        <v>46</v>
      </c>
      <c r="Q313" t="s">
        <v>27</v>
      </c>
      <c r="R313">
        <v>5</v>
      </c>
      <c r="S313">
        <v>1</v>
      </c>
    </row>
    <row r="314" spans="1:19" x14ac:dyDescent="0.3">
      <c r="A314" t="s">
        <v>706</v>
      </c>
      <c r="B314" t="s">
        <v>707</v>
      </c>
      <c r="C314" t="str">
        <f t="shared" si="16"/>
        <v>Female</v>
      </c>
      <c r="D314" t="s">
        <v>23</v>
      </c>
      <c r="E314">
        <f t="shared" si="17"/>
        <v>26</v>
      </c>
      <c r="F314">
        <v>26</v>
      </c>
      <c r="G314" t="s">
        <v>72</v>
      </c>
      <c r="H314" t="s">
        <v>73</v>
      </c>
      <c r="I314" t="s">
        <v>18</v>
      </c>
      <c r="J314">
        <f t="shared" si="18"/>
        <v>3</v>
      </c>
      <c r="K314">
        <v>3</v>
      </c>
      <c r="L314" s="5" t="str">
        <f t="shared" si="19"/>
        <v>$100</v>
      </c>
      <c r="M314" s="2" t="s">
        <v>222</v>
      </c>
      <c r="N314" s="2">
        <f>IF(O314&gt;=90%,5,IF(O314&gt;=80%,4,IF(O314&gt;=70%,3,IF(O314&gt;=60%,2,1))))</f>
        <v>2</v>
      </c>
      <c r="O314" s="3">
        <v>0.61</v>
      </c>
      <c r="P314" t="s">
        <v>46</v>
      </c>
      <c r="Q314" t="s">
        <v>33</v>
      </c>
      <c r="R314">
        <v>1</v>
      </c>
      <c r="S314">
        <v>1</v>
      </c>
    </row>
    <row r="315" spans="1:19" x14ac:dyDescent="0.3">
      <c r="A315" t="s">
        <v>708</v>
      </c>
      <c r="B315" t="s">
        <v>709</v>
      </c>
      <c r="C315" t="str">
        <f t="shared" si="16"/>
        <v>Male</v>
      </c>
      <c r="D315" t="s">
        <v>90</v>
      </c>
      <c r="E315">
        <f t="shared" si="17"/>
        <v>41</v>
      </c>
      <c r="G315" t="s">
        <v>42</v>
      </c>
      <c r="H315" t="s">
        <v>43</v>
      </c>
      <c r="I315" t="s">
        <v>87</v>
      </c>
      <c r="J315">
        <f t="shared" si="18"/>
        <v>0</v>
      </c>
      <c r="K315">
        <v>0</v>
      </c>
      <c r="L315" s="5" t="str">
        <f t="shared" si="19"/>
        <v>$100</v>
      </c>
      <c r="M315" s="2" t="s">
        <v>222</v>
      </c>
      <c r="N315" s="2">
        <f>IF(O315&gt;=90%,5,IF(O315&gt;=80%,4,IF(O315&gt;=70%,3,IF(O315&gt;=60%,2,1))))</f>
        <v>1</v>
      </c>
      <c r="O315" s="3">
        <v>0.5</v>
      </c>
      <c r="P315" t="s">
        <v>69</v>
      </c>
      <c r="Q315" t="s">
        <v>27</v>
      </c>
      <c r="R315">
        <v>1</v>
      </c>
      <c r="S315">
        <v>4</v>
      </c>
    </row>
    <row r="316" spans="1:19" x14ac:dyDescent="0.3">
      <c r="A316" t="s">
        <v>710</v>
      </c>
      <c r="B316" t="s">
        <v>711</v>
      </c>
      <c r="C316" t="str">
        <f t="shared" si="16"/>
        <v>Male</v>
      </c>
      <c r="D316" t="s">
        <v>30</v>
      </c>
      <c r="E316">
        <f t="shared" si="17"/>
        <v>32</v>
      </c>
      <c r="F316">
        <v>32</v>
      </c>
      <c r="G316" t="s">
        <v>31</v>
      </c>
      <c r="H316" t="s">
        <v>31</v>
      </c>
      <c r="I316" t="s">
        <v>32</v>
      </c>
      <c r="J316">
        <f t="shared" si="18"/>
        <v>0</v>
      </c>
      <c r="K316">
        <v>0</v>
      </c>
      <c r="L316" s="5">
        <f t="shared" si="19"/>
        <v>100</v>
      </c>
      <c r="M316" s="2">
        <v>100</v>
      </c>
      <c r="N316" s="2">
        <f>IF(O316&gt;=90%,5,IF(O316&gt;=80%,4,IF(O316&gt;=70%,3,IF(O316&gt;=60%,2,1))))</f>
        <v>4</v>
      </c>
      <c r="O316" s="3">
        <v>0.81</v>
      </c>
      <c r="P316" t="s">
        <v>46</v>
      </c>
      <c r="Q316" t="s">
        <v>20</v>
      </c>
      <c r="R316">
        <v>2</v>
      </c>
      <c r="S316">
        <v>1</v>
      </c>
    </row>
    <row r="317" spans="1:19" x14ac:dyDescent="0.3">
      <c r="A317" t="s">
        <v>712</v>
      </c>
      <c r="B317" t="s">
        <v>713</v>
      </c>
      <c r="C317" t="str">
        <f t="shared" si="16"/>
        <v>Female</v>
      </c>
      <c r="D317" t="s">
        <v>77</v>
      </c>
      <c r="E317">
        <f t="shared" si="17"/>
        <v>55</v>
      </c>
      <c r="F317">
        <v>55</v>
      </c>
      <c r="G317" t="s">
        <v>120</v>
      </c>
      <c r="H317" t="s">
        <v>121</v>
      </c>
      <c r="I317" t="s">
        <v>52</v>
      </c>
      <c r="J317">
        <f t="shared" si="18"/>
        <v>17</v>
      </c>
      <c r="K317">
        <v>17</v>
      </c>
      <c r="L317" s="5">
        <f t="shared" si="19"/>
        <v>30</v>
      </c>
      <c r="M317" s="2">
        <v>30</v>
      </c>
      <c r="N317" s="2">
        <f>IF(O317&gt;=90%,5,IF(O317&gt;=80%,4,IF(O317&gt;=70%,3,IF(O317&gt;=60%,2,1))))</f>
        <v>1</v>
      </c>
      <c r="O317" s="3">
        <v>0.5</v>
      </c>
      <c r="P317" t="s">
        <v>19</v>
      </c>
      <c r="Q317" t="s">
        <v>27</v>
      </c>
      <c r="R317">
        <v>18</v>
      </c>
      <c r="S317">
        <v>13</v>
      </c>
    </row>
    <row r="318" spans="1:19" x14ac:dyDescent="0.3">
      <c r="A318" t="s">
        <v>714</v>
      </c>
      <c r="B318" t="s">
        <v>715</v>
      </c>
      <c r="C318" t="str">
        <f t="shared" si="16"/>
        <v>Male</v>
      </c>
      <c r="D318" t="s">
        <v>90</v>
      </c>
      <c r="E318">
        <f t="shared" si="17"/>
        <v>32</v>
      </c>
      <c r="F318">
        <v>32</v>
      </c>
      <c r="G318" t="s">
        <v>72</v>
      </c>
      <c r="H318" t="s">
        <v>73</v>
      </c>
      <c r="I318" t="s">
        <v>110</v>
      </c>
      <c r="J318">
        <f t="shared" si="18"/>
        <v>9</v>
      </c>
      <c r="K318">
        <v>9</v>
      </c>
      <c r="L318" s="5" t="str">
        <f t="shared" si="19"/>
        <v>$40</v>
      </c>
      <c r="M318" s="2" t="s">
        <v>38</v>
      </c>
      <c r="N318" s="2">
        <f>IF(O318&gt;=90%,5,IF(O318&gt;=80%,4,IF(O318&gt;=70%,3,IF(O318&gt;=60%,2,1))))</f>
        <v>4</v>
      </c>
      <c r="O318" s="3">
        <v>0.84</v>
      </c>
      <c r="P318" t="s">
        <v>69</v>
      </c>
      <c r="Q318" t="s">
        <v>33</v>
      </c>
      <c r="R318">
        <v>9</v>
      </c>
      <c r="S318">
        <v>2</v>
      </c>
    </row>
    <row r="319" spans="1:19" x14ac:dyDescent="0.3">
      <c r="A319" t="s">
        <v>716</v>
      </c>
      <c r="B319" t="s">
        <v>717</v>
      </c>
      <c r="C319" t="str">
        <f t="shared" ref="C319:C382" si="20">IF(LEFT(LOWER(TRIM(D319)),1)="f","Female","Male")</f>
        <v>Male</v>
      </c>
      <c r="D319" t="s">
        <v>49</v>
      </c>
      <c r="E319">
        <f t="shared" si="17"/>
        <v>30</v>
      </c>
      <c r="F319">
        <v>30</v>
      </c>
      <c r="G319" t="s">
        <v>108</v>
      </c>
      <c r="H319" t="s">
        <v>109</v>
      </c>
      <c r="I319" t="s">
        <v>18</v>
      </c>
      <c r="J319">
        <f t="shared" si="18"/>
        <v>4</v>
      </c>
      <c r="K319">
        <v>4</v>
      </c>
      <c r="L319" s="5" t="str">
        <f t="shared" si="19"/>
        <v>$20</v>
      </c>
      <c r="M319" s="2" t="s">
        <v>117</v>
      </c>
      <c r="N319" s="2">
        <f>IF(O319&gt;=90%,5,IF(O319&gt;=80%,4,IF(O319&gt;=70%,3,IF(O319&gt;=60%,2,1))))</f>
        <v>1</v>
      </c>
      <c r="O319" s="3">
        <v>0.5</v>
      </c>
      <c r="P319" t="s">
        <v>69</v>
      </c>
      <c r="Q319" t="s">
        <v>58</v>
      </c>
      <c r="R319">
        <v>4</v>
      </c>
      <c r="S319">
        <v>4</v>
      </c>
    </row>
    <row r="320" spans="1:19" x14ac:dyDescent="0.3">
      <c r="A320" t="s">
        <v>718</v>
      </c>
      <c r="B320" t="s">
        <v>719</v>
      </c>
      <c r="C320" t="str">
        <f t="shared" si="20"/>
        <v>Female</v>
      </c>
      <c r="D320" t="s">
        <v>39</v>
      </c>
      <c r="E320">
        <f t="shared" si="17"/>
        <v>37</v>
      </c>
      <c r="F320">
        <v>37</v>
      </c>
      <c r="G320" t="s">
        <v>124</v>
      </c>
      <c r="H320" t="s">
        <v>25</v>
      </c>
      <c r="I320" t="s">
        <v>78</v>
      </c>
      <c r="J320">
        <f t="shared" si="18"/>
        <v>0</v>
      </c>
      <c r="K320">
        <v>0</v>
      </c>
      <c r="L320" s="5" t="str">
        <f t="shared" si="19"/>
        <v>$40</v>
      </c>
      <c r="M320" s="2" t="s">
        <v>38</v>
      </c>
      <c r="N320" s="2">
        <f>IF(O320&gt;=90%,5,IF(O320&gt;=80%,4,IF(O320&gt;=70%,3,IF(O320&gt;=60%,2,1))))</f>
        <v>1</v>
      </c>
      <c r="O320" s="3">
        <v>0.5</v>
      </c>
      <c r="P320" t="s">
        <v>69</v>
      </c>
      <c r="Q320" t="s">
        <v>27</v>
      </c>
      <c r="R320">
        <v>3</v>
      </c>
      <c r="S320">
        <v>5</v>
      </c>
    </row>
    <row r="321" spans="1:19" x14ac:dyDescent="0.3">
      <c r="A321" t="s">
        <v>720</v>
      </c>
      <c r="B321" t="s">
        <v>721</v>
      </c>
      <c r="C321" t="str">
        <f t="shared" si="20"/>
        <v>Male</v>
      </c>
      <c r="D321" t="s">
        <v>90</v>
      </c>
      <c r="E321">
        <f t="shared" si="17"/>
        <v>52</v>
      </c>
      <c r="F321">
        <v>52</v>
      </c>
      <c r="G321" t="s">
        <v>104</v>
      </c>
      <c r="H321" t="s">
        <v>105</v>
      </c>
      <c r="I321" t="s">
        <v>32</v>
      </c>
      <c r="J321">
        <f t="shared" si="18"/>
        <v>33</v>
      </c>
      <c r="K321">
        <v>33</v>
      </c>
      <c r="L321" s="5">
        <f t="shared" si="19"/>
        <v>54.037267080745345</v>
      </c>
      <c r="N321" s="2">
        <f>IF(O321&gt;=90%,5,IF(O321&gt;=80%,4,IF(O321&gt;=70%,3,IF(O321&gt;=60%,2,1))))</f>
        <v>2</v>
      </c>
      <c r="O321" s="3">
        <v>0.6</v>
      </c>
      <c r="P321" t="s">
        <v>19</v>
      </c>
      <c r="Q321" t="s">
        <v>33</v>
      </c>
      <c r="R321">
        <v>13</v>
      </c>
      <c r="S321">
        <v>7</v>
      </c>
    </row>
    <row r="322" spans="1:19" x14ac:dyDescent="0.3">
      <c r="A322" t="s">
        <v>722</v>
      </c>
      <c r="B322" t="s">
        <v>723</v>
      </c>
      <c r="C322" t="str">
        <f t="shared" si="20"/>
        <v>Male</v>
      </c>
      <c r="D322" t="s">
        <v>95</v>
      </c>
      <c r="E322">
        <f t="shared" ref="E322:E385" si="21">IF(F322="",MEDIAN($F$2:$F$698),F322)</f>
        <v>48</v>
      </c>
      <c r="F322">
        <v>48</v>
      </c>
      <c r="G322" t="s">
        <v>91</v>
      </c>
      <c r="H322" t="s">
        <v>92</v>
      </c>
      <c r="I322" t="s">
        <v>78</v>
      </c>
      <c r="J322">
        <f t="shared" ref="J322:J385" si="22">IF(K322="", AVERAGEIF($I$2:$I$698,I322,$K$2:$K$698),K322)</f>
        <v>18</v>
      </c>
      <c r="K322">
        <v>18</v>
      </c>
      <c r="L322" s="5">
        <f t="shared" si="19"/>
        <v>50</v>
      </c>
      <c r="M322" s="2">
        <v>50</v>
      </c>
      <c r="N322" s="2">
        <f>IF(O322&gt;=90%,5,IF(O322&gt;=80%,4,IF(O322&gt;=70%,3,IF(O322&gt;=60%,2,1))))</f>
        <v>2</v>
      </c>
      <c r="O322" s="3">
        <v>0.64</v>
      </c>
      <c r="P322" t="s">
        <v>69</v>
      </c>
      <c r="Q322" t="s">
        <v>33</v>
      </c>
      <c r="R322">
        <v>11</v>
      </c>
      <c r="S322">
        <v>16</v>
      </c>
    </row>
    <row r="323" spans="1:19" x14ac:dyDescent="0.3">
      <c r="A323" t="s">
        <v>724</v>
      </c>
      <c r="B323" t="s">
        <v>725</v>
      </c>
      <c r="C323" t="str">
        <f t="shared" si="20"/>
        <v>Female</v>
      </c>
      <c r="D323" t="s">
        <v>23</v>
      </c>
      <c r="E323">
        <f t="shared" si="21"/>
        <v>28</v>
      </c>
      <c r="F323">
        <v>28</v>
      </c>
      <c r="G323" t="s">
        <v>83</v>
      </c>
      <c r="H323" t="s">
        <v>84</v>
      </c>
      <c r="I323" t="s">
        <v>26</v>
      </c>
      <c r="J323">
        <f t="shared" si="22"/>
        <v>9</v>
      </c>
      <c r="K323">
        <v>9</v>
      </c>
      <c r="L323" s="5">
        <f t="shared" ref="L323:L386" si="23">IF(M323="", AVERAGE(M323:M1019), M323)</f>
        <v>40</v>
      </c>
      <c r="M323" s="2">
        <v>40</v>
      </c>
      <c r="N323" s="2">
        <f>IF(O323&gt;=90%,5,IF(O323&gt;=80%,4,IF(O323&gt;=70%,3,IF(O323&gt;=60%,2,1))))</f>
        <v>2</v>
      </c>
      <c r="O323" s="3">
        <v>0.64</v>
      </c>
      <c r="P323" t="s">
        <v>19</v>
      </c>
      <c r="Q323" t="s">
        <v>20</v>
      </c>
      <c r="R323">
        <v>14</v>
      </c>
      <c r="S323">
        <v>12</v>
      </c>
    </row>
    <row r="324" spans="1:19" x14ac:dyDescent="0.3">
      <c r="A324" t="s">
        <v>726</v>
      </c>
      <c r="B324" t="s">
        <v>727</v>
      </c>
      <c r="C324" t="str">
        <f t="shared" si="20"/>
        <v>Female</v>
      </c>
      <c r="D324" t="s">
        <v>23</v>
      </c>
      <c r="E324">
        <f t="shared" si="21"/>
        <v>58</v>
      </c>
      <c r="F324">
        <v>58</v>
      </c>
      <c r="G324" t="s">
        <v>183</v>
      </c>
      <c r="H324" t="s">
        <v>73</v>
      </c>
      <c r="I324" t="s">
        <v>52</v>
      </c>
      <c r="J324">
        <f t="shared" si="22"/>
        <v>40</v>
      </c>
      <c r="K324">
        <v>40</v>
      </c>
      <c r="L324" s="5">
        <f t="shared" si="23"/>
        <v>75</v>
      </c>
      <c r="M324" s="2">
        <v>75</v>
      </c>
      <c r="N324" s="2">
        <f>IF(O324&gt;=90%,5,IF(O324&gt;=80%,4,IF(O324&gt;=70%,3,IF(O324&gt;=60%,2,1))))</f>
        <v>5</v>
      </c>
      <c r="O324" s="3">
        <v>1</v>
      </c>
      <c r="P324" t="s">
        <v>69</v>
      </c>
      <c r="Q324" t="s">
        <v>20</v>
      </c>
      <c r="R324">
        <v>11</v>
      </c>
      <c r="S324">
        <v>12</v>
      </c>
    </row>
    <row r="325" spans="1:19" x14ac:dyDescent="0.3">
      <c r="A325" t="s">
        <v>728</v>
      </c>
      <c r="B325" t="s">
        <v>729</v>
      </c>
      <c r="C325" t="str">
        <f t="shared" si="20"/>
        <v>Male</v>
      </c>
      <c r="D325" t="s">
        <v>30</v>
      </c>
      <c r="E325">
        <f t="shared" si="21"/>
        <v>30</v>
      </c>
      <c r="F325">
        <v>30</v>
      </c>
      <c r="G325" t="s">
        <v>72</v>
      </c>
      <c r="H325" t="s">
        <v>73</v>
      </c>
      <c r="I325" t="s">
        <v>37</v>
      </c>
      <c r="J325">
        <f t="shared" si="22"/>
        <v>1</v>
      </c>
      <c r="K325">
        <v>1</v>
      </c>
      <c r="L325" s="5">
        <f t="shared" si="23"/>
        <v>40</v>
      </c>
      <c r="M325" s="2">
        <v>40</v>
      </c>
      <c r="N325" s="2">
        <f>IF(O325&gt;=90%,5,IF(O325&gt;=80%,4,IF(O325&gt;=70%,3,IF(O325&gt;=60%,2,1))))</f>
        <v>5</v>
      </c>
      <c r="O325" s="3">
        <v>1</v>
      </c>
      <c r="P325" t="s">
        <v>65</v>
      </c>
      <c r="Q325" t="s">
        <v>27</v>
      </c>
      <c r="R325">
        <v>4</v>
      </c>
      <c r="S325">
        <v>1</v>
      </c>
    </row>
    <row r="326" spans="1:19" x14ac:dyDescent="0.3">
      <c r="A326" t="s">
        <v>730</v>
      </c>
      <c r="B326" t="s">
        <v>731</v>
      </c>
      <c r="C326" t="str">
        <f t="shared" si="20"/>
        <v>Female</v>
      </c>
      <c r="D326" t="s">
        <v>77</v>
      </c>
      <c r="E326">
        <f t="shared" si="21"/>
        <v>47</v>
      </c>
      <c r="F326">
        <v>47</v>
      </c>
      <c r="G326" t="s">
        <v>168</v>
      </c>
      <c r="H326" t="s">
        <v>169</v>
      </c>
      <c r="I326" t="s">
        <v>26</v>
      </c>
      <c r="J326">
        <f t="shared" si="22"/>
        <v>5</v>
      </c>
      <c r="K326">
        <v>5</v>
      </c>
      <c r="L326" s="5">
        <f t="shared" si="23"/>
        <v>20</v>
      </c>
      <c r="M326" s="2">
        <v>20</v>
      </c>
      <c r="N326" s="2">
        <f>IF(O326&gt;=90%,5,IF(O326&gt;=80%,4,IF(O326&gt;=70%,3,IF(O326&gt;=60%,2,1))))</f>
        <v>1</v>
      </c>
      <c r="O326" s="3">
        <v>0.5</v>
      </c>
      <c r="P326" t="s">
        <v>46</v>
      </c>
      <c r="Q326" t="s">
        <v>58</v>
      </c>
      <c r="R326">
        <v>5</v>
      </c>
      <c r="S326">
        <v>1</v>
      </c>
    </row>
    <row r="327" spans="1:19" x14ac:dyDescent="0.3">
      <c r="A327" t="s">
        <v>732</v>
      </c>
      <c r="B327" t="s">
        <v>733</v>
      </c>
      <c r="C327" t="str">
        <f t="shared" si="20"/>
        <v>Male</v>
      </c>
      <c r="D327" t="s">
        <v>30</v>
      </c>
      <c r="E327">
        <f t="shared" si="21"/>
        <v>44</v>
      </c>
      <c r="F327">
        <v>44</v>
      </c>
      <c r="G327" t="s">
        <v>72</v>
      </c>
      <c r="H327" t="s">
        <v>73</v>
      </c>
      <c r="I327" t="s">
        <v>44</v>
      </c>
      <c r="J327">
        <f t="shared" si="22"/>
        <v>4</v>
      </c>
      <c r="K327">
        <v>4</v>
      </c>
      <c r="L327" s="5" t="str">
        <f t="shared" si="23"/>
        <v>$50</v>
      </c>
      <c r="M327" s="2" t="s">
        <v>64</v>
      </c>
      <c r="N327" s="2">
        <f>IF(O327&gt;=90%,5,IF(O327&gt;=80%,4,IF(O327&gt;=70%,3,IF(O327&gt;=60%,2,1))))</f>
        <v>4</v>
      </c>
      <c r="O327" s="3">
        <v>0.83</v>
      </c>
      <c r="P327" t="s">
        <v>65</v>
      </c>
      <c r="Q327" t="s">
        <v>33</v>
      </c>
      <c r="R327">
        <v>5</v>
      </c>
      <c r="S327">
        <v>1</v>
      </c>
    </row>
    <row r="328" spans="1:19" x14ac:dyDescent="0.3">
      <c r="A328" t="s">
        <v>734</v>
      </c>
      <c r="B328" t="s">
        <v>735</v>
      </c>
      <c r="C328" t="str">
        <f t="shared" si="20"/>
        <v>Male</v>
      </c>
      <c r="D328" t="s">
        <v>90</v>
      </c>
      <c r="E328">
        <f t="shared" si="21"/>
        <v>56</v>
      </c>
      <c r="F328">
        <v>56</v>
      </c>
      <c r="G328" t="s">
        <v>16</v>
      </c>
      <c r="H328" t="s">
        <v>17</v>
      </c>
      <c r="I328" t="s">
        <v>110</v>
      </c>
      <c r="J328">
        <f t="shared" si="22"/>
        <v>13</v>
      </c>
      <c r="K328">
        <v>13</v>
      </c>
      <c r="L328" s="5" t="str">
        <f t="shared" si="23"/>
        <v>$40</v>
      </c>
      <c r="M328" s="2" t="s">
        <v>38</v>
      </c>
      <c r="N328" s="2">
        <f>IF(O328&gt;=90%,5,IF(O328&gt;=80%,4,IF(O328&gt;=70%,3,IF(O328&gt;=60%,2,1))))</f>
        <v>4</v>
      </c>
      <c r="O328" s="3">
        <v>0.87</v>
      </c>
      <c r="P328" t="s">
        <v>46</v>
      </c>
      <c r="Q328" t="s">
        <v>27</v>
      </c>
      <c r="R328">
        <v>9</v>
      </c>
      <c r="S328">
        <v>10</v>
      </c>
    </row>
    <row r="329" spans="1:19" x14ac:dyDescent="0.3">
      <c r="A329" t="s">
        <v>736</v>
      </c>
      <c r="B329" t="s">
        <v>737</v>
      </c>
      <c r="C329" t="str">
        <f t="shared" si="20"/>
        <v>Female</v>
      </c>
      <c r="D329" t="s">
        <v>77</v>
      </c>
      <c r="E329">
        <f t="shared" si="21"/>
        <v>53</v>
      </c>
      <c r="F329">
        <v>53</v>
      </c>
      <c r="G329" t="s">
        <v>57</v>
      </c>
      <c r="H329" t="s">
        <v>25</v>
      </c>
      <c r="I329" t="s">
        <v>26</v>
      </c>
      <c r="J329">
        <f t="shared" si="22"/>
        <v>33</v>
      </c>
      <c r="K329">
        <v>33</v>
      </c>
      <c r="L329" s="5" t="str">
        <f t="shared" si="23"/>
        <v>$100</v>
      </c>
      <c r="M329" s="2" t="s">
        <v>222</v>
      </c>
      <c r="N329" s="2">
        <f>IF(O329&gt;=90%,5,IF(O329&gt;=80%,4,IF(O329&gt;=70%,3,IF(O329&gt;=60%,2,1))))</f>
        <v>3</v>
      </c>
      <c r="O329" s="3">
        <v>0.75</v>
      </c>
      <c r="P329" t="s">
        <v>19</v>
      </c>
      <c r="Q329" t="s">
        <v>33</v>
      </c>
      <c r="R329">
        <v>12</v>
      </c>
      <c r="S329">
        <v>1</v>
      </c>
    </row>
    <row r="330" spans="1:19" x14ac:dyDescent="0.3">
      <c r="A330" t="s">
        <v>738</v>
      </c>
      <c r="B330" t="s">
        <v>739</v>
      </c>
      <c r="C330" t="str">
        <f t="shared" si="20"/>
        <v>Male</v>
      </c>
      <c r="D330" t="s">
        <v>61</v>
      </c>
      <c r="E330">
        <f t="shared" si="21"/>
        <v>59</v>
      </c>
      <c r="F330">
        <v>59</v>
      </c>
      <c r="G330" t="s">
        <v>68</v>
      </c>
      <c r="H330" t="s">
        <v>25</v>
      </c>
      <c r="I330" t="s">
        <v>26</v>
      </c>
      <c r="J330">
        <f t="shared" si="22"/>
        <v>22</v>
      </c>
      <c r="K330">
        <v>22</v>
      </c>
      <c r="L330" s="5">
        <f t="shared" si="23"/>
        <v>40</v>
      </c>
      <c r="M330" s="2">
        <v>40</v>
      </c>
      <c r="N330" s="2">
        <f>IF(O330&gt;=90%,5,IF(O330&gt;=80%,4,IF(O330&gt;=70%,3,IF(O330&gt;=60%,2,1))))</f>
        <v>2</v>
      </c>
      <c r="O330" s="3">
        <v>0.61</v>
      </c>
      <c r="P330" t="s">
        <v>65</v>
      </c>
      <c r="Q330" t="s">
        <v>33</v>
      </c>
      <c r="R330">
        <v>10</v>
      </c>
      <c r="S330">
        <v>19</v>
      </c>
    </row>
    <row r="331" spans="1:19" x14ac:dyDescent="0.3">
      <c r="A331" t="s">
        <v>740</v>
      </c>
      <c r="B331" t="s">
        <v>741</v>
      </c>
      <c r="C331" t="str">
        <f t="shared" si="20"/>
        <v>Male</v>
      </c>
      <c r="D331" t="s">
        <v>90</v>
      </c>
      <c r="E331">
        <f t="shared" si="21"/>
        <v>60</v>
      </c>
      <c r="F331">
        <v>60</v>
      </c>
      <c r="G331" t="s">
        <v>57</v>
      </c>
      <c r="H331" t="s">
        <v>25</v>
      </c>
      <c r="I331" t="s">
        <v>87</v>
      </c>
      <c r="J331">
        <f t="shared" si="22"/>
        <v>34</v>
      </c>
      <c r="K331">
        <v>34</v>
      </c>
      <c r="L331" s="5">
        <f t="shared" si="23"/>
        <v>54.41935483870968</v>
      </c>
      <c r="N331" s="2">
        <f>IF(O331&gt;=90%,5,IF(O331&gt;=80%,4,IF(O331&gt;=70%,3,IF(O331&gt;=60%,2,1))))</f>
        <v>5</v>
      </c>
      <c r="O331" s="3">
        <v>0.93</v>
      </c>
      <c r="P331" t="s">
        <v>69</v>
      </c>
      <c r="Q331" t="s">
        <v>58</v>
      </c>
      <c r="R331">
        <v>20</v>
      </c>
      <c r="S331">
        <v>9</v>
      </c>
    </row>
    <row r="332" spans="1:19" x14ac:dyDescent="0.3">
      <c r="A332" t="s">
        <v>742</v>
      </c>
      <c r="B332" t="s">
        <v>743</v>
      </c>
      <c r="C332" t="str">
        <f t="shared" si="20"/>
        <v>Female</v>
      </c>
      <c r="D332" t="s">
        <v>23</v>
      </c>
      <c r="E332">
        <f t="shared" si="21"/>
        <v>33</v>
      </c>
      <c r="F332">
        <v>33</v>
      </c>
      <c r="G332" t="s">
        <v>31</v>
      </c>
      <c r="H332" t="s">
        <v>31</v>
      </c>
      <c r="I332" t="s">
        <v>26</v>
      </c>
      <c r="J332">
        <f t="shared" si="22"/>
        <v>8</v>
      </c>
      <c r="K332">
        <v>8</v>
      </c>
      <c r="L332" s="5" t="str">
        <f t="shared" si="23"/>
        <v>$30</v>
      </c>
      <c r="M332" s="2" t="s">
        <v>45</v>
      </c>
      <c r="N332" s="2">
        <f>IF(O332&gt;=90%,5,IF(O332&gt;=80%,4,IF(O332&gt;=70%,3,IF(O332&gt;=60%,2,1))))</f>
        <v>1</v>
      </c>
      <c r="O332" s="3">
        <v>0.5</v>
      </c>
      <c r="P332" t="s">
        <v>46</v>
      </c>
      <c r="Q332" t="s">
        <v>58</v>
      </c>
      <c r="R332">
        <v>8</v>
      </c>
      <c r="S332">
        <v>3</v>
      </c>
    </row>
    <row r="333" spans="1:19" x14ac:dyDescent="0.3">
      <c r="A333" t="s">
        <v>744</v>
      </c>
      <c r="B333" t="s">
        <v>745</v>
      </c>
      <c r="C333" t="str">
        <f t="shared" si="20"/>
        <v>Female</v>
      </c>
      <c r="D333" t="s">
        <v>77</v>
      </c>
      <c r="E333">
        <f t="shared" si="21"/>
        <v>21</v>
      </c>
      <c r="F333">
        <v>21</v>
      </c>
      <c r="G333" t="s">
        <v>72</v>
      </c>
      <c r="H333" t="s">
        <v>73</v>
      </c>
      <c r="I333" t="s">
        <v>37</v>
      </c>
      <c r="J333">
        <f t="shared" si="22"/>
        <v>1</v>
      </c>
      <c r="K333">
        <v>1</v>
      </c>
      <c r="L333" s="5" t="str">
        <f t="shared" si="23"/>
        <v>$20</v>
      </c>
      <c r="M333" s="2" t="s">
        <v>117</v>
      </c>
      <c r="N333" s="2">
        <f>IF(O333&gt;=90%,5,IF(O333&gt;=80%,4,IF(O333&gt;=70%,3,IF(O333&gt;=60%,2,1))))</f>
        <v>5</v>
      </c>
      <c r="O333" s="3">
        <v>0.99</v>
      </c>
      <c r="P333" t="s">
        <v>46</v>
      </c>
      <c r="Q333" t="s">
        <v>27</v>
      </c>
      <c r="R333">
        <v>4</v>
      </c>
      <c r="S333">
        <v>2</v>
      </c>
    </row>
    <row r="334" spans="1:19" x14ac:dyDescent="0.3">
      <c r="A334" t="s">
        <v>746</v>
      </c>
      <c r="B334" t="s">
        <v>747</v>
      </c>
      <c r="C334" t="str">
        <f t="shared" si="20"/>
        <v>Male</v>
      </c>
      <c r="D334" t="s">
        <v>30</v>
      </c>
      <c r="E334">
        <f t="shared" si="21"/>
        <v>54</v>
      </c>
      <c r="F334">
        <v>54</v>
      </c>
      <c r="G334" t="s">
        <v>68</v>
      </c>
      <c r="H334" t="s">
        <v>25</v>
      </c>
      <c r="I334" t="s">
        <v>74</v>
      </c>
      <c r="J334">
        <f t="shared" si="22"/>
        <v>20</v>
      </c>
      <c r="K334">
        <v>20</v>
      </c>
      <c r="L334" s="5">
        <f t="shared" si="23"/>
        <v>50</v>
      </c>
      <c r="M334" s="2">
        <v>50</v>
      </c>
      <c r="N334" s="2">
        <f>IF(O334&gt;=90%,5,IF(O334&gt;=80%,4,IF(O334&gt;=70%,3,IF(O334&gt;=60%,2,1))))</f>
        <v>3</v>
      </c>
      <c r="O334" s="3">
        <v>0.73</v>
      </c>
      <c r="P334" t="s">
        <v>65</v>
      </c>
      <c r="Q334" t="s">
        <v>58</v>
      </c>
      <c r="R334">
        <v>20</v>
      </c>
      <c r="S334">
        <v>12</v>
      </c>
    </row>
    <row r="335" spans="1:19" x14ac:dyDescent="0.3">
      <c r="A335" t="s">
        <v>748</v>
      </c>
      <c r="B335" t="s">
        <v>749</v>
      </c>
      <c r="C335" t="str">
        <f t="shared" si="20"/>
        <v>Female</v>
      </c>
      <c r="D335" t="s">
        <v>77</v>
      </c>
      <c r="E335">
        <f t="shared" si="21"/>
        <v>33</v>
      </c>
      <c r="F335">
        <v>33</v>
      </c>
      <c r="G335" t="s">
        <v>57</v>
      </c>
      <c r="H335" t="s">
        <v>25</v>
      </c>
      <c r="I335" t="s">
        <v>32</v>
      </c>
      <c r="J335">
        <f t="shared" si="22"/>
        <v>11</v>
      </c>
      <c r="K335">
        <v>11</v>
      </c>
      <c r="L335" s="5">
        <f t="shared" si="23"/>
        <v>75</v>
      </c>
      <c r="M335" s="2">
        <v>75</v>
      </c>
      <c r="N335" s="2">
        <f>IF(O335&gt;=90%,5,IF(O335&gt;=80%,4,IF(O335&gt;=70%,3,IF(O335&gt;=60%,2,1))))</f>
        <v>5</v>
      </c>
      <c r="O335" s="3">
        <v>0.96</v>
      </c>
      <c r="P335" t="s">
        <v>19</v>
      </c>
      <c r="Q335" t="s">
        <v>58</v>
      </c>
      <c r="R335">
        <v>7</v>
      </c>
      <c r="S335">
        <v>5</v>
      </c>
    </row>
    <row r="336" spans="1:19" x14ac:dyDescent="0.3">
      <c r="A336" t="s">
        <v>750</v>
      </c>
      <c r="B336" t="s">
        <v>751</v>
      </c>
      <c r="C336" t="str">
        <f t="shared" si="20"/>
        <v>Female</v>
      </c>
      <c r="D336" t="s">
        <v>77</v>
      </c>
      <c r="E336">
        <f t="shared" si="21"/>
        <v>57</v>
      </c>
      <c r="F336">
        <v>57</v>
      </c>
      <c r="G336" t="s">
        <v>62</v>
      </c>
      <c r="H336" t="s">
        <v>63</v>
      </c>
      <c r="I336" t="s">
        <v>52</v>
      </c>
      <c r="J336">
        <f t="shared" si="22"/>
        <v>2</v>
      </c>
      <c r="K336">
        <v>2</v>
      </c>
      <c r="L336" s="5">
        <f t="shared" si="23"/>
        <v>40</v>
      </c>
      <c r="M336" s="2">
        <v>40</v>
      </c>
      <c r="N336" s="2">
        <f>IF(O336&gt;=90%,5,IF(O336&gt;=80%,4,IF(O336&gt;=70%,3,IF(O336&gt;=60%,2,1))))</f>
        <v>2</v>
      </c>
      <c r="O336" s="3">
        <v>0.6</v>
      </c>
      <c r="P336" t="s">
        <v>65</v>
      </c>
      <c r="Q336" t="s">
        <v>27</v>
      </c>
      <c r="R336">
        <v>5</v>
      </c>
      <c r="S336">
        <v>2</v>
      </c>
    </row>
    <row r="337" spans="1:19" x14ac:dyDescent="0.3">
      <c r="A337" t="s">
        <v>752</v>
      </c>
      <c r="B337" t="s">
        <v>753</v>
      </c>
      <c r="C337" t="str">
        <f t="shared" si="20"/>
        <v>Male</v>
      </c>
      <c r="D337" t="s">
        <v>90</v>
      </c>
      <c r="E337">
        <f t="shared" si="21"/>
        <v>36</v>
      </c>
      <c r="F337">
        <v>36</v>
      </c>
      <c r="G337" t="s">
        <v>108</v>
      </c>
      <c r="H337" t="s">
        <v>109</v>
      </c>
      <c r="I337" t="s">
        <v>32</v>
      </c>
      <c r="J337">
        <f t="shared" si="22"/>
        <v>6</v>
      </c>
      <c r="K337">
        <v>6</v>
      </c>
      <c r="L337" s="5">
        <f t="shared" si="23"/>
        <v>20</v>
      </c>
      <c r="M337" s="2">
        <v>20</v>
      </c>
      <c r="N337" s="2">
        <f>IF(O337&gt;=90%,5,IF(O337&gt;=80%,4,IF(O337&gt;=70%,3,IF(O337&gt;=60%,2,1))))</f>
        <v>2</v>
      </c>
      <c r="O337" s="3">
        <v>0.64</v>
      </c>
      <c r="P337" t="s">
        <v>19</v>
      </c>
      <c r="Q337" t="s">
        <v>58</v>
      </c>
      <c r="R337">
        <v>15</v>
      </c>
      <c r="S337">
        <v>6</v>
      </c>
    </row>
    <row r="338" spans="1:19" x14ac:dyDescent="0.3">
      <c r="A338" t="s">
        <v>754</v>
      </c>
      <c r="B338" t="s">
        <v>755</v>
      </c>
      <c r="C338" t="str">
        <f t="shared" si="20"/>
        <v>Male</v>
      </c>
      <c r="D338" t="s">
        <v>95</v>
      </c>
      <c r="E338">
        <f t="shared" si="21"/>
        <v>50</v>
      </c>
      <c r="F338">
        <v>50</v>
      </c>
      <c r="G338" t="s">
        <v>31</v>
      </c>
      <c r="H338" t="s">
        <v>31</v>
      </c>
      <c r="I338" t="s">
        <v>18</v>
      </c>
      <c r="J338">
        <f t="shared" si="22"/>
        <v>20</v>
      </c>
      <c r="K338">
        <v>20</v>
      </c>
      <c r="L338" s="5" t="str">
        <f t="shared" si="23"/>
        <v>$30</v>
      </c>
      <c r="M338" s="2" t="s">
        <v>45</v>
      </c>
      <c r="N338" s="2">
        <f>IF(O338&gt;=90%,5,IF(O338&gt;=80%,4,IF(O338&gt;=70%,3,IF(O338&gt;=60%,2,1))))</f>
        <v>1</v>
      </c>
      <c r="O338" s="3">
        <v>0.5</v>
      </c>
      <c r="P338" t="s">
        <v>19</v>
      </c>
      <c r="Q338" t="s">
        <v>20</v>
      </c>
      <c r="R338">
        <v>18</v>
      </c>
      <c r="S338">
        <v>7</v>
      </c>
    </row>
    <row r="339" spans="1:19" x14ac:dyDescent="0.3">
      <c r="A339" t="s">
        <v>756</v>
      </c>
      <c r="B339" t="s">
        <v>757</v>
      </c>
      <c r="C339" t="str">
        <f t="shared" si="20"/>
        <v>Female</v>
      </c>
      <c r="D339" t="s">
        <v>15</v>
      </c>
      <c r="E339">
        <f t="shared" si="21"/>
        <v>37</v>
      </c>
      <c r="F339">
        <v>37</v>
      </c>
      <c r="G339" t="s">
        <v>124</v>
      </c>
      <c r="H339" t="s">
        <v>25</v>
      </c>
      <c r="I339" t="s">
        <v>87</v>
      </c>
      <c r="J339" s="4">
        <f t="shared" si="22"/>
        <v>11.191780821917808</v>
      </c>
      <c r="L339" s="5" t="str">
        <f t="shared" si="23"/>
        <v>$20</v>
      </c>
      <c r="M339" s="2" t="s">
        <v>117</v>
      </c>
      <c r="N339" s="2">
        <f>IF(O339&gt;=90%,5,IF(O339&gt;=80%,4,IF(O339&gt;=70%,3,IF(O339&gt;=60%,2,1))))</f>
        <v>1</v>
      </c>
      <c r="O339" s="3">
        <v>0.5</v>
      </c>
      <c r="P339" t="s">
        <v>46</v>
      </c>
      <c r="Q339" t="s">
        <v>33</v>
      </c>
      <c r="R339">
        <v>5</v>
      </c>
      <c r="S339">
        <v>3</v>
      </c>
    </row>
    <row r="340" spans="1:19" x14ac:dyDescent="0.3">
      <c r="A340" t="s">
        <v>758</v>
      </c>
      <c r="B340" t="s">
        <v>759</v>
      </c>
      <c r="C340" t="str">
        <f t="shared" si="20"/>
        <v>Male</v>
      </c>
      <c r="D340" t="s">
        <v>90</v>
      </c>
      <c r="E340">
        <f t="shared" si="21"/>
        <v>53</v>
      </c>
      <c r="F340">
        <v>53</v>
      </c>
      <c r="G340" t="s">
        <v>16</v>
      </c>
      <c r="H340" t="s">
        <v>17</v>
      </c>
      <c r="I340" t="s">
        <v>44</v>
      </c>
      <c r="J340">
        <f t="shared" si="22"/>
        <v>4</v>
      </c>
      <c r="K340">
        <v>4</v>
      </c>
      <c r="L340" s="5">
        <f t="shared" si="23"/>
        <v>30</v>
      </c>
      <c r="M340" s="2">
        <v>30</v>
      </c>
      <c r="N340" s="2">
        <f>IF(O340&gt;=90%,5,IF(O340&gt;=80%,4,IF(O340&gt;=70%,3,IF(O340&gt;=60%,2,1))))</f>
        <v>5</v>
      </c>
      <c r="O340" s="3">
        <v>0.99</v>
      </c>
      <c r="P340" t="s">
        <v>65</v>
      </c>
      <c r="Q340" t="s">
        <v>33</v>
      </c>
      <c r="R340">
        <v>2</v>
      </c>
      <c r="S340">
        <v>1</v>
      </c>
    </row>
    <row r="341" spans="1:19" x14ac:dyDescent="0.3">
      <c r="A341" t="s">
        <v>760</v>
      </c>
      <c r="B341" t="s">
        <v>761</v>
      </c>
      <c r="C341" t="str">
        <f t="shared" si="20"/>
        <v>Female</v>
      </c>
      <c r="D341" t="s">
        <v>77</v>
      </c>
      <c r="E341">
        <f t="shared" si="21"/>
        <v>22</v>
      </c>
      <c r="F341">
        <v>22</v>
      </c>
      <c r="G341" t="s">
        <v>16</v>
      </c>
      <c r="H341" t="s">
        <v>17</v>
      </c>
      <c r="I341" t="s">
        <v>18</v>
      </c>
      <c r="J341">
        <f t="shared" si="22"/>
        <v>3</v>
      </c>
      <c r="K341">
        <v>3</v>
      </c>
      <c r="L341" s="5" t="str">
        <f t="shared" si="23"/>
        <v>$40</v>
      </c>
      <c r="M341" s="2" t="s">
        <v>38</v>
      </c>
      <c r="N341" s="2">
        <f>IF(O341&gt;=90%,5,IF(O341&gt;=80%,4,IF(O341&gt;=70%,3,IF(O341&gt;=60%,2,1))))</f>
        <v>1</v>
      </c>
      <c r="O341" s="3">
        <v>0.5</v>
      </c>
      <c r="P341" t="s">
        <v>65</v>
      </c>
      <c r="Q341" t="s">
        <v>33</v>
      </c>
      <c r="R341">
        <v>4</v>
      </c>
      <c r="S341">
        <v>1</v>
      </c>
    </row>
    <row r="342" spans="1:19" x14ac:dyDescent="0.3">
      <c r="A342" t="s">
        <v>762</v>
      </c>
      <c r="B342" t="s">
        <v>763</v>
      </c>
      <c r="C342" t="str">
        <f t="shared" si="20"/>
        <v>Female</v>
      </c>
      <c r="D342" t="s">
        <v>77</v>
      </c>
      <c r="E342">
        <f t="shared" si="21"/>
        <v>55</v>
      </c>
      <c r="F342">
        <v>55</v>
      </c>
      <c r="G342" t="s">
        <v>42</v>
      </c>
      <c r="H342" t="s">
        <v>43</v>
      </c>
      <c r="I342" t="s">
        <v>26</v>
      </c>
      <c r="J342">
        <f t="shared" si="22"/>
        <v>33</v>
      </c>
      <c r="K342">
        <v>33</v>
      </c>
      <c r="L342" s="5">
        <f t="shared" si="23"/>
        <v>40</v>
      </c>
      <c r="M342" s="2">
        <v>40</v>
      </c>
      <c r="N342" s="2">
        <f>IF(O342&gt;=90%,5,IF(O342&gt;=80%,4,IF(O342&gt;=70%,3,IF(O342&gt;=60%,2,1))))</f>
        <v>3</v>
      </c>
      <c r="O342" s="3">
        <v>0.71</v>
      </c>
      <c r="P342" t="s">
        <v>19</v>
      </c>
      <c r="Q342" t="s">
        <v>33</v>
      </c>
      <c r="R342">
        <v>10</v>
      </c>
      <c r="S342">
        <v>11</v>
      </c>
    </row>
    <row r="343" spans="1:19" x14ac:dyDescent="0.3">
      <c r="A343" t="s">
        <v>764</v>
      </c>
      <c r="B343" t="s">
        <v>765</v>
      </c>
      <c r="C343" t="str">
        <f t="shared" si="20"/>
        <v>Male</v>
      </c>
      <c r="D343" t="s">
        <v>61</v>
      </c>
      <c r="E343">
        <f t="shared" si="21"/>
        <v>22</v>
      </c>
      <c r="F343">
        <v>22</v>
      </c>
      <c r="G343" t="s">
        <v>24</v>
      </c>
      <c r="H343" t="s">
        <v>25</v>
      </c>
      <c r="I343" t="s">
        <v>78</v>
      </c>
      <c r="J343">
        <f t="shared" si="22"/>
        <v>1</v>
      </c>
      <c r="K343">
        <v>1</v>
      </c>
      <c r="L343" s="5">
        <f t="shared" si="23"/>
        <v>54.899328859060404</v>
      </c>
      <c r="N343" s="2">
        <f>IF(O343&gt;=90%,5,IF(O343&gt;=80%,4,IF(O343&gt;=70%,3,IF(O343&gt;=60%,2,1))))</f>
        <v>3</v>
      </c>
      <c r="O343" s="3">
        <v>0.72</v>
      </c>
      <c r="P343" t="s">
        <v>65</v>
      </c>
      <c r="Q343" t="s">
        <v>27</v>
      </c>
      <c r="R343">
        <v>5</v>
      </c>
      <c r="S343">
        <v>1</v>
      </c>
    </row>
    <row r="344" spans="1:19" x14ac:dyDescent="0.3">
      <c r="A344" t="s">
        <v>766</v>
      </c>
      <c r="B344" t="s">
        <v>767</v>
      </c>
      <c r="C344" t="str">
        <f t="shared" si="20"/>
        <v>Female</v>
      </c>
      <c r="D344" t="s">
        <v>15</v>
      </c>
      <c r="E344">
        <f t="shared" si="21"/>
        <v>45</v>
      </c>
      <c r="F344">
        <v>45</v>
      </c>
      <c r="G344" t="s">
        <v>62</v>
      </c>
      <c r="H344" t="s">
        <v>63</v>
      </c>
      <c r="I344" t="s">
        <v>37</v>
      </c>
      <c r="J344">
        <f t="shared" si="22"/>
        <v>23</v>
      </c>
      <c r="K344">
        <v>23</v>
      </c>
      <c r="L344" s="5" t="str">
        <f t="shared" si="23"/>
        <v>$50</v>
      </c>
      <c r="M344" s="2" t="s">
        <v>64</v>
      </c>
      <c r="N344" s="2">
        <f>IF(O344&gt;=90%,5,IF(O344&gt;=80%,4,IF(O344&gt;=70%,3,IF(O344&gt;=60%,2,1))))</f>
        <v>2</v>
      </c>
      <c r="O344" s="3">
        <v>0.66</v>
      </c>
      <c r="P344" t="s">
        <v>69</v>
      </c>
      <c r="Q344" t="s">
        <v>33</v>
      </c>
      <c r="R344">
        <v>10</v>
      </c>
      <c r="S344">
        <v>6</v>
      </c>
    </row>
    <row r="345" spans="1:19" x14ac:dyDescent="0.3">
      <c r="A345" t="s">
        <v>768</v>
      </c>
      <c r="B345" t="s">
        <v>769</v>
      </c>
      <c r="C345" t="str">
        <f t="shared" si="20"/>
        <v>Male</v>
      </c>
      <c r="D345" t="s">
        <v>90</v>
      </c>
      <c r="E345">
        <f t="shared" si="21"/>
        <v>36</v>
      </c>
      <c r="F345">
        <v>36</v>
      </c>
      <c r="G345" t="s">
        <v>131</v>
      </c>
      <c r="H345" t="s">
        <v>132</v>
      </c>
      <c r="I345" t="s">
        <v>52</v>
      </c>
      <c r="J345">
        <f t="shared" si="22"/>
        <v>13</v>
      </c>
      <c r="K345">
        <v>13</v>
      </c>
      <c r="L345" s="5">
        <f t="shared" si="23"/>
        <v>40</v>
      </c>
      <c r="M345" s="2">
        <v>40</v>
      </c>
      <c r="N345" s="2">
        <f>IF(O345&gt;=90%,5,IF(O345&gt;=80%,4,IF(O345&gt;=70%,3,IF(O345&gt;=60%,2,1))))</f>
        <v>3</v>
      </c>
      <c r="O345" s="3">
        <v>0.78</v>
      </c>
      <c r="P345" t="s">
        <v>69</v>
      </c>
      <c r="Q345" t="s">
        <v>33</v>
      </c>
      <c r="R345">
        <v>15</v>
      </c>
      <c r="S345">
        <v>10</v>
      </c>
    </row>
    <row r="346" spans="1:19" x14ac:dyDescent="0.3">
      <c r="A346" t="s">
        <v>770</v>
      </c>
      <c r="B346" t="s">
        <v>771</v>
      </c>
      <c r="C346" t="str">
        <f t="shared" si="20"/>
        <v>Male</v>
      </c>
      <c r="D346" t="s">
        <v>49</v>
      </c>
      <c r="E346">
        <f t="shared" si="21"/>
        <v>23</v>
      </c>
      <c r="F346">
        <v>23</v>
      </c>
      <c r="G346" t="s">
        <v>24</v>
      </c>
      <c r="H346" t="s">
        <v>25</v>
      </c>
      <c r="I346" t="s">
        <v>87</v>
      </c>
      <c r="J346">
        <f t="shared" si="22"/>
        <v>1</v>
      </c>
      <c r="K346">
        <v>1</v>
      </c>
      <c r="L346" s="5" t="str">
        <f t="shared" si="23"/>
        <v>$20</v>
      </c>
      <c r="M346" s="2" t="s">
        <v>117</v>
      </c>
      <c r="N346" s="2">
        <f>IF(O346&gt;=90%,5,IF(O346&gt;=80%,4,IF(O346&gt;=70%,3,IF(O346&gt;=60%,2,1))))</f>
        <v>5</v>
      </c>
      <c r="O346" s="3">
        <v>1</v>
      </c>
      <c r="P346" t="s">
        <v>65</v>
      </c>
      <c r="Q346" t="s">
        <v>33</v>
      </c>
      <c r="R346">
        <v>1</v>
      </c>
      <c r="S346">
        <v>3</v>
      </c>
    </row>
    <row r="347" spans="1:19" x14ac:dyDescent="0.3">
      <c r="A347" t="s">
        <v>772</v>
      </c>
      <c r="B347" t="s">
        <v>773</v>
      </c>
      <c r="C347" t="str">
        <f t="shared" si="20"/>
        <v>Male</v>
      </c>
      <c r="D347" t="s">
        <v>90</v>
      </c>
      <c r="E347">
        <f t="shared" si="21"/>
        <v>55</v>
      </c>
      <c r="F347">
        <v>55</v>
      </c>
      <c r="G347" t="s">
        <v>16</v>
      </c>
      <c r="H347" t="s">
        <v>17</v>
      </c>
      <c r="I347" t="s">
        <v>87</v>
      </c>
      <c r="J347">
        <f t="shared" si="22"/>
        <v>15</v>
      </c>
      <c r="K347">
        <v>15</v>
      </c>
      <c r="L347" s="5">
        <f t="shared" si="23"/>
        <v>40</v>
      </c>
      <c r="M347" s="2">
        <v>40</v>
      </c>
      <c r="N347" s="2">
        <f>IF(O347&gt;=90%,5,IF(O347&gt;=80%,4,IF(O347&gt;=70%,3,IF(O347&gt;=60%,2,1))))</f>
        <v>1</v>
      </c>
      <c r="O347" s="3">
        <v>0.5</v>
      </c>
      <c r="P347" t="s">
        <v>65</v>
      </c>
      <c r="Q347" t="s">
        <v>33</v>
      </c>
      <c r="R347">
        <v>9</v>
      </c>
      <c r="S347">
        <v>10</v>
      </c>
    </row>
    <row r="348" spans="1:19" x14ac:dyDescent="0.3">
      <c r="A348" t="s">
        <v>774</v>
      </c>
      <c r="B348" t="s">
        <v>775</v>
      </c>
      <c r="C348" t="str">
        <f t="shared" si="20"/>
        <v>Female</v>
      </c>
      <c r="D348" t="s">
        <v>36</v>
      </c>
      <c r="E348">
        <f t="shared" si="21"/>
        <v>50</v>
      </c>
      <c r="F348">
        <v>50</v>
      </c>
      <c r="G348" t="s">
        <v>104</v>
      </c>
      <c r="H348" t="s">
        <v>105</v>
      </c>
      <c r="I348" t="s">
        <v>26</v>
      </c>
      <c r="J348">
        <f t="shared" si="22"/>
        <v>18</v>
      </c>
      <c r="K348">
        <v>18</v>
      </c>
      <c r="L348" s="5">
        <f t="shared" si="23"/>
        <v>75</v>
      </c>
      <c r="M348" s="2">
        <v>75</v>
      </c>
      <c r="N348" s="2">
        <f>IF(O348&gt;=90%,5,IF(O348&gt;=80%,4,IF(O348&gt;=70%,3,IF(O348&gt;=60%,2,1))))</f>
        <v>2</v>
      </c>
      <c r="O348" s="3">
        <v>0.67</v>
      </c>
      <c r="P348" t="s">
        <v>19</v>
      </c>
      <c r="Q348" t="s">
        <v>20</v>
      </c>
      <c r="R348">
        <v>14</v>
      </c>
      <c r="S348">
        <v>6</v>
      </c>
    </row>
    <row r="349" spans="1:19" x14ac:dyDescent="0.3">
      <c r="A349" t="s">
        <v>776</v>
      </c>
      <c r="B349" t="s">
        <v>777</v>
      </c>
      <c r="C349" t="str">
        <f t="shared" si="20"/>
        <v>Male</v>
      </c>
      <c r="D349" t="s">
        <v>30</v>
      </c>
      <c r="E349">
        <f t="shared" si="21"/>
        <v>48</v>
      </c>
      <c r="F349">
        <v>48</v>
      </c>
      <c r="G349" t="s">
        <v>57</v>
      </c>
      <c r="H349" t="s">
        <v>25</v>
      </c>
      <c r="I349" t="s">
        <v>110</v>
      </c>
      <c r="J349">
        <f t="shared" si="22"/>
        <v>21</v>
      </c>
      <c r="K349">
        <v>21</v>
      </c>
      <c r="L349" s="5">
        <f t="shared" si="23"/>
        <v>50</v>
      </c>
      <c r="M349" s="2">
        <v>50</v>
      </c>
      <c r="N349" s="2">
        <f>IF(O349&gt;=90%,5,IF(O349&gt;=80%,4,IF(O349&gt;=70%,3,IF(O349&gt;=60%,2,1))))</f>
        <v>3</v>
      </c>
      <c r="O349" s="3">
        <v>0.78</v>
      </c>
      <c r="P349" t="s">
        <v>69</v>
      </c>
      <c r="Q349" t="s">
        <v>33</v>
      </c>
      <c r="R349">
        <v>20</v>
      </c>
      <c r="S349">
        <v>7</v>
      </c>
    </row>
    <row r="350" spans="1:19" x14ac:dyDescent="0.3">
      <c r="A350" t="s">
        <v>778</v>
      </c>
      <c r="B350" t="s">
        <v>779</v>
      </c>
      <c r="C350" t="str">
        <f t="shared" si="20"/>
        <v>Male</v>
      </c>
      <c r="D350" t="s">
        <v>61</v>
      </c>
      <c r="E350">
        <f t="shared" si="21"/>
        <v>23</v>
      </c>
      <c r="F350">
        <v>23</v>
      </c>
      <c r="G350" t="s">
        <v>42</v>
      </c>
      <c r="H350" t="s">
        <v>43</v>
      </c>
      <c r="I350" t="s">
        <v>87</v>
      </c>
      <c r="J350">
        <f t="shared" si="22"/>
        <v>1</v>
      </c>
      <c r="K350">
        <v>1</v>
      </c>
      <c r="L350" s="5" t="str">
        <f t="shared" si="23"/>
        <v>$40</v>
      </c>
      <c r="M350" s="2" t="s">
        <v>38</v>
      </c>
      <c r="N350" s="2">
        <f>IF(O350&gt;=90%,5,IF(O350&gt;=80%,4,IF(O350&gt;=70%,3,IF(O350&gt;=60%,2,1))))</f>
        <v>3</v>
      </c>
      <c r="O350" s="3">
        <v>0.78</v>
      </c>
      <c r="P350" t="s">
        <v>69</v>
      </c>
      <c r="Q350" t="s">
        <v>20</v>
      </c>
      <c r="R350">
        <v>3</v>
      </c>
      <c r="S350">
        <v>3</v>
      </c>
    </row>
    <row r="351" spans="1:19" x14ac:dyDescent="0.3">
      <c r="A351" t="s">
        <v>780</v>
      </c>
      <c r="B351" t="s">
        <v>781</v>
      </c>
      <c r="C351" t="str">
        <f t="shared" si="20"/>
        <v>Female</v>
      </c>
      <c r="D351" t="s">
        <v>15</v>
      </c>
      <c r="E351">
        <f t="shared" si="21"/>
        <v>49</v>
      </c>
      <c r="F351">
        <v>49</v>
      </c>
      <c r="G351" t="s">
        <v>124</v>
      </c>
      <c r="H351" t="s">
        <v>25</v>
      </c>
      <c r="I351" t="s">
        <v>37</v>
      </c>
      <c r="J351">
        <f t="shared" si="22"/>
        <v>25</v>
      </c>
      <c r="K351">
        <v>25</v>
      </c>
      <c r="L351" s="5" t="str">
        <f t="shared" si="23"/>
        <v>$30</v>
      </c>
      <c r="M351" s="2" t="s">
        <v>45</v>
      </c>
      <c r="N351" s="2">
        <f>IF(O351&gt;=90%,5,IF(O351&gt;=80%,4,IF(O351&gt;=70%,3,IF(O351&gt;=60%,2,1))))</f>
        <v>3</v>
      </c>
      <c r="O351" s="3">
        <v>0.75</v>
      </c>
      <c r="P351" t="s">
        <v>46</v>
      </c>
      <c r="Q351" t="s">
        <v>27</v>
      </c>
      <c r="R351">
        <v>15</v>
      </c>
      <c r="S351">
        <v>10</v>
      </c>
    </row>
    <row r="352" spans="1:19" x14ac:dyDescent="0.3">
      <c r="A352" t="s">
        <v>782</v>
      </c>
      <c r="B352" t="s">
        <v>783</v>
      </c>
      <c r="C352" t="str">
        <f t="shared" si="20"/>
        <v>Female</v>
      </c>
      <c r="D352" t="s">
        <v>36</v>
      </c>
      <c r="E352">
        <f t="shared" si="21"/>
        <v>47</v>
      </c>
      <c r="F352">
        <v>47</v>
      </c>
      <c r="G352" t="s">
        <v>16</v>
      </c>
      <c r="H352" t="s">
        <v>17</v>
      </c>
      <c r="I352" t="s">
        <v>78</v>
      </c>
      <c r="J352">
        <f t="shared" si="22"/>
        <v>12</v>
      </c>
      <c r="K352">
        <v>12</v>
      </c>
      <c r="L352" s="5">
        <f t="shared" si="23"/>
        <v>50</v>
      </c>
      <c r="M352" s="2">
        <v>50</v>
      </c>
      <c r="N352" s="2">
        <f>IF(O352&gt;=90%,5,IF(O352&gt;=80%,4,IF(O352&gt;=70%,3,IF(O352&gt;=60%,2,1))))</f>
        <v>2</v>
      </c>
      <c r="O352" s="3">
        <v>0.67</v>
      </c>
      <c r="P352" t="s">
        <v>19</v>
      </c>
      <c r="Q352" t="s">
        <v>58</v>
      </c>
      <c r="R352">
        <v>14</v>
      </c>
      <c r="S352">
        <v>10</v>
      </c>
    </row>
    <row r="353" spans="1:19" x14ac:dyDescent="0.3">
      <c r="A353" t="s">
        <v>784</v>
      </c>
      <c r="B353" t="s">
        <v>785</v>
      </c>
      <c r="C353" t="str">
        <f t="shared" si="20"/>
        <v>Female</v>
      </c>
      <c r="D353" t="s">
        <v>77</v>
      </c>
      <c r="E353">
        <f t="shared" si="21"/>
        <v>56</v>
      </c>
      <c r="F353">
        <v>56</v>
      </c>
      <c r="G353" t="s">
        <v>83</v>
      </c>
      <c r="H353" t="s">
        <v>84</v>
      </c>
      <c r="I353" t="s">
        <v>32</v>
      </c>
      <c r="J353">
        <f t="shared" si="22"/>
        <v>32</v>
      </c>
      <c r="K353">
        <v>32</v>
      </c>
      <c r="L353" s="5" t="str">
        <f t="shared" si="23"/>
        <v>$40</v>
      </c>
      <c r="M353" s="2" t="s">
        <v>38</v>
      </c>
      <c r="N353" s="2">
        <f>IF(O353&gt;=90%,5,IF(O353&gt;=80%,4,IF(O353&gt;=70%,3,IF(O353&gt;=60%,2,1))))</f>
        <v>4</v>
      </c>
      <c r="O353" s="3">
        <v>0.86</v>
      </c>
      <c r="P353" t="s">
        <v>46</v>
      </c>
      <c r="Q353" t="s">
        <v>33</v>
      </c>
      <c r="R353">
        <v>15</v>
      </c>
      <c r="S353">
        <v>5</v>
      </c>
    </row>
    <row r="354" spans="1:19" x14ac:dyDescent="0.3">
      <c r="A354" t="s">
        <v>786</v>
      </c>
      <c r="B354" t="s">
        <v>787</v>
      </c>
      <c r="C354" t="str">
        <f t="shared" si="20"/>
        <v>Male</v>
      </c>
      <c r="D354" t="s">
        <v>61</v>
      </c>
      <c r="E354">
        <f t="shared" si="21"/>
        <v>58</v>
      </c>
      <c r="F354">
        <v>58</v>
      </c>
      <c r="G354" t="s">
        <v>72</v>
      </c>
      <c r="H354" t="s">
        <v>73</v>
      </c>
      <c r="I354" t="s">
        <v>74</v>
      </c>
      <c r="J354" s="4">
        <f t="shared" si="22"/>
        <v>9.6266666666666669</v>
      </c>
      <c r="L354" s="5">
        <f t="shared" si="23"/>
        <v>100</v>
      </c>
      <c r="M354" s="2">
        <v>100</v>
      </c>
      <c r="N354" s="2">
        <f>IF(O354&gt;=90%,5,IF(O354&gt;=80%,4,IF(O354&gt;=70%,3,IF(O354&gt;=60%,2,1))))</f>
        <v>3</v>
      </c>
      <c r="O354" s="3">
        <v>0.77</v>
      </c>
      <c r="P354" t="s">
        <v>69</v>
      </c>
      <c r="Q354" t="s">
        <v>58</v>
      </c>
      <c r="R354">
        <v>3</v>
      </c>
      <c r="S354">
        <v>1</v>
      </c>
    </row>
    <row r="355" spans="1:19" x14ac:dyDescent="0.3">
      <c r="A355" t="s">
        <v>788</v>
      </c>
      <c r="B355" t="s">
        <v>789</v>
      </c>
      <c r="C355" t="str">
        <f t="shared" si="20"/>
        <v>Male</v>
      </c>
      <c r="D355" t="s">
        <v>49</v>
      </c>
      <c r="E355">
        <f t="shared" si="21"/>
        <v>32</v>
      </c>
      <c r="F355">
        <v>32</v>
      </c>
      <c r="G355" t="s">
        <v>108</v>
      </c>
      <c r="H355" t="s">
        <v>109</v>
      </c>
      <c r="I355" t="s">
        <v>74</v>
      </c>
      <c r="J355">
        <f t="shared" si="22"/>
        <v>10</v>
      </c>
      <c r="K355">
        <v>10</v>
      </c>
      <c r="L355" s="5" t="str">
        <f t="shared" si="23"/>
        <v>$30</v>
      </c>
      <c r="M355" s="2" t="s">
        <v>45</v>
      </c>
      <c r="N355" s="2">
        <f>IF(O355&gt;=90%,5,IF(O355&gt;=80%,4,IF(O355&gt;=70%,3,IF(O355&gt;=60%,2,1))))</f>
        <v>2</v>
      </c>
      <c r="O355" s="3">
        <v>0.61</v>
      </c>
      <c r="P355" t="s">
        <v>19</v>
      </c>
      <c r="Q355" t="s">
        <v>58</v>
      </c>
      <c r="R355">
        <v>11</v>
      </c>
      <c r="S355">
        <v>5</v>
      </c>
    </row>
    <row r="356" spans="1:19" x14ac:dyDescent="0.3">
      <c r="A356" t="s">
        <v>790</v>
      </c>
      <c r="B356" t="s">
        <v>791</v>
      </c>
      <c r="C356" t="str">
        <f t="shared" si="20"/>
        <v>Female</v>
      </c>
      <c r="D356" t="s">
        <v>77</v>
      </c>
      <c r="E356">
        <f t="shared" si="21"/>
        <v>52</v>
      </c>
      <c r="F356">
        <v>52</v>
      </c>
      <c r="G356" t="s">
        <v>91</v>
      </c>
      <c r="H356" t="s">
        <v>92</v>
      </c>
      <c r="I356" t="s">
        <v>74</v>
      </c>
      <c r="J356">
        <f t="shared" si="22"/>
        <v>0</v>
      </c>
      <c r="K356">
        <v>0</v>
      </c>
      <c r="L356" s="5">
        <f t="shared" si="23"/>
        <v>54.72027972027972</v>
      </c>
      <c r="N356" s="2">
        <f>IF(O356&gt;=90%,5,IF(O356&gt;=80%,4,IF(O356&gt;=70%,3,IF(O356&gt;=60%,2,1))))</f>
        <v>5</v>
      </c>
      <c r="O356" s="3">
        <v>0.9</v>
      </c>
      <c r="P356" t="s">
        <v>65</v>
      </c>
      <c r="Q356" t="s">
        <v>27</v>
      </c>
      <c r="R356">
        <v>1</v>
      </c>
      <c r="S356">
        <v>1</v>
      </c>
    </row>
    <row r="357" spans="1:19" x14ac:dyDescent="0.3">
      <c r="A357" t="s">
        <v>792</v>
      </c>
      <c r="B357" t="s">
        <v>793</v>
      </c>
      <c r="C357" t="str">
        <f t="shared" si="20"/>
        <v>Female</v>
      </c>
      <c r="D357" t="s">
        <v>23</v>
      </c>
      <c r="E357">
        <f t="shared" si="21"/>
        <v>22</v>
      </c>
      <c r="F357">
        <v>22</v>
      </c>
      <c r="G357" t="s">
        <v>168</v>
      </c>
      <c r="H357" t="s">
        <v>169</v>
      </c>
      <c r="I357" t="s">
        <v>52</v>
      </c>
      <c r="J357">
        <f t="shared" si="22"/>
        <v>1</v>
      </c>
      <c r="K357">
        <v>1</v>
      </c>
      <c r="L357" s="5">
        <f t="shared" si="23"/>
        <v>50</v>
      </c>
      <c r="M357" s="2">
        <v>50</v>
      </c>
      <c r="N357" s="2">
        <f>IF(O357&gt;=90%,5,IF(O357&gt;=80%,4,IF(O357&gt;=70%,3,IF(O357&gt;=60%,2,1))))</f>
        <v>5</v>
      </c>
      <c r="O357" s="3">
        <v>0.98</v>
      </c>
      <c r="P357" t="s">
        <v>19</v>
      </c>
      <c r="Q357" t="s">
        <v>58</v>
      </c>
      <c r="R357">
        <v>4</v>
      </c>
      <c r="S357">
        <v>5</v>
      </c>
    </row>
    <row r="358" spans="1:19" x14ac:dyDescent="0.3">
      <c r="A358" t="s">
        <v>794</v>
      </c>
      <c r="B358" t="s">
        <v>795</v>
      </c>
      <c r="C358" t="str">
        <f t="shared" si="20"/>
        <v>Male</v>
      </c>
      <c r="D358" t="s">
        <v>95</v>
      </c>
      <c r="E358">
        <f t="shared" si="21"/>
        <v>20</v>
      </c>
      <c r="F358">
        <v>20</v>
      </c>
      <c r="G358" t="s">
        <v>91</v>
      </c>
      <c r="H358" t="s">
        <v>92</v>
      </c>
      <c r="I358" t="s">
        <v>78</v>
      </c>
      <c r="J358">
        <f t="shared" si="22"/>
        <v>2</v>
      </c>
      <c r="K358">
        <v>2</v>
      </c>
      <c r="L358" s="5">
        <f t="shared" si="23"/>
        <v>30</v>
      </c>
      <c r="M358" s="2">
        <v>30</v>
      </c>
      <c r="N358" s="2">
        <f>IF(O358&gt;=90%,5,IF(O358&gt;=80%,4,IF(O358&gt;=70%,3,IF(O358&gt;=60%,2,1))))</f>
        <v>5</v>
      </c>
      <c r="O358" s="3">
        <v>0.99</v>
      </c>
      <c r="P358" t="s">
        <v>65</v>
      </c>
      <c r="Q358" t="s">
        <v>20</v>
      </c>
      <c r="R358">
        <v>3</v>
      </c>
      <c r="S358">
        <v>2</v>
      </c>
    </row>
    <row r="359" spans="1:19" x14ac:dyDescent="0.3">
      <c r="A359" t="s">
        <v>796</v>
      </c>
      <c r="B359" t="s">
        <v>797</v>
      </c>
      <c r="C359" t="str">
        <f t="shared" si="20"/>
        <v>Male</v>
      </c>
      <c r="D359" t="s">
        <v>90</v>
      </c>
      <c r="E359">
        <f t="shared" si="21"/>
        <v>56</v>
      </c>
      <c r="F359">
        <v>56</v>
      </c>
      <c r="G359" t="s">
        <v>42</v>
      </c>
      <c r="H359" t="s">
        <v>43</v>
      </c>
      <c r="I359" t="s">
        <v>52</v>
      </c>
      <c r="J359">
        <f t="shared" si="22"/>
        <v>9</v>
      </c>
      <c r="K359">
        <v>9</v>
      </c>
      <c r="L359" s="5" t="str">
        <f t="shared" si="23"/>
        <v>$40</v>
      </c>
      <c r="M359" s="2" t="s">
        <v>38</v>
      </c>
      <c r="N359" s="2">
        <f>IF(O359&gt;=90%,5,IF(O359&gt;=80%,4,IF(O359&gt;=70%,3,IF(O359&gt;=60%,2,1))))</f>
        <v>2</v>
      </c>
      <c r="O359" s="3">
        <v>0.61</v>
      </c>
      <c r="P359" t="s">
        <v>65</v>
      </c>
      <c r="Q359" t="s">
        <v>58</v>
      </c>
      <c r="R359">
        <v>10</v>
      </c>
      <c r="S359">
        <v>5</v>
      </c>
    </row>
    <row r="360" spans="1:19" x14ac:dyDescent="0.3">
      <c r="A360" t="s">
        <v>798</v>
      </c>
      <c r="B360" t="s">
        <v>799</v>
      </c>
      <c r="C360" t="str">
        <f t="shared" si="20"/>
        <v>Male</v>
      </c>
      <c r="D360" t="s">
        <v>95</v>
      </c>
      <c r="E360">
        <f t="shared" si="21"/>
        <v>41</v>
      </c>
      <c r="F360">
        <v>41</v>
      </c>
      <c r="G360" t="s">
        <v>83</v>
      </c>
      <c r="H360" t="s">
        <v>84</v>
      </c>
      <c r="I360" t="s">
        <v>52</v>
      </c>
      <c r="J360">
        <f t="shared" si="22"/>
        <v>22</v>
      </c>
      <c r="K360">
        <v>22</v>
      </c>
      <c r="L360" s="5" t="str">
        <f t="shared" si="23"/>
        <v>$50</v>
      </c>
      <c r="M360" s="2" t="s">
        <v>64</v>
      </c>
      <c r="N360" s="2">
        <f>IF(O360&gt;=90%,5,IF(O360&gt;=80%,4,IF(O360&gt;=70%,3,IF(O360&gt;=60%,2,1))))</f>
        <v>2</v>
      </c>
      <c r="O360" s="3">
        <v>0.61</v>
      </c>
      <c r="P360" t="s">
        <v>19</v>
      </c>
      <c r="Q360" t="s">
        <v>58</v>
      </c>
      <c r="R360">
        <v>10</v>
      </c>
      <c r="S360">
        <v>10</v>
      </c>
    </row>
    <row r="361" spans="1:19" x14ac:dyDescent="0.3">
      <c r="A361" t="s">
        <v>800</v>
      </c>
      <c r="B361" t="s">
        <v>801</v>
      </c>
      <c r="C361" t="str">
        <f t="shared" si="20"/>
        <v>Male</v>
      </c>
      <c r="D361" t="s">
        <v>95</v>
      </c>
      <c r="E361">
        <f t="shared" si="21"/>
        <v>25</v>
      </c>
      <c r="F361">
        <v>25</v>
      </c>
      <c r="G361" t="s">
        <v>72</v>
      </c>
      <c r="H361" t="s">
        <v>73</v>
      </c>
      <c r="I361" t="s">
        <v>18</v>
      </c>
      <c r="J361">
        <f t="shared" si="22"/>
        <v>5</v>
      </c>
      <c r="K361">
        <v>5</v>
      </c>
      <c r="L361" s="5" t="str">
        <f t="shared" si="23"/>
        <v>$30</v>
      </c>
      <c r="M361" s="2" t="s">
        <v>45</v>
      </c>
      <c r="N361" s="2">
        <f>IF(O361&gt;=90%,5,IF(O361&gt;=80%,4,IF(O361&gt;=70%,3,IF(O361&gt;=60%,2,1))))</f>
        <v>5</v>
      </c>
      <c r="O361" s="3">
        <v>0.91</v>
      </c>
      <c r="P361" t="s">
        <v>65</v>
      </c>
      <c r="Q361" t="s">
        <v>58</v>
      </c>
      <c r="R361">
        <v>2</v>
      </c>
      <c r="S361">
        <v>1</v>
      </c>
    </row>
    <row r="362" spans="1:19" x14ac:dyDescent="0.3">
      <c r="A362" t="s">
        <v>802</v>
      </c>
      <c r="B362" t="s">
        <v>803</v>
      </c>
      <c r="C362" t="str">
        <f t="shared" si="20"/>
        <v>Female</v>
      </c>
      <c r="D362" t="s">
        <v>23</v>
      </c>
      <c r="E362">
        <f t="shared" si="21"/>
        <v>44</v>
      </c>
      <c r="F362">
        <v>44</v>
      </c>
      <c r="G362" t="s">
        <v>124</v>
      </c>
      <c r="H362" t="s">
        <v>25</v>
      </c>
      <c r="I362" t="s">
        <v>78</v>
      </c>
      <c r="J362">
        <f t="shared" si="22"/>
        <v>6</v>
      </c>
      <c r="K362">
        <v>6</v>
      </c>
      <c r="L362" s="5">
        <f t="shared" si="23"/>
        <v>75</v>
      </c>
      <c r="M362" s="2">
        <v>75</v>
      </c>
      <c r="N362" s="2">
        <f>IF(O362&gt;=90%,5,IF(O362&gt;=80%,4,IF(O362&gt;=70%,3,IF(O362&gt;=60%,2,1))))</f>
        <v>3</v>
      </c>
      <c r="O362" s="3">
        <v>0.72</v>
      </c>
      <c r="P362" t="s">
        <v>46</v>
      </c>
      <c r="Q362" t="s">
        <v>33</v>
      </c>
      <c r="R362">
        <v>13</v>
      </c>
      <c r="S362">
        <v>1</v>
      </c>
    </row>
    <row r="363" spans="1:19" x14ac:dyDescent="0.3">
      <c r="A363" t="s">
        <v>804</v>
      </c>
      <c r="B363" t="s">
        <v>805</v>
      </c>
      <c r="C363" t="str">
        <f t="shared" si="20"/>
        <v>Female</v>
      </c>
      <c r="D363" t="s">
        <v>39</v>
      </c>
      <c r="E363">
        <f t="shared" si="21"/>
        <v>46</v>
      </c>
      <c r="F363">
        <v>46</v>
      </c>
      <c r="G363" t="s">
        <v>24</v>
      </c>
      <c r="H363" t="s">
        <v>25</v>
      </c>
      <c r="I363" t="s">
        <v>37</v>
      </c>
      <c r="J363">
        <f t="shared" si="22"/>
        <v>26</v>
      </c>
      <c r="K363">
        <v>26</v>
      </c>
      <c r="L363" s="5" t="str">
        <f t="shared" si="23"/>
        <v>$100</v>
      </c>
      <c r="M363" s="2" t="s">
        <v>222</v>
      </c>
      <c r="N363" s="2">
        <f>IF(O363&gt;=90%,5,IF(O363&gt;=80%,4,IF(O363&gt;=70%,3,IF(O363&gt;=60%,2,1))))</f>
        <v>1</v>
      </c>
      <c r="O363" s="3">
        <v>0.5</v>
      </c>
      <c r="P363" t="s">
        <v>69</v>
      </c>
      <c r="Q363" t="s">
        <v>33</v>
      </c>
      <c r="R363">
        <v>15</v>
      </c>
      <c r="S363">
        <v>2</v>
      </c>
    </row>
    <row r="364" spans="1:19" x14ac:dyDescent="0.3">
      <c r="A364" t="s">
        <v>806</v>
      </c>
      <c r="B364" t="s">
        <v>807</v>
      </c>
      <c r="C364" t="str">
        <f t="shared" si="20"/>
        <v>Female</v>
      </c>
      <c r="D364" t="s">
        <v>39</v>
      </c>
      <c r="E364">
        <f t="shared" si="21"/>
        <v>40</v>
      </c>
      <c r="F364">
        <v>40</v>
      </c>
      <c r="G364" t="s">
        <v>108</v>
      </c>
      <c r="H364" t="s">
        <v>109</v>
      </c>
      <c r="I364" t="s">
        <v>18</v>
      </c>
      <c r="J364" s="4">
        <f t="shared" si="22"/>
        <v>10.380952380952381</v>
      </c>
      <c r="L364" s="5">
        <f t="shared" si="23"/>
        <v>40</v>
      </c>
      <c r="M364" s="2">
        <v>40</v>
      </c>
      <c r="N364" s="2">
        <f>IF(O364&gt;=90%,5,IF(O364&gt;=80%,4,IF(O364&gt;=70%,3,IF(O364&gt;=60%,2,1))))</f>
        <v>5</v>
      </c>
      <c r="O364" s="3">
        <v>0.96</v>
      </c>
      <c r="P364" t="s">
        <v>65</v>
      </c>
      <c r="Q364" t="s">
        <v>20</v>
      </c>
      <c r="R364">
        <v>4</v>
      </c>
      <c r="S364">
        <v>3</v>
      </c>
    </row>
    <row r="365" spans="1:19" x14ac:dyDescent="0.3">
      <c r="A365" t="s">
        <v>808</v>
      </c>
      <c r="B365" t="s">
        <v>809</v>
      </c>
      <c r="C365" t="str">
        <f t="shared" si="20"/>
        <v>Male</v>
      </c>
      <c r="D365" t="s">
        <v>30</v>
      </c>
      <c r="E365">
        <f t="shared" si="21"/>
        <v>41</v>
      </c>
      <c r="G365" t="s">
        <v>168</v>
      </c>
      <c r="H365" t="s">
        <v>169</v>
      </c>
      <c r="I365" t="s">
        <v>44</v>
      </c>
      <c r="J365">
        <f t="shared" si="22"/>
        <v>9</v>
      </c>
      <c r="K365">
        <v>9</v>
      </c>
      <c r="L365" s="5" t="str">
        <f t="shared" si="23"/>
        <v>$40</v>
      </c>
      <c r="M365" s="2" t="s">
        <v>38</v>
      </c>
      <c r="N365" s="2">
        <f>IF(O365&gt;=90%,5,IF(O365&gt;=80%,4,IF(O365&gt;=70%,3,IF(O365&gt;=60%,2,1))))</f>
        <v>3</v>
      </c>
      <c r="O365" s="3">
        <v>0.72</v>
      </c>
      <c r="P365" t="s">
        <v>46</v>
      </c>
      <c r="Q365" t="s">
        <v>20</v>
      </c>
      <c r="R365">
        <v>9</v>
      </c>
      <c r="S365">
        <v>12</v>
      </c>
    </row>
    <row r="366" spans="1:19" x14ac:dyDescent="0.3">
      <c r="A366" t="s">
        <v>810</v>
      </c>
      <c r="B366" t="s">
        <v>811</v>
      </c>
      <c r="C366" t="str">
        <f t="shared" si="20"/>
        <v>Male</v>
      </c>
      <c r="D366" t="s">
        <v>90</v>
      </c>
      <c r="E366">
        <f t="shared" si="21"/>
        <v>31</v>
      </c>
      <c r="F366">
        <v>31</v>
      </c>
      <c r="G366" t="s">
        <v>83</v>
      </c>
      <c r="H366" t="s">
        <v>84</v>
      </c>
      <c r="I366" t="s">
        <v>52</v>
      </c>
      <c r="J366">
        <f t="shared" si="22"/>
        <v>11</v>
      </c>
      <c r="K366">
        <v>11</v>
      </c>
      <c r="L366" s="5">
        <f t="shared" si="23"/>
        <v>54.89208633093525</v>
      </c>
      <c r="N366" s="2">
        <f>IF(O366&gt;=90%,5,IF(O366&gt;=80%,4,IF(O366&gt;=70%,3,IF(O366&gt;=60%,2,1))))</f>
        <v>1</v>
      </c>
      <c r="O366" s="3">
        <v>0.5</v>
      </c>
      <c r="P366" t="s">
        <v>65</v>
      </c>
      <c r="Q366" t="s">
        <v>33</v>
      </c>
      <c r="R366">
        <v>15</v>
      </c>
      <c r="S366">
        <v>10</v>
      </c>
    </row>
    <row r="367" spans="1:19" x14ac:dyDescent="0.3">
      <c r="A367" t="s">
        <v>812</v>
      </c>
      <c r="B367" t="s">
        <v>813</v>
      </c>
      <c r="C367" t="str">
        <f t="shared" si="20"/>
        <v>Male</v>
      </c>
      <c r="D367" t="s">
        <v>49</v>
      </c>
      <c r="E367">
        <f t="shared" si="21"/>
        <v>33</v>
      </c>
      <c r="F367">
        <v>33</v>
      </c>
      <c r="G367" t="s">
        <v>108</v>
      </c>
      <c r="H367" t="s">
        <v>109</v>
      </c>
      <c r="I367" t="s">
        <v>110</v>
      </c>
      <c r="J367" s="4">
        <f t="shared" si="22"/>
        <v>11.373134328358208</v>
      </c>
      <c r="L367" s="5" t="str">
        <f t="shared" si="23"/>
        <v>$40</v>
      </c>
      <c r="M367" s="2" t="s">
        <v>38</v>
      </c>
      <c r="N367" s="2">
        <f>IF(O367&gt;=90%,5,IF(O367&gt;=80%,4,IF(O367&gt;=70%,3,IF(O367&gt;=60%,2,1))))</f>
        <v>2</v>
      </c>
      <c r="O367" s="3">
        <v>0.63</v>
      </c>
      <c r="P367" t="s">
        <v>69</v>
      </c>
      <c r="Q367" t="s">
        <v>20</v>
      </c>
      <c r="R367">
        <v>2</v>
      </c>
      <c r="S367">
        <v>4</v>
      </c>
    </row>
    <row r="368" spans="1:19" x14ac:dyDescent="0.3">
      <c r="A368" t="s">
        <v>814</v>
      </c>
      <c r="B368" t="s">
        <v>815</v>
      </c>
      <c r="C368" t="str">
        <f t="shared" si="20"/>
        <v>Female</v>
      </c>
      <c r="D368" t="s">
        <v>23</v>
      </c>
      <c r="E368">
        <f t="shared" si="21"/>
        <v>31</v>
      </c>
      <c r="F368">
        <v>31</v>
      </c>
      <c r="G368" t="s">
        <v>104</v>
      </c>
      <c r="H368" t="s">
        <v>105</v>
      </c>
      <c r="I368" t="s">
        <v>110</v>
      </c>
      <c r="J368">
        <f t="shared" si="22"/>
        <v>3</v>
      </c>
      <c r="K368">
        <v>3</v>
      </c>
      <c r="L368" s="5" t="str">
        <f t="shared" si="23"/>
        <v>$20</v>
      </c>
      <c r="M368" s="2" t="s">
        <v>117</v>
      </c>
      <c r="N368" s="2">
        <f>IF(O368&gt;=90%,5,IF(O368&gt;=80%,4,IF(O368&gt;=70%,3,IF(O368&gt;=60%,2,1))))</f>
        <v>1</v>
      </c>
      <c r="O368" s="3">
        <v>0.5</v>
      </c>
      <c r="P368" t="s">
        <v>46</v>
      </c>
      <c r="Q368" t="s">
        <v>33</v>
      </c>
      <c r="R368">
        <v>1</v>
      </c>
      <c r="S368">
        <v>2</v>
      </c>
    </row>
    <row r="369" spans="1:19" x14ac:dyDescent="0.3">
      <c r="A369" t="s">
        <v>816</v>
      </c>
      <c r="B369" t="s">
        <v>817</v>
      </c>
      <c r="C369" t="str">
        <f t="shared" si="20"/>
        <v>Female</v>
      </c>
      <c r="D369" t="s">
        <v>36</v>
      </c>
      <c r="E369">
        <f t="shared" si="21"/>
        <v>49</v>
      </c>
      <c r="F369">
        <v>49</v>
      </c>
      <c r="G369" t="s">
        <v>16</v>
      </c>
      <c r="H369" t="s">
        <v>17</v>
      </c>
      <c r="I369" t="s">
        <v>52</v>
      </c>
      <c r="J369">
        <f t="shared" si="22"/>
        <v>15</v>
      </c>
      <c r="K369">
        <v>15</v>
      </c>
      <c r="L369" s="5" t="str">
        <f t="shared" si="23"/>
        <v>$75</v>
      </c>
      <c r="M369" s="2" t="s">
        <v>163</v>
      </c>
      <c r="N369" s="2">
        <f>IF(O369&gt;=90%,5,IF(O369&gt;=80%,4,IF(O369&gt;=70%,3,IF(O369&gt;=60%,2,1))))</f>
        <v>4</v>
      </c>
      <c r="O369" s="3">
        <v>0.83</v>
      </c>
      <c r="P369" t="s">
        <v>69</v>
      </c>
      <c r="Q369" t="s">
        <v>27</v>
      </c>
      <c r="R369">
        <v>13</v>
      </c>
      <c r="S369">
        <v>9</v>
      </c>
    </row>
    <row r="370" spans="1:19" x14ac:dyDescent="0.3">
      <c r="A370" t="s">
        <v>818</v>
      </c>
      <c r="B370" t="s">
        <v>819</v>
      </c>
      <c r="C370" t="str">
        <f t="shared" si="20"/>
        <v>Male</v>
      </c>
      <c r="D370" t="s">
        <v>30</v>
      </c>
      <c r="E370">
        <f t="shared" si="21"/>
        <v>35</v>
      </c>
      <c r="F370">
        <v>35</v>
      </c>
      <c r="G370" t="s">
        <v>172</v>
      </c>
      <c r="H370" t="s">
        <v>73</v>
      </c>
      <c r="I370" t="s">
        <v>32</v>
      </c>
      <c r="J370">
        <f t="shared" si="22"/>
        <v>12</v>
      </c>
      <c r="K370">
        <v>12</v>
      </c>
      <c r="L370" s="5" t="str">
        <f t="shared" si="23"/>
        <v>$20</v>
      </c>
      <c r="M370" s="2" t="s">
        <v>117</v>
      </c>
      <c r="N370" s="2">
        <f>IF(O370&gt;=90%,5,IF(O370&gt;=80%,4,IF(O370&gt;=70%,3,IF(O370&gt;=60%,2,1))))</f>
        <v>5</v>
      </c>
      <c r="O370" s="3">
        <v>0.94</v>
      </c>
      <c r="P370" t="s">
        <v>69</v>
      </c>
      <c r="Q370" t="s">
        <v>58</v>
      </c>
      <c r="R370">
        <v>8</v>
      </c>
      <c r="S370">
        <v>5</v>
      </c>
    </row>
    <row r="371" spans="1:19" x14ac:dyDescent="0.3">
      <c r="A371" t="s">
        <v>820</v>
      </c>
      <c r="B371" t="s">
        <v>821</v>
      </c>
      <c r="C371" t="str">
        <f t="shared" si="20"/>
        <v>Male</v>
      </c>
      <c r="D371" t="s">
        <v>90</v>
      </c>
      <c r="E371">
        <f t="shared" si="21"/>
        <v>45</v>
      </c>
      <c r="F371">
        <v>45</v>
      </c>
      <c r="G371" t="s">
        <v>91</v>
      </c>
      <c r="H371" t="s">
        <v>92</v>
      </c>
      <c r="I371" t="s">
        <v>52</v>
      </c>
      <c r="J371">
        <f t="shared" si="22"/>
        <v>19</v>
      </c>
      <c r="K371">
        <v>19</v>
      </c>
      <c r="L371" s="5" t="str">
        <f t="shared" si="23"/>
        <v>$40</v>
      </c>
      <c r="M371" s="2" t="s">
        <v>38</v>
      </c>
      <c r="N371" s="2">
        <f>IF(O371&gt;=90%,5,IF(O371&gt;=80%,4,IF(O371&gt;=70%,3,IF(O371&gt;=60%,2,1))))</f>
        <v>3</v>
      </c>
      <c r="O371" s="3">
        <v>0.78</v>
      </c>
      <c r="P371" t="s">
        <v>46</v>
      </c>
      <c r="Q371" t="s">
        <v>58</v>
      </c>
      <c r="R371">
        <v>10</v>
      </c>
      <c r="S371">
        <v>14</v>
      </c>
    </row>
    <row r="372" spans="1:19" x14ac:dyDescent="0.3">
      <c r="A372" t="s">
        <v>822</v>
      </c>
      <c r="B372" t="s">
        <v>823</v>
      </c>
      <c r="C372" t="str">
        <f t="shared" si="20"/>
        <v>Female</v>
      </c>
      <c r="D372" t="s">
        <v>39</v>
      </c>
      <c r="E372">
        <f t="shared" si="21"/>
        <v>39</v>
      </c>
      <c r="F372">
        <v>39</v>
      </c>
      <c r="G372" t="s">
        <v>42</v>
      </c>
      <c r="H372" t="s">
        <v>43</v>
      </c>
      <c r="I372" t="s">
        <v>52</v>
      </c>
      <c r="J372">
        <f t="shared" si="22"/>
        <v>13</v>
      </c>
      <c r="K372">
        <v>13</v>
      </c>
      <c r="L372" s="5">
        <f t="shared" si="23"/>
        <v>30</v>
      </c>
      <c r="M372" s="2">
        <v>30</v>
      </c>
      <c r="N372" s="2">
        <f>IF(O372&gt;=90%,5,IF(O372&gt;=80%,4,IF(O372&gt;=70%,3,IF(O372&gt;=60%,2,1))))</f>
        <v>1</v>
      </c>
      <c r="O372" s="3">
        <v>0.5</v>
      </c>
      <c r="P372" t="s">
        <v>46</v>
      </c>
      <c r="Q372" t="s">
        <v>20</v>
      </c>
      <c r="R372">
        <v>8</v>
      </c>
      <c r="S372">
        <v>4</v>
      </c>
    </row>
    <row r="373" spans="1:19" x14ac:dyDescent="0.3">
      <c r="A373" t="s">
        <v>824</v>
      </c>
      <c r="B373" t="s">
        <v>825</v>
      </c>
      <c r="C373" t="str">
        <f t="shared" si="20"/>
        <v>Male</v>
      </c>
      <c r="D373" t="s">
        <v>61</v>
      </c>
      <c r="E373">
        <f t="shared" si="21"/>
        <v>41</v>
      </c>
      <c r="G373" t="s">
        <v>72</v>
      </c>
      <c r="H373" t="s">
        <v>73</v>
      </c>
      <c r="I373" t="s">
        <v>18</v>
      </c>
      <c r="J373" s="4">
        <f t="shared" si="22"/>
        <v>10.380952380952381</v>
      </c>
      <c r="L373" s="5" t="str">
        <f t="shared" si="23"/>
        <v>$50</v>
      </c>
      <c r="M373" s="2" t="s">
        <v>64</v>
      </c>
      <c r="N373" s="2">
        <f>IF(O373&gt;=90%,5,IF(O373&gt;=80%,4,IF(O373&gt;=70%,3,IF(O373&gt;=60%,2,1))))</f>
        <v>4</v>
      </c>
      <c r="O373" s="3">
        <v>0.82</v>
      </c>
      <c r="P373" t="s">
        <v>46</v>
      </c>
      <c r="Q373" t="s">
        <v>33</v>
      </c>
      <c r="R373">
        <v>1</v>
      </c>
      <c r="S373">
        <v>1</v>
      </c>
    </row>
    <row r="374" spans="1:19" x14ac:dyDescent="0.3">
      <c r="A374" t="s">
        <v>826</v>
      </c>
      <c r="B374" t="s">
        <v>827</v>
      </c>
      <c r="C374" t="str">
        <f t="shared" si="20"/>
        <v>Male</v>
      </c>
      <c r="D374" t="s">
        <v>30</v>
      </c>
      <c r="E374">
        <f t="shared" si="21"/>
        <v>24</v>
      </c>
      <c r="F374">
        <v>24</v>
      </c>
      <c r="G374" t="s">
        <v>31</v>
      </c>
      <c r="H374" t="s">
        <v>31</v>
      </c>
      <c r="I374" t="s">
        <v>78</v>
      </c>
      <c r="J374">
        <f t="shared" si="22"/>
        <v>3</v>
      </c>
      <c r="K374">
        <v>3</v>
      </c>
      <c r="L374" s="5" t="str">
        <f t="shared" si="23"/>
        <v>$30</v>
      </c>
      <c r="M374" s="2" t="s">
        <v>45</v>
      </c>
      <c r="N374" s="2">
        <f>IF(O374&gt;=90%,5,IF(O374&gt;=80%,4,IF(O374&gt;=70%,3,IF(O374&gt;=60%,2,1))))</f>
        <v>2</v>
      </c>
      <c r="O374" s="3">
        <v>0.66</v>
      </c>
      <c r="P374" t="s">
        <v>19</v>
      </c>
      <c r="Q374" t="s">
        <v>33</v>
      </c>
      <c r="R374">
        <v>4</v>
      </c>
      <c r="S374">
        <v>5</v>
      </c>
    </row>
    <row r="375" spans="1:19" x14ac:dyDescent="0.3">
      <c r="A375" t="s">
        <v>828</v>
      </c>
      <c r="B375" t="s">
        <v>829</v>
      </c>
      <c r="C375" t="str">
        <f t="shared" si="20"/>
        <v>Male</v>
      </c>
      <c r="D375" t="s">
        <v>95</v>
      </c>
      <c r="E375">
        <f t="shared" si="21"/>
        <v>50</v>
      </c>
      <c r="F375">
        <v>50</v>
      </c>
      <c r="G375" t="s">
        <v>24</v>
      </c>
      <c r="H375" t="s">
        <v>25</v>
      </c>
      <c r="I375" t="s">
        <v>32</v>
      </c>
      <c r="J375">
        <f t="shared" si="22"/>
        <v>26</v>
      </c>
      <c r="K375">
        <v>26</v>
      </c>
      <c r="L375" s="5">
        <f t="shared" si="23"/>
        <v>55.072463768115945</v>
      </c>
      <c r="N375" s="2">
        <f>IF(O375&gt;=90%,5,IF(O375&gt;=80%,4,IF(O375&gt;=70%,3,IF(O375&gt;=60%,2,1))))</f>
        <v>4</v>
      </c>
      <c r="O375" s="3">
        <v>0.82</v>
      </c>
      <c r="P375" t="s">
        <v>46</v>
      </c>
      <c r="Q375" t="s">
        <v>20</v>
      </c>
      <c r="R375">
        <v>11</v>
      </c>
      <c r="S375">
        <v>9</v>
      </c>
    </row>
    <row r="376" spans="1:19" x14ac:dyDescent="0.3">
      <c r="A376" t="s">
        <v>830</v>
      </c>
      <c r="B376" t="s">
        <v>831</v>
      </c>
      <c r="C376" t="str">
        <f t="shared" si="20"/>
        <v>Female</v>
      </c>
      <c r="D376" t="s">
        <v>39</v>
      </c>
      <c r="E376">
        <f t="shared" si="21"/>
        <v>23</v>
      </c>
      <c r="F376">
        <v>23</v>
      </c>
      <c r="G376" t="s">
        <v>31</v>
      </c>
      <c r="H376" t="s">
        <v>31</v>
      </c>
      <c r="I376" t="s">
        <v>110</v>
      </c>
      <c r="J376">
        <f t="shared" si="22"/>
        <v>4</v>
      </c>
      <c r="K376">
        <v>4</v>
      </c>
      <c r="L376" s="5" t="str">
        <f t="shared" si="23"/>
        <v>$20</v>
      </c>
      <c r="M376" s="2" t="s">
        <v>117</v>
      </c>
      <c r="N376" s="2">
        <f>IF(O376&gt;=90%,5,IF(O376&gt;=80%,4,IF(O376&gt;=70%,3,IF(O376&gt;=60%,2,1))))</f>
        <v>4</v>
      </c>
      <c r="O376" s="3">
        <v>0.84</v>
      </c>
      <c r="P376" t="s">
        <v>46</v>
      </c>
      <c r="Q376" t="s">
        <v>33</v>
      </c>
      <c r="R376">
        <v>4</v>
      </c>
      <c r="S376">
        <v>4</v>
      </c>
    </row>
    <row r="377" spans="1:19" x14ac:dyDescent="0.3">
      <c r="A377" t="s">
        <v>832</v>
      </c>
      <c r="B377" t="s">
        <v>833</v>
      </c>
      <c r="C377" t="str">
        <f t="shared" si="20"/>
        <v>Male</v>
      </c>
      <c r="D377" t="s">
        <v>61</v>
      </c>
      <c r="E377">
        <f t="shared" si="21"/>
        <v>27</v>
      </c>
      <c r="F377">
        <v>27</v>
      </c>
      <c r="G377" t="s">
        <v>124</v>
      </c>
      <c r="H377" t="s">
        <v>25</v>
      </c>
      <c r="I377" t="s">
        <v>78</v>
      </c>
      <c r="J377">
        <f t="shared" si="22"/>
        <v>8</v>
      </c>
      <c r="K377">
        <v>8</v>
      </c>
      <c r="L377" s="5">
        <f t="shared" si="23"/>
        <v>20</v>
      </c>
      <c r="M377" s="2">
        <v>20</v>
      </c>
      <c r="N377" s="2">
        <f>IF(O377&gt;=90%,5,IF(O377&gt;=80%,4,IF(O377&gt;=70%,3,IF(O377&gt;=60%,2,1))))</f>
        <v>4</v>
      </c>
      <c r="O377" s="3">
        <v>0.81</v>
      </c>
      <c r="P377" t="s">
        <v>46</v>
      </c>
      <c r="Q377" t="s">
        <v>27</v>
      </c>
      <c r="R377">
        <v>6</v>
      </c>
      <c r="S377">
        <v>8</v>
      </c>
    </row>
    <row r="378" spans="1:19" x14ac:dyDescent="0.3">
      <c r="A378" t="s">
        <v>834</v>
      </c>
      <c r="B378" t="s">
        <v>835</v>
      </c>
      <c r="C378" t="str">
        <f t="shared" si="20"/>
        <v>Male</v>
      </c>
      <c r="D378" t="s">
        <v>95</v>
      </c>
      <c r="E378">
        <f t="shared" si="21"/>
        <v>58</v>
      </c>
      <c r="F378">
        <v>58</v>
      </c>
      <c r="G378" t="s">
        <v>147</v>
      </c>
      <c r="H378" t="s">
        <v>148</v>
      </c>
      <c r="I378" t="s">
        <v>44</v>
      </c>
      <c r="J378">
        <f t="shared" si="22"/>
        <v>10</v>
      </c>
      <c r="K378">
        <v>10</v>
      </c>
      <c r="L378" s="5">
        <f t="shared" si="23"/>
        <v>75</v>
      </c>
      <c r="M378" s="2">
        <v>75</v>
      </c>
      <c r="N378" s="2">
        <f>IF(O378&gt;=90%,5,IF(O378&gt;=80%,4,IF(O378&gt;=70%,3,IF(O378&gt;=60%,2,1))))</f>
        <v>3</v>
      </c>
      <c r="O378" s="3">
        <v>0.71</v>
      </c>
      <c r="P378" t="s">
        <v>46</v>
      </c>
      <c r="Q378" t="s">
        <v>58</v>
      </c>
      <c r="R378">
        <v>7</v>
      </c>
      <c r="S378">
        <v>5</v>
      </c>
    </row>
    <row r="379" spans="1:19" x14ac:dyDescent="0.3">
      <c r="A379" t="s">
        <v>836</v>
      </c>
      <c r="B379" t="s">
        <v>837</v>
      </c>
      <c r="C379" t="str">
        <f t="shared" si="20"/>
        <v>Male</v>
      </c>
      <c r="D379" t="s">
        <v>49</v>
      </c>
      <c r="E379">
        <f t="shared" si="21"/>
        <v>37</v>
      </c>
      <c r="F379">
        <v>37</v>
      </c>
      <c r="G379" t="s">
        <v>16</v>
      </c>
      <c r="H379" t="s">
        <v>17</v>
      </c>
      <c r="I379" t="s">
        <v>110</v>
      </c>
      <c r="J379">
        <f t="shared" si="22"/>
        <v>5</v>
      </c>
      <c r="K379">
        <v>5</v>
      </c>
      <c r="L379" s="5">
        <f t="shared" si="23"/>
        <v>55.183823529411768</v>
      </c>
      <c r="N379" s="2">
        <f>IF(O379&gt;=90%,5,IF(O379&gt;=80%,4,IF(O379&gt;=70%,3,IF(O379&gt;=60%,2,1))))</f>
        <v>2</v>
      </c>
      <c r="O379" s="3">
        <v>0.61</v>
      </c>
      <c r="P379" t="s">
        <v>65</v>
      </c>
      <c r="Q379" t="s">
        <v>20</v>
      </c>
      <c r="R379">
        <v>2</v>
      </c>
      <c r="S379">
        <v>1</v>
      </c>
    </row>
    <row r="380" spans="1:19" x14ac:dyDescent="0.3">
      <c r="A380" t="s">
        <v>838</v>
      </c>
      <c r="B380" t="s">
        <v>839</v>
      </c>
      <c r="C380" t="str">
        <f t="shared" si="20"/>
        <v>Male</v>
      </c>
      <c r="D380" t="s">
        <v>61</v>
      </c>
      <c r="E380">
        <f t="shared" si="21"/>
        <v>39</v>
      </c>
      <c r="F380">
        <v>39</v>
      </c>
      <c r="G380" t="s">
        <v>183</v>
      </c>
      <c r="H380" t="s">
        <v>73</v>
      </c>
      <c r="I380" t="s">
        <v>18</v>
      </c>
      <c r="J380">
        <f t="shared" si="22"/>
        <v>18</v>
      </c>
      <c r="K380">
        <v>18</v>
      </c>
      <c r="L380" s="5">
        <f t="shared" si="23"/>
        <v>75</v>
      </c>
      <c r="M380" s="2">
        <v>75</v>
      </c>
      <c r="N380" s="2">
        <f>IF(O380&gt;=90%,5,IF(O380&gt;=80%,4,IF(O380&gt;=70%,3,IF(O380&gt;=60%,2,1))))</f>
        <v>2</v>
      </c>
      <c r="O380" s="3">
        <v>0.66</v>
      </c>
      <c r="P380" t="s">
        <v>19</v>
      </c>
      <c r="Q380" t="s">
        <v>20</v>
      </c>
      <c r="R380">
        <v>10</v>
      </c>
      <c r="S380">
        <v>8</v>
      </c>
    </row>
    <row r="381" spans="1:19" x14ac:dyDescent="0.3">
      <c r="A381" t="s">
        <v>840</v>
      </c>
      <c r="B381" t="s">
        <v>841</v>
      </c>
      <c r="C381" t="str">
        <f t="shared" si="20"/>
        <v>Female</v>
      </c>
      <c r="D381" t="s">
        <v>23</v>
      </c>
      <c r="E381">
        <f t="shared" si="21"/>
        <v>46</v>
      </c>
      <c r="F381">
        <v>46</v>
      </c>
      <c r="G381" t="s">
        <v>135</v>
      </c>
      <c r="H381" t="s">
        <v>136</v>
      </c>
      <c r="I381" t="s">
        <v>52</v>
      </c>
      <c r="J381">
        <f t="shared" si="22"/>
        <v>10</v>
      </c>
      <c r="K381">
        <v>10</v>
      </c>
      <c r="L381" s="5" t="str">
        <f t="shared" si="23"/>
        <v>$20</v>
      </c>
      <c r="M381" s="2" t="s">
        <v>117</v>
      </c>
      <c r="N381" s="2">
        <f>IF(O381&gt;=90%,5,IF(O381&gt;=80%,4,IF(O381&gt;=70%,3,IF(O381&gt;=60%,2,1))))</f>
        <v>5</v>
      </c>
      <c r="O381" s="3">
        <v>0.97</v>
      </c>
      <c r="P381" t="s">
        <v>69</v>
      </c>
      <c r="Q381" t="s">
        <v>33</v>
      </c>
      <c r="R381">
        <v>13</v>
      </c>
      <c r="S381">
        <v>2</v>
      </c>
    </row>
    <row r="382" spans="1:19" x14ac:dyDescent="0.3">
      <c r="A382" t="s">
        <v>842</v>
      </c>
      <c r="B382" t="s">
        <v>843</v>
      </c>
      <c r="C382" t="str">
        <f t="shared" si="20"/>
        <v>Female</v>
      </c>
      <c r="D382" t="s">
        <v>77</v>
      </c>
      <c r="E382">
        <f t="shared" si="21"/>
        <v>41</v>
      </c>
      <c r="G382" t="s">
        <v>68</v>
      </c>
      <c r="H382" t="s">
        <v>25</v>
      </c>
      <c r="I382" t="s">
        <v>74</v>
      </c>
      <c r="J382">
        <f t="shared" si="22"/>
        <v>0</v>
      </c>
      <c r="K382">
        <v>0</v>
      </c>
      <c r="L382" s="5" t="str">
        <f t="shared" si="23"/>
        <v>$20</v>
      </c>
      <c r="M382" s="2" t="s">
        <v>117</v>
      </c>
      <c r="N382" s="2">
        <f>IF(O382&gt;=90%,5,IF(O382&gt;=80%,4,IF(O382&gt;=70%,3,IF(O382&gt;=60%,2,1))))</f>
        <v>3</v>
      </c>
      <c r="O382" s="3">
        <v>0.74</v>
      </c>
      <c r="P382" t="s">
        <v>46</v>
      </c>
      <c r="Q382" t="s">
        <v>20</v>
      </c>
      <c r="R382">
        <v>2</v>
      </c>
      <c r="S382">
        <v>1</v>
      </c>
    </row>
    <row r="383" spans="1:19" x14ac:dyDescent="0.3">
      <c r="A383" t="s">
        <v>844</v>
      </c>
      <c r="B383" t="s">
        <v>845</v>
      </c>
      <c r="C383" t="str">
        <f t="shared" ref="C383:C446" si="24">IF(LEFT(LOWER(TRIM(D383)),1)="f","Female","Male")</f>
        <v>Female</v>
      </c>
      <c r="D383" t="s">
        <v>15</v>
      </c>
      <c r="E383">
        <f t="shared" si="21"/>
        <v>39</v>
      </c>
      <c r="F383">
        <v>39</v>
      </c>
      <c r="G383" t="s">
        <v>172</v>
      </c>
      <c r="H383" t="s">
        <v>73</v>
      </c>
      <c r="I383" t="s">
        <v>18</v>
      </c>
      <c r="J383">
        <f t="shared" si="22"/>
        <v>21</v>
      </c>
      <c r="K383">
        <v>21</v>
      </c>
      <c r="L383" s="5">
        <f t="shared" si="23"/>
        <v>30</v>
      </c>
      <c r="M383" s="2">
        <v>30</v>
      </c>
      <c r="N383" s="2">
        <f>IF(O383&gt;=90%,5,IF(O383&gt;=80%,4,IF(O383&gt;=70%,3,IF(O383&gt;=60%,2,1))))</f>
        <v>2</v>
      </c>
      <c r="O383" s="3">
        <v>0.61</v>
      </c>
      <c r="P383" t="s">
        <v>65</v>
      </c>
      <c r="Q383" t="s">
        <v>27</v>
      </c>
      <c r="R383">
        <v>15</v>
      </c>
      <c r="S383">
        <v>6</v>
      </c>
    </row>
    <row r="384" spans="1:19" x14ac:dyDescent="0.3">
      <c r="A384" t="s">
        <v>846</v>
      </c>
      <c r="B384" t="s">
        <v>847</v>
      </c>
      <c r="C384" t="str">
        <f t="shared" si="24"/>
        <v>Male</v>
      </c>
      <c r="D384" t="s">
        <v>90</v>
      </c>
      <c r="E384">
        <f t="shared" si="21"/>
        <v>59</v>
      </c>
      <c r="F384">
        <v>59</v>
      </c>
      <c r="G384" t="s">
        <v>135</v>
      </c>
      <c r="H384" t="s">
        <v>136</v>
      </c>
      <c r="I384" t="s">
        <v>18</v>
      </c>
      <c r="J384">
        <f t="shared" si="22"/>
        <v>25</v>
      </c>
      <c r="K384">
        <v>25</v>
      </c>
      <c r="L384" s="5">
        <f t="shared" si="23"/>
        <v>20</v>
      </c>
      <c r="M384" s="2">
        <v>20</v>
      </c>
      <c r="N384" s="2">
        <f>IF(O384&gt;=90%,5,IF(O384&gt;=80%,4,IF(O384&gt;=70%,3,IF(O384&gt;=60%,2,1))))</f>
        <v>5</v>
      </c>
      <c r="O384" s="3">
        <v>0.9</v>
      </c>
      <c r="P384" t="s">
        <v>65</v>
      </c>
      <c r="Q384" t="s">
        <v>33</v>
      </c>
      <c r="R384">
        <v>15</v>
      </c>
      <c r="S384">
        <v>9</v>
      </c>
    </row>
    <row r="385" spans="1:19" x14ac:dyDescent="0.3">
      <c r="A385" t="s">
        <v>848</v>
      </c>
      <c r="B385" t="s">
        <v>849</v>
      </c>
      <c r="C385" t="str">
        <f t="shared" si="24"/>
        <v>Male</v>
      </c>
      <c r="D385" t="s">
        <v>49</v>
      </c>
      <c r="E385">
        <f t="shared" si="21"/>
        <v>21</v>
      </c>
      <c r="F385">
        <v>21</v>
      </c>
      <c r="G385" t="s">
        <v>42</v>
      </c>
      <c r="H385" t="s">
        <v>43</v>
      </c>
      <c r="I385" t="s">
        <v>87</v>
      </c>
      <c r="J385">
        <f t="shared" si="22"/>
        <v>0</v>
      </c>
      <c r="K385">
        <v>0</v>
      </c>
      <c r="L385" s="5" t="str">
        <f t="shared" si="23"/>
        <v>$40</v>
      </c>
      <c r="M385" s="2" t="s">
        <v>38</v>
      </c>
      <c r="N385" s="2">
        <f>IF(O385&gt;=90%,5,IF(O385&gt;=80%,4,IF(O385&gt;=70%,3,IF(O385&gt;=60%,2,1))))</f>
        <v>5</v>
      </c>
      <c r="O385" s="3">
        <v>0.97</v>
      </c>
      <c r="P385" t="s">
        <v>65</v>
      </c>
      <c r="Q385" t="s">
        <v>33</v>
      </c>
      <c r="R385">
        <v>4</v>
      </c>
      <c r="S385">
        <v>1</v>
      </c>
    </row>
    <row r="386" spans="1:19" x14ac:dyDescent="0.3">
      <c r="A386" t="s">
        <v>850</v>
      </c>
      <c r="B386" t="s">
        <v>851</v>
      </c>
      <c r="C386" t="str">
        <f t="shared" si="24"/>
        <v>Female</v>
      </c>
      <c r="D386" t="s">
        <v>23</v>
      </c>
      <c r="E386">
        <f t="shared" ref="E386:E449" si="25">IF(F386="",MEDIAN($F$2:$F$698),F386)</f>
        <v>23</v>
      </c>
      <c r="F386">
        <v>23</v>
      </c>
      <c r="G386" t="s">
        <v>124</v>
      </c>
      <c r="H386" t="s">
        <v>25</v>
      </c>
      <c r="I386" t="s">
        <v>87</v>
      </c>
      <c r="J386">
        <f t="shared" ref="J386:J449" si="26">IF(K386="", AVERAGEIF($I$2:$I$698,I386,$K$2:$K$698),K386)</f>
        <v>5</v>
      </c>
      <c r="K386">
        <v>5</v>
      </c>
      <c r="L386" s="5">
        <f t="shared" si="23"/>
        <v>100</v>
      </c>
      <c r="M386" s="2">
        <v>100</v>
      </c>
      <c r="N386" s="2">
        <f>IF(O386&gt;=90%,5,IF(O386&gt;=80%,4,IF(O386&gt;=70%,3,IF(O386&gt;=60%,2,1))))</f>
        <v>1</v>
      </c>
      <c r="O386" s="3">
        <v>0.5</v>
      </c>
      <c r="P386" t="s">
        <v>69</v>
      </c>
      <c r="Q386" t="s">
        <v>33</v>
      </c>
      <c r="R386">
        <v>5</v>
      </c>
      <c r="S386">
        <v>5</v>
      </c>
    </row>
    <row r="387" spans="1:19" x14ac:dyDescent="0.3">
      <c r="A387" t="s">
        <v>852</v>
      </c>
      <c r="B387" t="s">
        <v>853</v>
      </c>
      <c r="C387" t="str">
        <f t="shared" si="24"/>
        <v>Male</v>
      </c>
      <c r="D387" t="s">
        <v>49</v>
      </c>
      <c r="E387">
        <f t="shared" si="25"/>
        <v>27</v>
      </c>
      <c r="F387">
        <v>27</v>
      </c>
      <c r="G387" t="s">
        <v>135</v>
      </c>
      <c r="H387" t="s">
        <v>136</v>
      </c>
      <c r="I387" t="s">
        <v>37</v>
      </c>
      <c r="J387">
        <f t="shared" si="26"/>
        <v>1</v>
      </c>
      <c r="K387">
        <v>1</v>
      </c>
      <c r="L387" s="5">
        <f t="shared" ref="L387:L450" si="27">IF(M387="", AVERAGE(M387:M1083), M387)</f>
        <v>20</v>
      </c>
      <c r="M387" s="2">
        <v>20</v>
      </c>
      <c r="N387" s="2">
        <f>IF(O387&gt;=90%,5,IF(O387&gt;=80%,4,IF(O387&gt;=70%,3,IF(O387&gt;=60%,2,1))))</f>
        <v>3</v>
      </c>
      <c r="O387" s="3">
        <v>0.76</v>
      </c>
      <c r="P387" t="s">
        <v>46</v>
      </c>
      <c r="Q387" t="s">
        <v>33</v>
      </c>
      <c r="R387">
        <v>4</v>
      </c>
      <c r="S387">
        <v>3</v>
      </c>
    </row>
    <row r="388" spans="1:19" x14ac:dyDescent="0.3">
      <c r="A388" t="s">
        <v>854</v>
      </c>
      <c r="B388" t="s">
        <v>855</v>
      </c>
      <c r="C388" t="str">
        <f t="shared" si="24"/>
        <v>Male</v>
      </c>
      <c r="D388" t="s">
        <v>49</v>
      </c>
      <c r="E388">
        <f t="shared" si="25"/>
        <v>27</v>
      </c>
      <c r="F388">
        <v>27</v>
      </c>
      <c r="G388" t="s">
        <v>168</v>
      </c>
      <c r="H388" t="s">
        <v>169</v>
      </c>
      <c r="I388" t="s">
        <v>78</v>
      </c>
      <c r="J388">
        <f t="shared" si="26"/>
        <v>4</v>
      </c>
      <c r="K388">
        <v>4</v>
      </c>
      <c r="L388" s="5">
        <f t="shared" si="27"/>
        <v>40</v>
      </c>
      <c r="M388" s="2">
        <v>40</v>
      </c>
      <c r="N388" s="2">
        <f>IF(O388&gt;=90%,5,IF(O388&gt;=80%,4,IF(O388&gt;=70%,3,IF(O388&gt;=60%,2,1))))</f>
        <v>5</v>
      </c>
      <c r="O388" s="3">
        <v>0.92</v>
      </c>
      <c r="P388" t="s">
        <v>19</v>
      </c>
      <c r="Q388" t="s">
        <v>27</v>
      </c>
      <c r="R388">
        <v>4</v>
      </c>
      <c r="S388">
        <v>4</v>
      </c>
    </row>
    <row r="389" spans="1:19" x14ac:dyDescent="0.3">
      <c r="A389" t="s">
        <v>856</v>
      </c>
      <c r="B389" t="s">
        <v>857</v>
      </c>
      <c r="C389" t="str">
        <f t="shared" si="24"/>
        <v>Female</v>
      </c>
      <c r="D389" t="s">
        <v>36</v>
      </c>
      <c r="E389">
        <f t="shared" si="25"/>
        <v>48</v>
      </c>
      <c r="F389">
        <v>48</v>
      </c>
      <c r="G389" t="s">
        <v>147</v>
      </c>
      <c r="H389" t="s">
        <v>148</v>
      </c>
      <c r="I389" t="s">
        <v>52</v>
      </c>
      <c r="J389">
        <f t="shared" si="26"/>
        <v>21</v>
      </c>
      <c r="K389">
        <v>21</v>
      </c>
      <c r="L389" s="5">
        <f t="shared" si="27"/>
        <v>40</v>
      </c>
      <c r="M389" s="2">
        <v>40</v>
      </c>
      <c r="N389" s="2">
        <f>IF(O389&gt;=90%,5,IF(O389&gt;=80%,4,IF(O389&gt;=70%,3,IF(O389&gt;=60%,2,1))))</f>
        <v>1</v>
      </c>
      <c r="O389" s="3">
        <v>0.5</v>
      </c>
      <c r="P389" t="s">
        <v>19</v>
      </c>
      <c r="Q389" t="s">
        <v>33</v>
      </c>
      <c r="R389">
        <v>14</v>
      </c>
      <c r="S389">
        <v>10</v>
      </c>
    </row>
    <row r="390" spans="1:19" x14ac:dyDescent="0.3">
      <c r="A390" t="s">
        <v>858</v>
      </c>
      <c r="B390" t="s">
        <v>859</v>
      </c>
      <c r="C390" t="str">
        <f t="shared" si="24"/>
        <v>Male</v>
      </c>
      <c r="D390" t="s">
        <v>61</v>
      </c>
      <c r="E390">
        <f t="shared" si="25"/>
        <v>21</v>
      </c>
      <c r="F390">
        <v>21</v>
      </c>
      <c r="G390" t="s">
        <v>147</v>
      </c>
      <c r="H390" t="s">
        <v>148</v>
      </c>
      <c r="I390" t="s">
        <v>44</v>
      </c>
      <c r="J390">
        <f t="shared" si="26"/>
        <v>1</v>
      </c>
      <c r="K390">
        <v>1</v>
      </c>
      <c r="L390" s="5" t="str">
        <f t="shared" si="27"/>
        <v>$20</v>
      </c>
      <c r="M390" s="2" t="s">
        <v>117</v>
      </c>
      <c r="N390" s="2">
        <f>IF(O390&gt;=90%,5,IF(O390&gt;=80%,4,IF(O390&gt;=70%,3,IF(O390&gt;=60%,2,1))))</f>
        <v>2</v>
      </c>
      <c r="O390" s="3">
        <v>0.66</v>
      </c>
      <c r="P390" t="s">
        <v>65</v>
      </c>
      <c r="Q390" t="s">
        <v>20</v>
      </c>
      <c r="R390">
        <v>4</v>
      </c>
      <c r="S390">
        <v>4</v>
      </c>
    </row>
    <row r="391" spans="1:19" x14ac:dyDescent="0.3">
      <c r="A391" t="s">
        <v>860</v>
      </c>
      <c r="B391" t="s">
        <v>861</v>
      </c>
      <c r="C391" t="str">
        <f t="shared" si="24"/>
        <v>Male</v>
      </c>
      <c r="D391" t="s">
        <v>49</v>
      </c>
      <c r="E391">
        <f t="shared" si="25"/>
        <v>37</v>
      </c>
      <c r="F391">
        <v>37</v>
      </c>
      <c r="G391" t="s">
        <v>16</v>
      </c>
      <c r="H391" t="s">
        <v>17</v>
      </c>
      <c r="I391" t="s">
        <v>87</v>
      </c>
      <c r="J391" s="4">
        <f t="shared" si="26"/>
        <v>11.191780821917808</v>
      </c>
      <c r="L391" s="5">
        <f t="shared" si="27"/>
        <v>50</v>
      </c>
      <c r="M391" s="2">
        <v>50</v>
      </c>
      <c r="N391" s="2">
        <f>IF(O391&gt;=90%,5,IF(O391&gt;=80%,4,IF(O391&gt;=70%,3,IF(O391&gt;=60%,2,1))))</f>
        <v>4</v>
      </c>
      <c r="O391" s="3">
        <v>0.83</v>
      </c>
      <c r="P391" t="s">
        <v>69</v>
      </c>
      <c r="Q391" t="s">
        <v>27</v>
      </c>
      <c r="R391">
        <v>1</v>
      </c>
      <c r="S391">
        <v>1</v>
      </c>
    </row>
    <row r="392" spans="1:19" x14ac:dyDescent="0.3">
      <c r="A392" t="s">
        <v>862</v>
      </c>
      <c r="B392" t="s">
        <v>863</v>
      </c>
      <c r="C392" t="str">
        <f t="shared" si="24"/>
        <v>Female</v>
      </c>
      <c r="D392" t="s">
        <v>36</v>
      </c>
      <c r="E392">
        <f t="shared" si="25"/>
        <v>31</v>
      </c>
      <c r="F392">
        <v>31</v>
      </c>
      <c r="G392" t="s">
        <v>31</v>
      </c>
      <c r="H392" t="s">
        <v>31</v>
      </c>
      <c r="I392" t="s">
        <v>74</v>
      </c>
      <c r="J392">
        <f t="shared" si="26"/>
        <v>10</v>
      </c>
      <c r="K392">
        <v>10</v>
      </c>
      <c r="L392" s="5">
        <f t="shared" si="27"/>
        <v>50</v>
      </c>
      <c r="M392" s="2">
        <v>50</v>
      </c>
      <c r="N392" s="2">
        <f>IF(O392&gt;=90%,5,IF(O392&gt;=80%,4,IF(O392&gt;=70%,3,IF(O392&gt;=60%,2,1))))</f>
        <v>1</v>
      </c>
      <c r="O392" s="3">
        <v>0.5</v>
      </c>
      <c r="P392" t="s">
        <v>69</v>
      </c>
      <c r="Q392" t="s">
        <v>58</v>
      </c>
      <c r="R392">
        <v>10</v>
      </c>
      <c r="S392">
        <v>4</v>
      </c>
    </row>
    <row r="393" spans="1:19" x14ac:dyDescent="0.3">
      <c r="A393" t="s">
        <v>864</v>
      </c>
      <c r="B393" t="s">
        <v>865</v>
      </c>
      <c r="C393" t="str">
        <f t="shared" si="24"/>
        <v>Female</v>
      </c>
      <c r="D393" t="s">
        <v>15</v>
      </c>
      <c r="E393">
        <f t="shared" si="25"/>
        <v>41</v>
      </c>
      <c r="F393">
        <v>41</v>
      </c>
      <c r="G393" t="s">
        <v>135</v>
      </c>
      <c r="H393" t="s">
        <v>136</v>
      </c>
      <c r="I393" t="s">
        <v>18</v>
      </c>
      <c r="J393">
        <f t="shared" si="26"/>
        <v>21</v>
      </c>
      <c r="K393">
        <v>21</v>
      </c>
      <c r="L393" s="5">
        <f t="shared" si="27"/>
        <v>55.748031496062993</v>
      </c>
      <c r="N393" s="2">
        <f>IF(O393&gt;=90%,5,IF(O393&gt;=80%,4,IF(O393&gt;=70%,3,IF(O393&gt;=60%,2,1))))</f>
        <v>1</v>
      </c>
      <c r="O393" s="3">
        <v>0.5</v>
      </c>
      <c r="P393" t="s">
        <v>69</v>
      </c>
      <c r="Q393" t="s">
        <v>58</v>
      </c>
      <c r="R393">
        <v>10</v>
      </c>
      <c r="S393">
        <v>9</v>
      </c>
    </row>
    <row r="394" spans="1:19" x14ac:dyDescent="0.3">
      <c r="A394" t="s">
        <v>866</v>
      </c>
      <c r="B394" t="s">
        <v>867</v>
      </c>
      <c r="C394" t="str">
        <f t="shared" si="24"/>
        <v>Male</v>
      </c>
      <c r="D394" t="s">
        <v>30</v>
      </c>
      <c r="E394">
        <f t="shared" si="25"/>
        <v>31</v>
      </c>
      <c r="F394">
        <v>31</v>
      </c>
      <c r="G394" t="s">
        <v>120</v>
      </c>
      <c r="H394" t="s">
        <v>121</v>
      </c>
      <c r="I394" t="s">
        <v>78</v>
      </c>
      <c r="J394">
        <f t="shared" si="26"/>
        <v>0</v>
      </c>
      <c r="K394">
        <v>0</v>
      </c>
      <c r="L394" s="5" t="str">
        <f t="shared" si="27"/>
        <v>$20</v>
      </c>
      <c r="M394" s="2" t="s">
        <v>117</v>
      </c>
      <c r="N394" s="2">
        <f>IF(O394&gt;=90%,5,IF(O394&gt;=80%,4,IF(O394&gt;=70%,3,IF(O394&gt;=60%,2,1))))</f>
        <v>4</v>
      </c>
      <c r="O394" s="3">
        <v>0.82</v>
      </c>
      <c r="P394" t="s">
        <v>19</v>
      </c>
      <c r="Q394" t="s">
        <v>20</v>
      </c>
      <c r="R394">
        <v>5</v>
      </c>
      <c r="S394">
        <v>1</v>
      </c>
    </row>
    <row r="395" spans="1:19" x14ac:dyDescent="0.3">
      <c r="A395" t="s">
        <v>868</v>
      </c>
      <c r="B395" t="s">
        <v>869</v>
      </c>
      <c r="C395" t="str">
        <f t="shared" si="24"/>
        <v>Female</v>
      </c>
      <c r="D395" t="s">
        <v>23</v>
      </c>
      <c r="E395">
        <f t="shared" si="25"/>
        <v>58</v>
      </c>
      <c r="F395">
        <v>58</v>
      </c>
      <c r="G395" t="s">
        <v>72</v>
      </c>
      <c r="H395" t="s">
        <v>73</v>
      </c>
      <c r="I395" t="s">
        <v>52</v>
      </c>
      <c r="J395">
        <f t="shared" si="26"/>
        <v>0</v>
      </c>
      <c r="K395">
        <v>0</v>
      </c>
      <c r="L395" s="5">
        <f t="shared" si="27"/>
        <v>50</v>
      </c>
      <c r="M395" s="2">
        <v>50</v>
      </c>
      <c r="N395" s="2">
        <f>IF(O395&gt;=90%,5,IF(O395&gt;=80%,4,IF(O395&gt;=70%,3,IF(O395&gt;=60%,2,1))))</f>
        <v>3</v>
      </c>
      <c r="O395" s="3">
        <v>0.77</v>
      </c>
      <c r="P395" t="s">
        <v>65</v>
      </c>
      <c r="Q395" t="s">
        <v>20</v>
      </c>
      <c r="R395">
        <v>5</v>
      </c>
      <c r="S395">
        <v>2</v>
      </c>
    </row>
    <row r="396" spans="1:19" x14ac:dyDescent="0.3">
      <c r="A396" t="s">
        <v>870</v>
      </c>
      <c r="B396" t="s">
        <v>871</v>
      </c>
      <c r="C396" t="str">
        <f t="shared" si="24"/>
        <v>Female</v>
      </c>
      <c r="D396" t="s">
        <v>15</v>
      </c>
      <c r="E396">
        <f t="shared" si="25"/>
        <v>45</v>
      </c>
      <c r="F396">
        <v>45</v>
      </c>
      <c r="G396" t="s">
        <v>42</v>
      </c>
      <c r="H396" t="s">
        <v>43</v>
      </c>
      <c r="I396" t="s">
        <v>52</v>
      </c>
      <c r="J396">
        <f t="shared" si="26"/>
        <v>17</v>
      </c>
      <c r="K396">
        <v>17</v>
      </c>
      <c r="L396" s="5" t="str">
        <f t="shared" si="27"/>
        <v>$50</v>
      </c>
      <c r="M396" s="2" t="s">
        <v>64</v>
      </c>
      <c r="N396" s="2">
        <f>IF(O396&gt;=90%,5,IF(O396&gt;=80%,4,IF(O396&gt;=70%,3,IF(O396&gt;=60%,2,1))))</f>
        <v>3</v>
      </c>
      <c r="O396" s="3">
        <v>0.73</v>
      </c>
      <c r="P396" t="s">
        <v>46</v>
      </c>
      <c r="Q396" t="s">
        <v>27</v>
      </c>
      <c r="R396">
        <v>15</v>
      </c>
      <c r="S396">
        <v>11</v>
      </c>
    </row>
    <row r="397" spans="1:19" x14ac:dyDescent="0.3">
      <c r="A397" t="s">
        <v>872</v>
      </c>
      <c r="B397" t="s">
        <v>873</v>
      </c>
      <c r="C397" t="str">
        <f t="shared" si="24"/>
        <v>Male</v>
      </c>
      <c r="D397" t="s">
        <v>49</v>
      </c>
      <c r="E397">
        <f t="shared" si="25"/>
        <v>51</v>
      </c>
      <c r="F397">
        <v>51</v>
      </c>
      <c r="G397" t="s">
        <v>108</v>
      </c>
      <c r="H397" t="s">
        <v>109</v>
      </c>
      <c r="I397" t="s">
        <v>78</v>
      </c>
      <c r="J397">
        <f t="shared" si="26"/>
        <v>5</v>
      </c>
      <c r="K397">
        <v>5</v>
      </c>
      <c r="L397" s="5">
        <f t="shared" si="27"/>
        <v>55.793650793650791</v>
      </c>
      <c r="N397" s="2">
        <f>IF(O397&gt;=90%,5,IF(O397&gt;=80%,4,IF(O397&gt;=70%,3,IF(O397&gt;=60%,2,1))))</f>
        <v>4</v>
      </c>
      <c r="O397" s="3">
        <v>0.88</v>
      </c>
      <c r="P397" t="s">
        <v>19</v>
      </c>
      <c r="Q397" t="s">
        <v>58</v>
      </c>
      <c r="R397">
        <v>2</v>
      </c>
      <c r="S397">
        <v>4</v>
      </c>
    </row>
    <row r="398" spans="1:19" x14ac:dyDescent="0.3">
      <c r="A398" t="s">
        <v>874</v>
      </c>
      <c r="B398" t="s">
        <v>875</v>
      </c>
      <c r="C398" t="str">
        <f t="shared" si="24"/>
        <v>Male</v>
      </c>
      <c r="D398" t="s">
        <v>61</v>
      </c>
      <c r="E398">
        <f t="shared" si="25"/>
        <v>54</v>
      </c>
      <c r="F398">
        <v>54</v>
      </c>
      <c r="G398" t="s">
        <v>57</v>
      </c>
      <c r="H398" t="s">
        <v>25</v>
      </c>
      <c r="I398" t="s">
        <v>74</v>
      </c>
      <c r="J398">
        <f t="shared" si="26"/>
        <v>3</v>
      </c>
      <c r="K398">
        <v>3</v>
      </c>
      <c r="L398" s="5" t="str">
        <f t="shared" si="27"/>
        <v>$30</v>
      </c>
      <c r="M398" s="2" t="s">
        <v>45</v>
      </c>
      <c r="N398" s="2">
        <f>IF(O398&gt;=90%,5,IF(O398&gt;=80%,4,IF(O398&gt;=70%,3,IF(O398&gt;=60%,2,1))))</f>
        <v>4</v>
      </c>
      <c r="O398" s="3">
        <v>0.81</v>
      </c>
      <c r="P398" t="s">
        <v>65</v>
      </c>
      <c r="Q398" t="s">
        <v>58</v>
      </c>
      <c r="R398">
        <v>2</v>
      </c>
      <c r="S398">
        <v>3</v>
      </c>
    </row>
    <row r="399" spans="1:19" x14ac:dyDescent="0.3">
      <c r="A399" t="s">
        <v>876</v>
      </c>
      <c r="B399" t="s">
        <v>877</v>
      </c>
      <c r="C399" t="str">
        <f t="shared" si="24"/>
        <v>Male</v>
      </c>
      <c r="D399" t="s">
        <v>90</v>
      </c>
      <c r="E399">
        <f t="shared" si="25"/>
        <v>22</v>
      </c>
      <c r="F399">
        <v>22</v>
      </c>
      <c r="G399" t="s">
        <v>120</v>
      </c>
      <c r="H399" t="s">
        <v>121</v>
      </c>
      <c r="I399" t="s">
        <v>52</v>
      </c>
      <c r="J399">
        <f t="shared" si="26"/>
        <v>1</v>
      </c>
      <c r="K399">
        <v>1</v>
      </c>
      <c r="L399" s="5">
        <f t="shared" si="27"/>
        <v>20</v>
      </c>
      <c r="M399" s="2">
        <v>20</v>
      </c>
      <c r="N399" s="2">
        <f>IF(O399&gt;=90%,5,IF(O399&gt;=80%,4,IF(O399&gt;=70%,3,IF(O399&gt;=60%,2,1))))</f>
        <v>3</v>
      </c>
      <c r="O399" s="3">
        <v>0.78</v>
      </c>
      <c r="P399" t="s">
        <v>65</v>
      </c>
      <c r="Q399" t="s">
        <v>58</v>
      </c>
      <c r="R399">
        <v>1</v>
      </c>
      <c r="S399">
        <v>2</v>
      </c>
    </row>
    <row r="400" spans="1:19" x14ac:dyDescent="0.3">
      <c r="A400" t="s">
        <v>878</v>
      </c>
      <c r="B400" t="s">
        <v>879</v>
      </c>
      <c r="C400" t="str">
        <f t="shared" si="24"/>
        <v>Male</v>
      </c>
      <c r="D400" t="s">
        <v>90</v>
      </c>
      <c r="E400">
        <f t="shared" si="25"/>
        <v>36</v>
      </c>
      <c r="F400">
        <v>36</v>
      </c>
      <c r="G400" t="s">
        <v>62</v>
      </c>
      <c r="H400" t="s">
        <v>63</v>
      </c>
      <c r="I400" t="s">
        <v>78</v>
      </c>
      <c r="J400">
        <f t="shared" si="26"/>
        <v>2</v>
      </c>
      <c r="K400">
        <v>2</v>
      </c>
      <c r="L400" s="5">
        <f t="shared" si="27"/>
        <v>75</v>
      </c>
      <c r="M400" s="2">
        <v>75</v>
      </c>
      <c r="N400" s="2">
        <f>IF(O400&gt;=90%,5,IF(O400&gt;=80%,4,IF(O400&gt;=70%,3,IF(O400&gt;=60%,2,1))))</f>
        <v>5</v>
      </c>
      <c r="O400" s="3">
        <v>0.92</v>
      </c>
      <c r="P400" t="s">
        <v>46</v>
      </c>
      <c r="Q400" t="s">
        <v>58</v>
      </c>
      <c r="R400">
        <v>5</v>
      </c>
      <c r="S400">
        <v>1</v>
      </c>
    </row>
    <row r="401" spans="1:19" x14ac:dyDescent="0.3">
      <c r="A401" t="s">
        <v>880</v>
      </c>
      <c r="B401" t="s">
        <v>881</v>
      </c>
      <c r="C401" t="str">
        <f t="shared" si="24"/>
        <v>Male</v>
      </c>
      <c r="D401" t="s">
        <v>61</v>
      </c>
      <c r="E401">
        <f t="shared" si="25"/>
        <v>50</v>
      </c>
      <c r="F401">
        <v>50</v>
      </c>
      <c r="G401" t="s">
        <v>31</v>
      </c>
      <c r="H401" t="s">
        <v>31</v>
      </c>
      <c r="I401" t="s">
        <v>87</v>
      </c>
      <c r="J401">
        <f t="shared" si="26"/>
        <v>32</v>
      </c>
      <c r="K401">
        <v>32</v>
      </c>
      <c r="L401" s="5" t="str">
        <f t="shared" si="27"/>
        <v>$30</v>
      </c>
      <c r="M401" s="2" t="s">
        <v>45</v>
      </c>
      <c r="N401" s="2">
        <f>IF(O401&gt;=90%,5,IF(O401&gt;=80%,4,IF(O401&gt;=70%,3,IF(O401&gt;=60%,2,1))))</f>
        <v>2</v>
      </c>
      <c r="O401" s="3">
        <v>0.64</v>
      </c>
      <c r="P401" t="s">
        <v>46</v>
      </c>
      <c r="Q401" t="s">
        <v>58</v>
      </c>
      <c r="R401">
        <v>12</v>
      </c>
      <c r="S401">
        <v>15</v>
      </c>
    </row>
    <row r="402" spans="1:19" x14ac:dyDescent="0.3">
      <c r="A402" t="s">
        <v>882</v>
      </c>
      <c r="B402" t="s">
        <v>883</v>
      </c>
      <c r="C402" t="str">
        <f t="shared" si="24"/>
        <v>Female</v>
      </c>
      <c r="D402" t="s">
        <v>77</v>
      </c>
      <c r="E402">
        <f t="shared" si="25"/>
        <v>41</v>
      </c>
      <c r="F402">
        <v>41</v>
      </c>
      <c r="G402" t="s">
        <v>24</v>
      </c>
      <c r="H402" t="s">
        <v>25</v>
      </c>
      <c r="I402" t="s">
        <v>18</v>
      </c>
      <c r="J402">
        <f t="shared" si="26"/>
        <v>14</v>
      </c>
      <c r="K402">
        <v>14</v>
      </c>
      <c r="L402" s="5">
        <f t="shared" si="27"/>
        <v>30</v>
      </c>
      <c r="M402" s="2">
        <v>30</v>
      </c>
      <c r="N402" s="2">
        <f>IF(O402&gt;=90%,5,IF(O402&gt;=80%,4,IF(O402&gt;=70%,3,IF(O402&gt;=60%,2,1))))</f>
        <v>3</v>
      </c>
      <c r="O402" s="3">
        <v>0.78</v>
      </c>
      <c r="P402" t="s">
        <v>46</v>
      </c>
      <c r="Q402" t="s">
        <v>33</v>
      </c>
      <c r="R402">
        <v>7</v>
      </c>
      <c r="S402">
        <v>10</v>
      </c>
    </row>
    <row r="403" spans="1:19" x14ac:dyDescent="0.3">
      <c r="A403" t="s">
        <v>884</v>
      </c>
      <c r="B403" t="s">
        <v>885</v>
      </c>
      <c r="C403" t="str">
        <f t="shared" si="24"/>
        <v>Male</v>
      </c>
      <c r="D403" t="s">
        <v>90</v>
      </c>
      <c r="E403">
        <f t="shared" si="25"/>
        <v>41</v>
      </c>
      <c r="G403" t="s">
        <v>147</v>
      </c>
      <c r="H403" t="s">
        <v>148</v>
      </c>
      <c r="I403" t="s">
        <v>37</v>
      </c>
      <c r="J403">
        <f t="shared" si="26"/>
        <v>10</v>
      </c>
      <c r="K403">
        <v>10</v>
      </c>
      <c r="L403" s="5">
        <f t="shared" si="27"/>
        <v>20</v>
      </c>
      <c r="M403" s="2">
        <v>20</v>
      </c>
      <c r="N403" s="2">
        <f>IF(O403&gt;=90%,5,IF(O403&gt;=80%,4,IF(O403&gt;=70%,3,IF(O403&gt;=60%,2,1))))</f>
        <v>4</v>
      </c>
      <c r="O403" s="3">
        <v>0.85</v>
      </c>
      <c r="P403" t="s">
        <v>69</v>
      </c>
      <c r="Q403" t="s">
        <v>20</v>
      </c>
      <c r="R403">
        <v>6</v>
      </c>
      <c r="S403">
        <v>4</v>
      </c>
    </row>
    <row r="404" spans="1:19" x14ac:dyDescent="0.3">
      <c r="A404" t="s">
        <v>886</v>
      </c>
      <c r="B404" t="s">
        <v>887</v>
      </c>
      <c r="C404" t="str">
        <f t="shared" si="24"/>
        <v>Female</v>
      </c>
      <c r="D404" t="s">
        <v>23</v>
      </c>
      <c r="E404">
        <f t="shared" si="25"/>
        <v>51</v>
      </c>
      <c r="F404">
        <v>51</v>
      </c>
      <c r="G404" t="s">
        <v>42</v>
      </c>
      <c r="H404" t="s">
        <v>43</v>
      </c>
      <c r="I404" t="s">
        <v>78</v>
      </c>
      <c r="J404">
        <f t="shared" si="26"/>
        <v>27</v>
      </c>
      <c r="K404">
        <v>27</v>
      </c>
      <c r="L404" s="5" t="str">
        <f t="shared" si="27"/>
        <v>$50</v>
      </c>
      <c r="M404" s="2" t="s">
        <v>64</v>
      </c>
      <c r="N404" s="2">
        <f>IF(O404&gt;=90%,5,IF(O404&gt;=80%,4,IF(O404&gt;=70%,3,IF(O404&gt;=60%,2,1))))</f>
        <v>3</v>
      </c>
      <c r="O404" s="3">
        <v>0.78</v>
      </c>
      <c r="P404" t="s">
        <v>46</v>
      </c>
      <c r="Q404" t="s">
        <v>33</v>
      </c>
      <c r="R404">
        <v>14</v>
      </c>
      <c r="S404">
        <v>11</v>
      </c>
    </row>
    <row r="405" spans="1:19" x14ac:dyDescent="0.3">
      <c r="A405" t="s">
        <v>888</v>
      </c>
      <c r="B405" t="s">
        <v>889</v>
      </c>
      <c r="C405" t="str">
        <f t="shared" si="24"/>
        <v>Male</v>
      </c>
      <c r="D405" t="s">
        <v>30</v>
      </c>
      <c r="E405">
        <f t="shared" si="25"/>
        <v>21</v>
      </c>
      <c r="F405">
        <v>21</v>
      </c>
      <c r="G405" t="s">
        <v>131</v>
      </c>
      <c r="H405" t="s">
        <v>132</v>
      </c>
      <c r="I405" t="s">
        <v>44</v>
      </c>
      <c r="J405">
        <f t="shared" si="26"/>
        <v>2</v>
      </c>
      <c r="K405">
        <v>2</v>
      </c>
      <c r="L405" s="5" t="str">
        <f t="shared" si="27"/>
        <v>$30</v>
      </c>
      <c r="M405" s="2" t="s">
        <v>45</v>
      </c>
      <c r="N405" s="2">
        <f>IF(O405&gt;=90%,5,IF(O405&gt;=80%,4,IF(O405&gt;=70%,3,IF(O405&gt;=60%,2,1))))</f>
        <v>5</v>
      </c>
      <c r="O405" s="3">
        <v>0.98</v>
      </c>
      <c r="P405" t="s">
        <v>65</v>
      </c>
      <c r="Q405" t="s">
        <v>58</v>
      </c>
      <c r="R405">
        <v>2</v>
      </c>
      <c r="S405">
        <v>1</v>
      </c>
    </row>
    <row r="406" spans="1:19" x14ac:dyDescent="0.3">
      <c r="A406" t="s">
        <v>890</v>
      </c>
      <c r="B406" t="s">
        <v>891</v>
      </c>
      <c r="C406" t="str">
        <f t="shared" si="24"/>
        <v>Male</v>
      </c>
      <c r="D406" t="s">
        <v>61</v>
      </c>
      <c r="E406">
        <f t="shared" si="25"/>
        <v>51</v>
      </c>
      <c r="F406">
        <v>51</v>
      </c>
      <c r="G406" t="s">
        <v>83</v>
      </c>
      <c r="H406" t="s">
        <v>84</v>
      </c>
      <c r="I406" t="s">
        <v>44</v>
      </c>
      <c r="J406">
        <f t="shared" si="26"/>
        <v>33</v>
      </c>
      <c r="K406">
        <v>33</v>
      </c>
      <c r="L406" s="5" t="str">
        <f t="shared" si="27"/>
        <v>$40</v>
      </c>
      <c r="M406" s="2" t="s">
        <v>38</v>
      </c>
      <c r="N406" s="2">
        <f>IF(O406&gt;=90%,5,IF(O406&gt;=80%,4,IF(O406&gt;=70%,3,IF(O406&gt;=60%,2,1))))</f>
        <v>2</v>
      </c>
      <c r="O406" s="3">
        <v>0.63</v>
      </c>
      <c r="P406" t="s">
        <v>46</v>
      </c>
      <c r="Q406" t="s">
        <v>27</v>
      </c>
      <c r="R406">
        <v>16</v>
      </c>
      <c r="S406">
        <v>14</v>
      </c>
    </row>
    <row r="407" spans="1:19" x14ac:dyDescent="0.3">
      <c r="A407" t="s">
        <v>892</v>
      </c>
      <c r="B407" t="s">
        <v>893</v>
      </c>
      <c r="C407" t="str">
        <f t="shared" si="24"/>
        <v>Female</v>
      </c>
      <c r="D407" t="s">
        <v>39</v>
      </c>
      <c r="E407">
        <f t="shared" si="25"/>
        <v>37</v>
      </c>
      <c r="F407">
        <v>37</v>
      </c>
      <c r="G407" t="s">
        <v>50</v>
      </c>
      <c r="H407" t="s">
        <v>51</v>
      </c>
      <c r="I407" t="s">
        <v>32</v>
      </c>
      <c r="J407">
        <f t="shared" si="26"/>
        <v>11</v>
      </c>
      <c r="K407">
        <v>11</v>
      </c>
      <c r="L407" s="5" t="str">
        <f t="shared" si="27"/>
        <v>$40</v>
      </c>
      <c r="M407" s="2" t="s">
        <v>38</v>
      </c>
      <c r="N407" s="2">
        <f>IF(O407&gt;=90%,5,IF(O407&gt;=80%,4,IF(O407&gt;=70%,3,IF(O407&gt;=60%,2,1))))</f>
        <v>3</v>
      </c>
      <c r="O407" s="3">
        <v>0.73</v>
      </c>
      <c r="P407" t="s">
        <v>65</v>
      </c>
      <c r="Q407" t="s">
        <v>27</v>
      </c>
      <c r="R407">
        <v>14</v>
      </c>
      <c r="S407">
        <v>7</v>
      </c>
    </row>
    <row r="408" spans="1:19" x14ac:dyDescent="0.3">
      <c r="A408" t="s">
        <v>894</v>
      </c>
      <c r="B408" t="s">
        <v>895</v>
      </c>
      <c r="C408" t="str">
        <f t="shared" si="24"/>
        <v>Female</v>
      </c>
      <c r="D408" t="s">
        <v>15</v>
      </c>
      <c r="E408">
        <f t="shared" si="25"/>
        <v>20</v>
      </c>
      <c r="F408">
        <v>20</v>
      </c>
      <c r="G408" t="s">
        <v>183</v>
      </c>
      <c r="H408" t="s">
        <v>73</v>
      </c>
      <c r="I408" t="s">
        <v>32</v>
      </c>
      <c r="J408">
        <f t="shared" si="26"/>
        <v>2</v>
      </c>
      <c r="K408">
        <v>2</v>
      </c>
      <c r="L408" s="5">
        <f t="shared" si="27"/>
        <v>30</v>
      </c>
      <c r="M408" s="2">
        <v>30</v>
      </c>
      <c r="N408" s="2">
        <f>IF(O408&gt;=90%,5,IF(O408&gt;=80%,4,IF(O408&gt;=70%,3,IF(O408&gt;=60%,2,1))))</f>
        <v>5</v>
      </c>
      <c r="O408" s="3">
        <v>0.94</v>
      </c>
      <c r="P408" t="s">
        <v>19</v>
      </c>
      <c r="Q408" t="s">
        <v>58</v>
      </c>
      <c r="R408">
        <v>2</v>
      </c>
      <c r="S408">
        <v>4</v>
      </c>
    </row>
    <row r="409" spans="1:19" x14ac:dyDescent="0.3">
      <c r="A409" t="s">
        <v>896</v>
      </c>
      <c r="B409" t="s">
        <v>897</v>
      </c>
      <c r="C409" t="str">
        <f t="shared" si="24"/>
        <v>Female</v>
      </c>
      <c r="D409" t="s">
        <v>77</v>
      </c>
      <c r="E409">
        <f t="shared" si="25"/>
        <v>50</v>
      </c>
      <c r="F409">
        <v>50</v>
      </c>
      <c r="G409" t="s">
        <v>24</v>
      </c>
      <c r="H409" t="s">
        <v>25</v>
      </c>
      <c r="I409" t="s">
        <v>37</v>
      </c>
      <c r="J409">
        <f t="shared" si="26"/>
        <v>31</v>
      </c>
      <c r="K409">
        <v>31</v>
      </c>
      <c r="L409" s="5" t="str">
        <f t="shared" si="27"/>
        <v>$50</v>
      </c>
      <c r="M409" s="2" t="s">
        <v>64</v>
      </c>
      <c r="N409" s="2">
        <f>IF(O409&gt;=90%,5,IF(O409&gt;=80%,4,IF(O409&gt;=70%,3,IF(O409&gt;=60%,2,1))))</f>
        <v>4</v>
      </c>
      <c r="O409" s="3">
        <v>0.81</v>
      </c>
      <c r="P409" t="s">
        <v>69</v>
      </c>
      <c r="Q409" t="s">
        <v>58</v>
      </c>
      <c r="R409">
        <v>11</v>
      </c>
      <c r="S409">
        <v>3</v>
      </c>
    </row>
    <row r="410" spans="1:19" x14ac:dyDescent="0.3">
      <c r="A410" t="s">
        <v>898</v>
      </c>
      <c r="B410" t="s">
        <v>899</v>
      </c>
      <c r="C410" t="str">
        <f t="shared" si="24"/>
        <v>Female</v>
      </c>
      <c r="D410" t="s">
        <v>23</v>
      </c>
      <c r="E410">
        <f t="shared" si="25"/>
        <v>58</v>
      </c>
      <c r="F410">
        <v>58</v>
      </c>
      <c r="G410" t="s">
        <v>62</v>
      </c>
      <c r="H410" t="s">
        <v>63</v>
      </c>
      <c r="I410" t="s">
        <v>32</v>
      </c>
      <c r="J410">
        <f t="shared" si="26"/>
        <v>17</v>
      </c>
      <c r="K410">
        <v>17</v>
      </c>
      <c r="L410" s="5" t="str">
        <f t="shared" si="27"/>
        <v>$50</v>
      </c>
      <c r="M410" s="2" t="s">
        <v>64</v>
      </c>
      <c r="N410" s="2">
        <f>IF(O410&gt;=90%,5,IF(O410&gt;=80%,4,IF(O410&gt;=70%,3,IF(O410&gt;=60%,2,1))))</f>
        <v>2</v>
      </c>
      <c r="O410" s="3">
        <v>0.61</v>
      </c>
      <c r="P410" t="s">
        <v>19</v>
      </c>
      <c r="Q410" t="s">
        <v>27</v>
      </c>
      <c r="R410">
        <v>20</v>
      </c>
      <c r="S410">
        <v>1</v>
      </c>
    </row>
    <row r="411" spans="1:19" x14ac:dyDescent="0.3">
      <c r="A411" t="s">
        <v>900</v>
      </c>
      <c r="B411" t="s">
        <v>901</v>
      </c>
      <c r="C411" t="str">
        <f t="shared" si="24"/>
        <v>Female</v>
      </c>
      <c r="D411" t="s">
        <v>23</v>
      </c>
      <c r="E411">
        <f t="shared" si="25"/>
        <v>40</v>
      </c>
      <c r="F411">
        <v>40</v>
      </c>
      <c r="G411" t="s">
        <v>104</v>
      </c>
      <c r="H411" t="s">
        <v>105</v>
      </c>
      <c r="I411" t="s">
        <v>74</v>
      </c>
      <c r="J411">
        <f t="shared" si="26"/>
        <v>2</v>
      </c>
      <c r="K411">
        <v>2</v>
      </c>
      <c r="L411" s="5" t="str">
        <f t="shared" si="27"/>
        <v>$100</v>
      </c>
      <c r="M411" s="2" t="s">
        <v>222</v>
      </c>
      <c r="N411" s="2">
        <f>IF(O411&gt;=90%,5,IF(O411&gt;=80%,4,IF(O411&gt;=70%,3,IF(O411&gt;=60%,2,1))))</f>
        <v>1</v>
      </c>
      <c r="O411" s="3">
        <v>0.5</v>
      </c>
      <c r="P411" t="s">
        <v>19</v>
      </c>
      <c r="Q411" t="s">
        <v>33</v>
      </c>
      <c r="R411">
        <v>3</v>
      </c>
      <c r="S411">
        <v>5</v>
      </c>
    </row>
    <row r="412" spans="1:19" x14ac:dyDescent="0.3">
      <c r="A412" t="s">
        <v>902</v>
      </c>
      <c r="B412" t="s">
        <v>903</v>
      </c>
      <c r="C412" t="str">
        <f t="shared" si="24"/>
        <v>Female</v>
      </c>
      <c r="D412" t="s">
        <v>36</v>
      </c>
      <c r="E412">
        <f t="shared" si="25"/>
        <v>26</v>
      </c>
      <c r="F412">
        <v>26</v>
      </c>
      <c r="G412" t="s">
        <v>135</v>
      </c>
      <c r="H412" t="s">
        <v>136</v>
      </c>
      <c r="I412" t="s">
        <v>37</v>
      </c>
      <c r="J412">
        <f t="shared" si="26"/>
        <v>2</v>
      </c>
      <c r="K412">
        <v>2</v>
      </c>
      <c r="L412" s="5">
        <f t="shared" si="27"/>
        <v>20</v>
      </c>
      <c r="M412" s="2">
        <v>20</v>
      </c>
      <c r="N412" s="2">
        <f>IF(O412&gt;=90%,5,IF(O412&gt;=80%,4,IF(O412&gt;=70%,3,IF(O412&gt;=60%,2,1))))</f>
        <v>4</v>
      </c>
      <c r="O412" s="3">
        <v>0.83</v>
      </c>
      <c r="P412" t="s">
        <v>65</v>
      </c>
      <c r="Q412" t="s">
        <v>33</v>
      </c>
      <c r="R412">
        <v>1</v>
      </c>
      <c r="S412">
        <v>5</v>
      </c>
    </row>
    <row r="413" spans="1:19" x14ac:dyDescent="0.3">
      <c r="A413" t="s">
        <v>904</v>
      </c>
      <c r="B413" t="s">
        <v>905</v>
      </c>
      <c r="C413" t="str">
        <f t="shared" si="24"/>
        <v>Female</v>
      </c>
      <c r="D413" t="s">
        <v>23</v>
      </c>
      <c r="E413">
        <f t="shared" si="25"/>
        <v>44</v>
      </c>
      <c r="F413">
        <v>44</v>
      </c>
      <c r="G413" t="s">
        <v>108</v>
      </c>
      <c r="H413" t="s">
        <v>109</v>
      </c>
      <c r="I413" t="s">
        <v>78</v>
      </c>
      <c r="J413">
        <f t="shared" si="26"/>
        <v>22</v>
      </c>
      <c r="K413">
        <v>22</v>
      </c>
      <c r="L413" s="5">
        <f t="shared" si="27"/>
        <v>30</v>
      </c>
      <c r="M413" s="2">
        <v>30</v>
      </c>
      <c r="N413" s="2">
        <f>IF(O413&gt;=90%,5,IF(O413&gt;=80%,4,IF(O413&gt;=70%,3,IF(O413&gt;=60%,2,1))))</f>
        <v>1</v>
      </c>
      <c r="O413" s="3">
        <v>0.5</v>
      </c>
      <c r="P413" t="s">
        <v>19</v>
      </c>
      <c r="Q413" t="s">
        <v>58</v>
      </c>
      <c r="R413">
        <v>15</v>
      </c>
      <c r="S413">
        <v>5</v>
      </c>
    </row>
    <row r="414" spans="1:19" x14ac:dyDescent="0.3">
      <c r="A414" t="s">
        <v>906</v>
      </c>
      <c r="B414" t="s">
        <v>907</v>
      </c>
      <c r="C414" t="str">
        <f t="shared" si="24"/>
        <v>Male</v>
      </c>
      <c r="D414" t="s">
        <v>30</v>
      </c>
      <c r="E414">
        <f t="shared" si="25"/>
        <v>42</v>
      </c>
      <c r="F414">
        <v>42</v>
      </c>
      <c r="G414" t="s">
        <v>172</v>
      </c>
      <c r="H414" t="s">
        <v>73</v>
      </c>
      <c r="I414" t="s">
        <v>110</v>
      </c>
      <c r="J414">
        <f t="shared" si="26"/>
        <v>8</v>
      </c>
      <c r="K414">
        <v>8</v>
      </c>
      <c r="L414" s="5" t="str">
        <f t="shared" si="27"/>
        <v>$50</v>
      </c>
      <c r="M414" s="2" t="s">
        <v>64</v>
      </c>
      <c r="N414" s="2">
        <f>IF(O414&gt;=90%,5,IF(O414&gt;=80%,4,IF(O414&gt;=70%,3,IF(O414&gt;=60%,2,1))))</f>
        <v>2</v>
      </c>
      <c r="O414" s="3">
        <v>0.68</v>
      </c>
      <c r="P414" t="s">
        <v>65</v>
      </c>
      <c r="Q414" t="s">
        <v>33</v>
      </c>
      <c r="R414">
        <v>7</v>
      </c>
      <c r="S414">
        <v>11</v>
      </c>
    </row>
    <row r="415" spans="1:19" x14ac:dyDescent="0.3">
      <c r="A415" t="s">
        <v>908</v>
      </c>
      <c r="B415" t="s">
        <v>328</v>
      </c>
      <c r="C415" t="str">
        <f t="shared" si="24"/>
        <v>Male</v>
      </c>
      <c r="D415" t="s">
        <v>90</v>
      </c>
      <c r="E415">
        <f t="shared" si="25"/>
        <v>38</v>
      </c>
      <c r="F415">
        <v>38</v>
      </c>
      <c r="G415" t="s">
        <v>172</v>
      </c>
      <c r="H415" t="s">
        <v>73</v>
      </c>
      <c r="I415" t="s">
        <v>52</v>
      </c>
      <c r="J415">
        <f t="shared" si="26"/>
        <v>9</v>
      </c>
      <c r="K415">
        <v>9</v>
      </c>
      <c r="L415" s="5" t="str">
        <f t="shared" si="27"/>
        <v>$50</v>
      </c>
      <c r="M415" s="2" t="s">
        <v>64</v>
      </c>
      <c r="N415" s="2">
        <f>IF(O415&gt;=90%,5,IF(O415&gt;=80%,4,IF(O415&gt;=70%,3,IF(O415&gt;=60%,2,1))))</f>
        <v>3</v>
      </c>
      <c r="O415" s="3">
        <v>0.74</v>
      </c>
      <c r="P415" t="s">
        <v>46</v>
      </c>
      <c r="Q415" t="s">
        <v>27</v>
      </c>
      <c r="R415">
        <v>9</v>
      </c>
      <c r="S415">
        <v>9</v>
      </c>
    </row>
    <row r="416" spans="1:19" x14ac:dyDescent="0.3">
      <c r="A416" t="s">
        <v>909</v>
      </c>
      <c r="B416" t="s">
        <v>910</v>
      </c>
      <c r="C416" t="str">
        <f t="shared" si="24"/>
        <v>Male</v>
      </c>
      <c r="D416" t="s">
        <v>30</v>
      </c>
      <c r="E416">
        <f t="shared" si="25"/>
        <v>51</v>
      </c>
      <c r="F416">
        <v>51</v>
      </c>
      <c r="G416" t="s">
        <v>135</v>
      </c>
      <c r="H416" t="s">
        <v>136</v>
      </c>
      <c r="I416" t="s">
        <v>37</v>
      </c>
      <c r="J416">
        <f t="shared" si="26"/>
        <v>32</v>
      </c>
      <c r="K416">
        <v>32</v>
      </c>
      <c r="L416" s="5">
        <f t="shared" si="27"/>
        <v>100</v>
      </c>
      <c r="M416" s="2">
        <v>100</v>
      </c>
      <c r="N416" s="2">
        <f>IF(O416&gt;=90%,5,IF(O416&gt;=80%,4,IF(O416&gt;=70%,3,IF(O416&gt;=60%,2,1))))</f>
        <v>5</v>
      </c>
      <c r="O416" s="3">
        <v>0.91</v>
      </c>
      <c r="P416" t="s">
        <v>46</v>
      </c>
      <c r="Q416" t="s">
        <v>33</v>
      </c>
      <c r="R416">
        <v>14</v>
      </c>
      <c r="S416">
        <v>15</v>
      </c>
    </row>
    <row r="417" spans="1:19" x14ac:dyDescent="0.3">
      <c r="A417" t="s">
        <v>911</v>
      </c>
      <c r="B417" t="s">
        <v>912</v>
      </c>
      <c r="C417" t="str">
        <f t="shared" si="24"/>
        <v>Female</v>
      </c>
      <c r="D417" t="s">
        <v>39</v>
      </c>
      <c r="E417">
        <f t="shared" si="25"/>
        <v>36</v>
      </c>
      <c r="F417">
        <v>36</v>
      </c>
      <c r="G417" t="s">
        <v>131</v>
      </c>
      <c r="H417" t="s">
        <v>132</v>
      </c>
      <c r="I417" t="s">
        <v>44</v>
      </c>
      <c r="J417">
        <f t="shared" si="26"/>
        <v>8</v>
      </c>
      <c r="K417">
        <v>8</v>
      </c>
      <c r="L417" s="5" t="str">
        <f t="shared" si="27"/>
        <v>$100</v>
      </c>
      <c r="M417" s="2" t="s">
        <v>222</v>
      </c>
      <c r="N417" s="2">
        <f>IF(O417&gt;=90%,5,IF(O417&gt;=80%,4,IF(O417&gt;=70%,3,IF(O417&gt;=60%,2,1))))</f>
        <v>5</v>
      </c>
      <c r="O417" s="3">
        <v>0.97</v>
      </c>
      <c r="P417" t="s">
        <v>65</v>
      </c>
      <c r="Q417" t="s">
        <v>58</v>
      </c>
      <c r="R417">
        <v>10</v>
      </c>
      <c r="S417">
        <v>5</v>
      </c>
    </row>
    <row r="418" spans="1:19" x14ac:dyDescent="0.3">
      <c r="A418" t="s">
        <v>913</v>
      </c>
      <c r="B418" t="s">
        <v>914</v>
      </c>
      <c r="C418" t="str">
        <f t="shared" si="24"/>
        <v>Female</v>
      </c>
      <c r="D418" t="s">
        <v>23</v>
      </c>
      <c r="E418">
        <f t="shared" si="25"/>
        <v>37</v>
      </c>
      <c r="F418">
        <v>37</v>
      </c>
      <c r="G418" t="s">
        <v>24</v>
      </c>
      <c r="H418" t="s">
        <v>25</v>
      </c>
      <c r="I418" t="s">
        <v>26</v>
      </c>
      <c r="J418">
        <f t="shared" si="26"/>
        <v>10</v>
      </c>
      <c r="K418">
        <v>10</v>
      </c>
      <c r="L418" s="5">
        <f t="shared" si="27"/>
        <v>30</v>
      </c>
      <c r="M418" s="2">
        <v>30</v>
      </c>
      <c r="N418" s="2">
        <f>IF(O418&gt;=90%,5,IF(O418&gt;=80%,4,IF(O418&gt;=70%,3,IF(O418&gt;=60%,2,1))))</f>
        <v>5</v>
      </c>
      <c r="O418" s="3">
        <v>0.96</v>
      </c>
      <c r="P418" t="s">
        <v>46</v>
      </c>
      <c r="Q418" t="s">
        <v>27</v>
      </c>
      <c r="R418">
        <v>15</v>
      </c>
      <c r="S418">
        <v>12</v>
      </c>
    </row>
    <row r="419" spans="1:19" x14ac:dyDescent="0.3">
      <c r="A419" t="s">
        <v>915</v>
      </c>
      <c r="B419" t="s">
        <v>916</v>
      </c>
      <c r="C419" t="str">
        <f t="shared" si="24"/>
        <v>Male</v>
      </c>
      <c r="D419" t="s">
        <v>30</v>
      </c>
      <c r="E419">
        <f t="shared" si="25"/>
        <v>31</v>
      </c>
      <c r="F419">
        <v>31</v>
      </c>
      <c r="G419" t="s">
        <v>147</v>
      </c>
      <c r="H419" t="s">
        <v>148</v>
      </c>
      <c r="I419" t="s">
        <v>87</v>
      </c>
      <c r="J419">
        <f t="shared" si="26"/>
        <v>0</v>
      </c>
      <c r="K419">
        <v>0</v>
      </c>
      <c r="L419" s="5">
        <f t="shared" si="27"/>
        <v>50</v>
      </c>
      <c r="M419" s="2">
        <v>50</v>
      </c>
      <c r="N419" s="2">
        <f>IF(O419&gt;=90%,5,IF(O419&gt;=80%,4,IF(O419&gt;=70%,3,IF(O419&gt;=60%,2,1))))</f>
        <v>3</v>
      </c>
      <c r="O419" s="3">
        <v>0.73</v>
      </c>
      <c r="P419" t="s">
        <v>69</v>
      </c>
      <c r="Q419" t="s">
        <v>33</v>
      </c>
      <c r="R419">
        <v>2</v>
      </c>
      <c r="S419">
        <v>1</v>
      </c>
    </row>
    <row r="420" spans="1:19" x14ac:dyDescent="0.3">
      <c r="A420" t="s">
        <v>917</v>
      </c>
      <c r="B420" t="s">
        <v>918</v>
      </c>
      <c r="C420" t="str">
        <f t="shared" si="24"/>
        <v>Female</v>
      </c>
      <c r="D420" t="s">
        <v>15</v>
      </c>
      <c r="E420">
        <f t="shared" si="25"/>
        <v>47</v>
      </c>
      <c r="F420">
        <v>47</v>
      </c>
      <c r="G420" t="s">
        <v>91</v>
      </c>
      <c r="H420" t="s">
        <v>92</v>
      </c>
      <c r="I420" t="s">
        <v>78</v>
      </c>
      <c r="J420">
        <f t="shared" si="26"/>
        <v>22</v>
      </c>
      <c r="K420">
        <v>22</v>
      </c>
      <c r="L420" s="5">
        <f t="shared" si="27"/>
        <v>57.112068965517238</v>
      </c>
      <c r="N420" s="2">
        <f>IF(O420&gt;=90%,5,IF(O420&gt;=80%,4,IF(O420&gt;=70%,3,IF(O420&gt;=60%,2,1))))</f>
        <v>3</v>
      </c>
      <c r="O420" s="3">
        <v>0.72</v>
      </c>
      <c r="P420" t="s">
        <v>19</v>
      </c>
      <c r="Q420" t="s">
        <v>20</v>
      </c>
      <c r="R420">
        <v>19</v>
      </c>
      <c r="S420">
        <v>2</v>
      </c>
    </row>
    <row r="421" spans="1:19" x14ac:dyDescent="0.3">
      <c r="A421" t="s">
        <v>919</v>
      </c>
      <c r="B421" t="s">
        <v>920</v>
      </c>
      <c r="C421" t="str">
        <f t="shared" si="24"/>
        <v>Female</v>
      </c>
      <c r="D421" t="s">
        <v>39</v>
      </c>
      <c r="E421">
        <f t="shared" si="25"/>
        <v>60</v>
      </c>
      <c r="F421">
        <v>60</v>
      </c>
      <c r="G421" t="s">
        <v>172</v>
      </c>
      <c r="H421" t="s">
        <v>73</v>
      </c>
      <c r="I421" t="s">
        <v>74</v>
      </c>
      <c r="J421">
        <f t="shared" si="26"/>
        <v>34</v>
      </c>
      <c r="K421">
        <v>34</v>
      </c>
      <c r="L421" s="5" t="str">
        <f t="shared" si="27"/>
        <v>$100</v>
      </c>
      <c r="M421" s="2" t="s">
        <v>222</v>
      </c>
      <c r="N421" s="2">
        <f>IF(O421&gt;=90%,5,IF(O421&gt;=80%,4,IF(O421&gt;=70%,3,IF(O421&gt;=60%,2,1))))</f>
        <v>3</v>
      </c>
      <c r="O421" s="3">
        <v>0.74</v>
      </c>
      <c r="P421" t="s">
        <v>69</v>
      </c>
      <c r="Q421" t="s">
        <v>27</v>
      </c>
      <c r="R421">
        <v>19</v>
      </c>
      <c r="S421">
        <v>14</v>
      </c>
    </row>
    <row r="422" spans="1:19" x14ac:dyDescent="0.3">
      <c r="A422" t="s">
        <v>921</v>
      </c>
      <c r="B422" t="s">
        <v>922</v>
      </c>
      <c r="C422" t="str">
        <f t="shared" si="24"/>
        <v>Female</v>
      </c>
      <c r="D422" t="s">
        <v>23</v>
      </c>
      <c r="E422">
        <f t="shared" si="25"/>
        <v>48</v>
      </c>
      <c r="F422">
        <v>48</v>
      </c>
      <c r="G422" t="s">
        <v>72</v>
      </c>
      <c r="H422" t="s">
        <v>73</v>
      </c>
      <c r="I422" t="s">
        <v>26</v>
      </c>
      <c r="J422">
        <f t="shared" si="26"/>
        <v>5</v>
      </c>
      <c r="K422">
        <v>5</v>
      </c>
      <c r="L422" s="5">
        <f t="shared" si="27"/>
        <v>30</v>
      </c>
      <c r="M422" s="2">
        <v>30</v>
      </c>
      <c r="N422" s="2">
        <f>IF(O422&gt;=90%,5,IF(O422&gt;=80%,4,IF(O422&gt;=70%,3,IF(O422&gt;=60%,2,1))))</f>
        <v>1</v>
      </c>
      <c r="O422" s="3">
        <v>0.5</v>
      </c>
      <c r="P422" t="s">
        <v>19</v>
      </c>
      <c r="Q422" t="s">
        <v>27</v>
      </c>
      <c r="R422">
        <v>4</v>
      </c>
      <c r="S422">
        <v>2</v>
      </c>
    </row>
    <row r="423" spans="1:19" x14ac:dyDescent="0.3">
      <c r="A423" t="s">
        <v>923</v>
      </c>
      <c r="B423" t="s">
        <v>924</v>
      </c>
      <c r="C423" t="str">
        <f t="shared" si="24"/>
        <v>Female</v>
      </c>
      <c r="D423" t="s">
        <v>36</v>
      </c>
      <c r="E423">
        <f t="shared" si="25"/>
        <v>24</v>
      </c>
      <c r="F423">
        <v>24</v>
      </c>
      <c r="G423" t="s">
        <v>91</v>
      </c>
      <c r="H423" t="s">
        <v>92</v>
      </c>
      <c r="I423" t="s">
        <v>44</v>
      </c>
      <c r="J423">
        <f t="shared" si="26"/>
        <v>3</v>
      </c>
      <c r="K423">
        <v>3</v>
      </c>
      <c r="L423" s="5">
        <f t="shared" si="27"/>
        <v>20</v>
      </c>
      <c r="M423" s="2">
        <v>20</v>
      </c>
      <c r="N423" s="2">
        <f>IF(O423&gt;=90%,5,IF(O423&gt;=80%,4,IF(O423&gt;=70%,3,IF(O423&gt;=60%,2,1))))</f>
        <v>1</v>
      </c>
      <c r="O423" s="3">
        <v>0.5</v>
      </c>
      <c r="P423" t="s">
        <v>46</v>
      </c>
      <c r="Q423" t="s">
        <v>20</v>
      </c>
      <c r="R423">
        <v>2</v>
      </c>
      <c r="S423">
        <v>1</v>
      </c>
    </row>
    <row r="424" spans="1:19" x14ac:dyDescent="0.3">
      <c r="A424" t="s">
        <v>925</v>
      </c>
      <c r="B424" t="s">
        <v>926</v>
      </c>
      <c r="C424" t="str">
        <f t="shared" si="24"/>
        <v>Female</v>
      </c>
      <c r="D424" t="s">
        <v>23</v>
      </c>
      <c r="E424">
        <f t="shared" si="25"/>
        <v>35</v>
      </c>
      <c r="F424">
        <v>35</v>
      </c>
      <c r="G424" t="s">
        <v>42</v>
      </c>
      <c r="H424" t="s">
        <v>43</v>
      </c>
      <c r="I424" t="s">
        <v>110</v>
      </c>
      <c r="J424">
        <f t="shared" si="26"/>
        <v>10</v>
      </c>
      <c r="K424">
        <v>10</v>
      </c>
      <c r="L424" s="5">
        <f t="shared" si="27"/>
        <v>75</v>
      </c>
      <c r="M424" s="2">
        <v>75</v>
      </c>
      <c r="N424" s="2">
        <f>IF(O424&gt;=90%,5,IF(O424&gt;=80%,4,IF(O424&gt;=70%,3,IF(O424&gt;=60%,2,1))))</f>
        <v>3</v>
      </c>
      <c r="O424" s="3">
        <v>0.74</v>
      </c>
      <c r="P424" t="s">
        <v>69</v>
      </c>
      <c r="Q424" t="s">
        <v>20</v>
      </c>
      <c r="R424">
        <v>8</v>
      </c>
      <c r="S424">
        <v>9</v>
      </c>
    </row>
    <row r="425" spans="1:19" x14ac:dyDescent="0.3">
      <c r="A425" t="s">
        <v>927</v>
      </c>
      <c r="B425" t="s">
        <v>928</v>
      </c>
      <c r="C425" t="str">
        <f t="shared" si="24"/>
        <v>Male</v>
      </c>
      <c r="D425" t="s">
        <v>61</v>
      </c>
      <c r="E425">
        <f t="shared" si="25"/>
        <v>35</v>
      </c>
      <c r="F425">
        <v>35</v>
      </c>
      <c r="G425" t="s">
        <v>57</v>
      </c>
      <c r="H425" t="s">
        <v>25</v>
      </c>
      <c r="I425" t="s">
        <v>87</v>
      </c>
      <c r="J425" s="4">
        <f t="shared" si="26"/>
        <v>11.191780821917808</v>
      </c>
      <c r="L425" s="5">
        <f t="shared" si="27"/>
        <v>100</v>
      </c>
      <c r="M425" s="2">
        <v>100</v>
      </c>
      <c r="N425" s="2">
        <f>IF(O425&gt;=90%,5,IF(O425&gt;=80%,4,IF(O425&gt;=70%,3,IF(O425&gt;=60%,2,1))))</f>
        <v>3</v>
      </c>
      <c r="O425" s="3">
        <v>0.71</v>
      </c>
      <c r="P425" t="s">
        <v>46</v>
      </c>
      <c r="Q425" t="s">
        <v>27</v>
      </c>
      <c r="R425">
        <v>2</v>
      </c>
      <c r="S425">
        <v>1</v>
      </c>
    </row>
    <row r="426" spans="1:19" x14ac:dyDescent="0.3">
      <c r="A426" t="s">
        <v>929</v>
      </c>
      <c r="B426" t="s">
        <v>930</v>
      </c>
      <c r="C426" t="str">
        <f t="shared" si="24"/>
        <v>Female</v>
      </c>
      <c r="D426" t="s">
        <v>77</v>
      </c>
      <c r="E426">
        <f t="shared" si="25"/>
        <v>29</v>
      </c>
      <c r="F426">
        <v>29</v>
      </c>
      <c r="G426" t="s">
        <v>42</v>
      </c>
      <c r="H426" t="s">
        <v>43</v>
      </c>
      <c r="I426" t="s">
        <v>74</v>
      </c>
      <c r="J426">
        <f t="shared" si="26"/>
        <v>6</v>
      </c>
      <c r="K426">
        <v>6</v>
      </c>
      <c r="L426" s="5">
        <f t="shared" si="27"/>
        <v>57.142857142857146</v>
      </c>
      <c r="N426" s="2">
        <f>IF(O426&gt;=90%,5,IF(O426&gt;=80%,4,IF(O426&gt;=70%,3,IF(O426&gt;=60%,2,1))))</f>
        <v>4</v>
      </c>
      <c r="O426" s="3">
        <v>0.83</v>
      </c>
      <c r="P426" t="s">
        <v>19</v>
      </c>
      <c r="Q426" t="s">
        <v>20</v>
      </c>
      <c r="R426">
        <v>14</v>
      </c>
      <c r="S426">
        <v>2</v>
      </c>
    </row>
    <row r="427" spans="1:19" x14ac:dyDescent="0.3">
      <c r="A427" t="s">
        <v>931</v>
      </c>
      <c r="B427" t="s">
        <v>932</v>
      </c>
      <c r="C427" t="str">
        <f t="shared" si="24"/>
        <v>Female</v>
      </c>
      <c r="D427" t="s">
        <v>77</v>
      </c>
      <c r="E427">
        <f t="shared" si="25"/>
        <v>36</v>
      </c>
      <c r="F427">
        <v>36</v>
      </c>
      <c r="G427" t="s">
        <v>16</v>
      </c>
      <c r="H427" t="s">
        <v>17</v>
      </c>
      <c r="I427" t="s">
        <v>110</v>
      </c>
      <c r="J427">
        <f t="shared" si="26"/>
        <v>1</v>
      </c>
      <c r="K427">
        <v>1</v>
      </c>
      <c r="L427" s="5" t="str">
        <f t="shared" si="27"/>
        <v>$75</v>
      </c>
      <c r="M427" s="2" t="s">
        <v>163</v>
      </c>
      <c r="N427" s="2">
        <f>IF(O427&gt;=90%,5,IF(O427&gt;=80%,4,IF(O427&gt;=70%,3,IF(O427&gt;=60%,2,1))))</f>
        <v>2</v>
      </c>
      <c r="O427" s="3">
        <v>0.63</v>
      </c>
      <c r="P427" t="s">
        <v>65</v>
      </c>
      <c r="Q427" t="s">
        <v>58</v>
      </c>
      <c r="R427">
        <v>4</v>
      </c>
      <c r="S427">
        <v>2</v>
      </c>
    </row>
    <row r="428" spans="1:19" x14ac:dyDescent="0.3">
      <c r="A428" t="s">
        <v>933</v>
      </c>
      <c r="B428" t="s">
        <v>934</v>
      </c>
      <c r="C428" t="str">
        <f t="shared" si="24"/>
        <v>Female</v>
      </c>
      <c r="D428" t="s">
        <v>23</v>
      </c>
      <c r="E428">
        <f t="shared" si="25"/>
        <v>44</v>
      </c>
      <c r="F428">
        <v>44</v>
      </c>
      <c r="G428" t="s">
        <v>124</v>
      </c>
      <c r="H428" t="s">
        <v>25</v>
      </c>
      <c r="I428" t="s">
        <v>44</v>
      </c>
      <c r="J428">
        <f t="shared" si="26"/>
        <v>0</v>
      </c>
      <c r="K428">
        <v>0</v>
      </c>
      <c r="L428" s="5">
        <f t="shared" si="27"/>
        <v>57.142857142857146</v>
      </c>
      <c r="N428" s="2">
        <f>IF(O428&gt;=90%,5,IF(O428&gt;=80%,4,IF(O428&gt;=70%,3,IF(O428&gt;=60%,2,1))))</f>
        <v>4</v>
      </c>
      <c r="O428" s="3">
        <v>0.84</v>
      </c>
      <c r="P428" t="s">
        <v>65</v>
      </c>
      <c r="Q428" t="s">
        <v>58</v>
      </c>
      <c r="R428">
        <v>4</v>
      </c>
      <c r="S428">
        <v>1</v>
      </c>
    </row>
    <row r="429" spans="1:19" x14ac:dyDescent="0.3">
      <c r="A429" t="s">
        <v>935</v>
      </c>
      <c r="B429" t="s">
        <v>936</v>
      </c>
      <c r="C429" t="str">
        <f t="shared" si="24"/>
        <v>Male</v>
      </c>
      <c r="D429" t="s">
        <v>61</v>
      </c>
      <c r="E429">
        <f t="shared" si="25"/>
        <v>44</v>
      </c>
      <c r="F429">
        <v>44</v>
      </c>
      <c r="G429" t="s">
        <v>147</v>
      </c>
      <c r="H429" t="s">
        <v>148</v>
      </c>
      <c r="I429" t="s">
        <v>37</v>
      </c>
      <c r="J429" s="4">
        <f t="shared" si="26"/>
        <v>12.357142857142858</v>
      </c>
      <c r="L429" s="5">
        <f t="shared" si="27"/>
        <v>57.142857142857146</v>
      </c>
      <c r="N429" s="2">
        <f>IF(O429&gt;=90%,5,IF(O429&gt;=80%,4,IF(O429&gt;=70%,3,IF(O429&gt;=60%,2,1))))</f>
        <v>5</v>
      </c>
      <c r="O429" s="3">
        <v>0.93</v>
      </c>
      <c r="P429" t="s">
        <v>69</v>
      </c>
      <c r="Q429" t="s">
        <v>58</v>
      </c>
      <c r="R429">
        <v>3</v>
      </c>
      <c r="S429">
        <v>1</v>
      </c>
    </row>
    <row r="430" spans="1:19" x14ac:dyDescent="0.3">
      <c r="A430" t="s">
        <v>937</v>
      </c>
      <c r="B430" t="s">
        <v>938</v>
      </c>
      <c r="C430" t="str">
        <f t="shared" si="24"/>
        <v>Male</v>
      </c>
      <c r="D430" t="s">
        <v>49</v>
      </c>
      <c r="E430">
        <f t="shared" si="25"/>
        <v>40</v>
      </c>
      <c r="F430">
        <v>40</v>
      </c>
      <c r="G430" t="s">
        <v>91</v>
      </c>
      <c r="H430" t="s">
        <v>92</v>
      </c>
      <c r="I430" t="s">
        <v>44</v>
      </c>
      <c r="J430">
        <f t="shared" si="26"/>
        <v>13</v>
      </c>
      <c r="K430">
        <v>13</v>
      </c>
      <c r="L430" s="5" t="str">
        <f t="shared" si="27"/>
        <v>$100</v>
      </c>
      <c r="M430" s="2" t="s">
        <v>222</v>
      </c>
      <c r="N430" s="2">
        <f>IF(O430&gt;=90%,5,IF(O430&gt;=80%,4,IF(O430&gt;=70%,3,IF(O430&gt;=60%,2,1))))</f>
        <v>1</v>
      </c>
      <c r="O430" s="3">
        <v>0.5</v>
      </c>
      <c r="P430" t="s">
        <v>46</v>
      </c>
      <c r="Q430" t="s">
        <v>27</v>
      </c>
      <c r="R430">
        <v>13</v>
      </c>
      <c r="S430">
        <v>9</v>
      </c>
    </row>
    <row r="431" spans="1:19" x14ac:dyDescent="0.3">
      <c r="A431" t="s">
        <v>939</v>
      </c>
      <c r="B431" t="s">
        <v>940</v>
      </c>
      <c r="C431" t="str">
        <f t="shared" si="24"/>
        <v>Female</v>
      </c>
      <c r="D431" t="s">
        <v>36</v>
      </c>
      <c r="E431">
        <f t="shared" si="25"/>
        <v>53</v>
      </c>
      <c r="F431">
        <v>53</v>
      </c>
      <c r="G431" t="s">
        <v>42</v>
      </c>
      <c r="H431" t="s">
        <v>43</v>
      </c>
      <c r="I431" t="s">
        <v>110</v>
      </c>
      <c r="J431">
        <f t="shared" si="26"/>
        <v>13</v>
      </c>
      <c r="K431">
        <v>13</v>
      </c>
      <c r="L431" s="5" t="str">
        <f t="shared" si="27"/>
        <v>$50</v>
      </c>
      <c r="M431" s="2" t="s">
        <v>64</v>
      </c>
      <c r="N431" s="2">
        <f>IF(O431&gt;=90%,5,IF(O431&gt;=80%,4,IF(O431&gt;=70%,3,IF(O431&gt;=60%,2,1))))</f>
        <v>5</v>
      </c>
      <c r="O431" s="3">
        <v>0.93</v>
      </c>
      <c r="P431" t="s">
        <v>46</v>
      </c>
      <c r="Q431" t="s">
        <v>20</v>
      </c>
      <c r="R431">
        <v>10</v>
      </c>
      <c r="S431">
        <v>10</v>
      </c>
    </row>
    <row r="432" spans="1:19" x14ac:dyDescent="0.3">
      <c r="A432" t="s">
        <v>941</v>
      </c>
      <c r="B432" t="s">
        <v>942</v>
      </c>
      <c r="C432" t="str">
        <f t="shared" si="24"/>
        <v>Female</v>
      </c>
      <c r="D432" t="s">
        <v>15</v>
      </c>
      <c r="E432">
        <f t="shared" si="25"/>
        <v>35</v>
      </c>
      <c r="F432">
        <v>35</v>
      </c>
      <c r="G432" t="s">
        <v>31</v>
      </c>
      <c r="H432" t="s">
        <v>31</v>
      </c>
      <c r="I432" t="s">
        <v>18</v>
      </c>
      <c r="J432">
        <f t="shared" si="26"/>
        <v>0</v>
      </c>
      <c r="K432">
        <v>0</v>
      </c>
      <c r="L432" s="5" t="str">
        <f t="shared" si="27"/>
        <v>$30</v>
      </c>
      <c r="M432" s="2" t="s">
        <v>45</v>
      </c>
      <c r="N432" s="2">
        <f>IF(O432&gt;=90%,5,IF(O432&gt;=80%,4,IF(O432&gt;=70%,3,IF(O432&gt;=60%,2,1))))</f>
        <v>5</v>
      </c>
      <c r="O432" s="3">
        <v>0.97</v>
      </c>
      <c r="P432" t="s">
        <v>69</v>
      </c>
      <c r="Q432" t="s">
        <v>20</v>
      </c>
      <c r="R432">
        <v>1</v>
      </c>
      <c r="S432">
        <v>1</v>
      </c>
    </row>
    <row r="433" spans="1:19" x14ac:dyDescent="0.3">
      <c r="A433" t="s">
        <v>943</v>
      </c>
      <c r="B433" t="s">
        <v>944</v>
      </c>
      <c r="C433" t="str">
        <f t="shared" si="24"/>
        <v>Female</v>
      </c>
      <c r="D433" t="s">
        <v>23</v>
      </c>
      <c r="E433">
        <f t="shared" si="25"/>
        <v>27</v>
      </c>
      <c r="F433">
        <v>27</v>
      </c>
      <c r="G433" t="s">
        <v>72</v>
      </c>
      <c r="H433" t="s">
        <v>73</v>
      </c>
      <c r="I433" t="s">
        <v>110</v>
      </c>
      <c r="J433">
        <f t="shared" si="26"/>
        <v>7</v>
      </c>
      <c r="K433">
        <v>7</v>
      </c>
      <c r="L433" s="5" t="str">
        <f t="shared" si="27"/>
        <v>$75</v>
      </c>
      <c r="M433" s="2" t="s">
        <v>163</v>
      </c>
      <c r="N433" s="2">
        <f>IF(O433&gt;=90%,5,IF(O433&gt;=80%,4,IF(O433&gt;=70%,3,IF(O433&gt;=60%,2,1))))</f>
        <v>5</v>
      </c>
      <c r="O433" s="3">
        <v>0.92</v>
      </c>
      <c r="P433" t="s">
        <v>65</v>
      </c>
      <c r="Q433" t="s">
        <v>33</v>
      </c>
      <c r="R433">
        <v>7</v>
      </c>
      <c r="S433">
        <v>4</v>
      </c>
    </row>
    <row r="434" spans="1:19" x14ac:dyDescent="0.3">
      <c r="A434" t="s">
        <v>945</v>
      </c>
      <c r="B434" t="s">
        <v>946</v>
      </c>
      <c r="C434" t="str">
        <f t="shared" si="24"/>
        <v>Male</v>
      </c>
      <c r="D434" t="s">
        <v>61</v>
      </c>
      <c r="E434">
        <f t="shared" si="25"/>
        <v>34</v>
      </c>
      <c r="F434">
        <v>34</v>
      </c>
      <c r="G434" t="s">
        <v>24</v>
      </c>
      <c r="H434" t="s">
        <v>25</v>
      </c>
      <c r="I434" t="s">
        <v>87</v>
      </c>
      <c r="J434">
        <f t="shared" si="26"/>
        <v>6</v>
      </c>
      <c r="K434">
        <v>6</v>
      </c>
      <c r="L434" s="5">
        <f t="shared" si="27"/>
        <v>50</v>
      </c>
      <c r="M434" s="2">
        <v>50</v>
      </c>
      <c r="N434" s="2">
        <f>IF(O434&gt;=90%,5,IF(O434&gt;=80%,4,IF(O434&gt;=70%,3,IF(O434&gt;=60%,2,1))))</f>
        <v>5</v>
      </c>
      <c r="O434" s="3">
        <v>0.92</v>
      </c>
      <c r="P434" t="s">
        <v>19</v>
      </c>
      <c r="Q434" t="s">
        <v>33</v>
      </c>
      <c r="R434">
        <v>8</v>
      </c>
      <c r="S434">
        <v>3</v>
      </c>
    </row>
    <row r="435" spans="1:19" x14ac:dyDescent="0.3">
      <c r="A435" t="s">
        <v>947</v>
      </c>
      <c r="B435" t="s">
        <v>948</v>
      </c>
      <c r="C435" t="str">
        <f t="shared" si="24"/>
        <v>Male</v>
      </c>
      <c r="D435" t="s">
        <v>30</v>
      </c>
      <c r="E435">
        <f t="shared" si="25"/>
        <v>24</v>
      </c>
      <c r="F435">
        <v>24</v>
      </c>
      <c r="G435" t="s">
        <v>91</v>
      </c>
      <c r="H435" t="s">
        <v>92</v>
      </c>
      <c r="I435" t="s">
        <v>78</v>
      </c>
      <c r="J435">
        <f t="shared" si="26"/>
        <v>2</v>
      </c>
      <c r="K435">
        <v>2</v>
      </c>
      <c r="L435" s="5">
        <f t="shared" si="27"/>
        <v>75</v>
      </c>
      <c r="M435" s="2">
        <v>75</v>
      </c>
      <c r="N435" s="2">
        <f>IF(O435&gt;=90%,5,IF(O435&gt;=80%,4,IF(O435&gt;=70%,3,IF(O435&gt;=60%,2,1))))</f>
        <v>2</v>
      </c>
      <c r="O435" s="3">
        <v>0.68</v>
      </c>
      <c r="P435" t="s">
        <v>69</v>
      </c>
      <c r="Q435" t="s">
        <v>20</v>
      </c>
      <c r="R435">
        <v>1</v>
      </c>
      <c r="S435">
        <v>2</v>
      </c>
    </row>
    <row r="436" spans="1:19" x14ac:dyDescent="0.3">
      <c r="A436" t="s">
        <v>949</v>
      </c>
      <c r="B436" t="s">
        <v>950</v>
      </c>
      <c r="C436" t="str">
        <f t="shared" si="24"/>
        <v>Male</v>
      </c>
      <c r="D436" t="s">
        <v>30</v>
      </c>
      <c r="E436">
        <f t="shared" si="25"/>
        <v>57</v>
      </c>
      <c r="F436">
        <v>57</v>
      </c>
      <c r="G436" t="s">
        <v>57</v>
      </c>
      <c r="H436" t="s">
        <v>25</v>
      </c>
      <c r="I436" t="s">
        <v>74</v>
      </c>
      <c r="J436">
        <f t="shared" si="26"/>
        <v>13</v>
      </c>
      <c r="K436">
        <v>13</v>
      </c>
      <c r="L436" s="5">
        <f t="shared" si="27"/>
        <v>100</v>
      </c>
      <c r="M436" s="2">
        <v>100</v>
      </c>
      <c r="N436" s="2">
        <f>IF(O436&gt;=90%,5,IF(O436&gt;=80%,4,IF(O436&gt;=70%,3,IF(O436&gt;=60%,2,1))))</f>
        <v>5</v>
      </c>
      <c r="O436" s="3">
        <v>0.95</v>
      </c>
      <c r="P436" t="s">
        <v>19</v>
      </c>
      <c r="Q436" t="s">
        <v>20</v>
      </c>
      <c r="R436">
        <v>13</v>
      </c>
      <c r="S436">
        <v>3</v>
      </c>
    </row>
    <row r="437" spans="1:19" x14ac:dyDescent="0.3">
      <c r="A437" t="s">
        <v>951</v>
      </c>
      <c r="B437" t="s">
        <v>952</v>
      </c>
      <c r="C437" t="str">
        <f t="shared" si="24"/>
        <v>Male</v>
      </c>
      <c r="D437" t="s">
        <v>49</v>
      </c>
      <c r="E437">
        <f t="shared" si="25"/>
        <v>28</v>
      </c>
      <c r="F437">
        <v>28</v>
      </c>
      <c r="G437" t="s">
        <v>108</v>
      </c>
      <c r="H437" t="s">
        <v>109</v>
      </c>
      <c r="I437" t="s">
        <v>74</v>
      </c>
      <c r="J437">
        <f t="shared" si="26"/>
        <v>7</v>
      </c>
      <c r="K437">
        <v>7</v>
      </c>
      <c r="L437" s="5" t="str">
        <f t="shared" si="27"/>
        <v>$100</v>
      </c>
      <c r="M437" s="2" t="s">
        <v>222</v>
      </c>
      <c r="N437" s="2">
        <f>IF(O437&gt;=90%,5,IF(O437&gt;=80%,4,IF(O437&gt;=70%,3,IF(O437&gt;=60%,2,1))))</f>
        <v>3</v>
      </c>
      <c r="O437" s="3">
        <v>0.76</v>
      </c>
      <c r="P437" t="s">
        <v>65</v>
      </c>
      <c r="Q437" t="s">
        <v>20</v>
      </c>
      <c r="R437">
        <v>7</v>
      </c>
      <c r="S437">
        <v>12</v>
      </c>
    </row>
    <row r="438" spans="1:19" x14ac:dyDescent="0.3">
      <c r="A438" t="s">
        <v>953</v>
      </c>
      <c r="B438" t="s">
        <v>954</v>
      </c>
      <c r="C438" t="str">
        <f t="shared" si="24"/>
        <v>Female</v>
      </c>
      <c r="D438" t="s">
        <v>36</v>
      </c>
      <c r="E438">
        <f t="shared" si="25"/>
        <v>26</v>
      </c>
      <c r="F438">
        <v>26</v>
      </c>
      <c r="G438" t="s">
        <v>16</v>
      </c>
      <c r="H438" t="s">
        <v>17</v>
      </c>
      <c r="I438" t="s">
        <v>87</v>
      </c>
      <c r="J438">
        <f t="shared" si="26"/>
        <v>7</v>
      </c>
      <c r="K438">
        <v>7</v>
      </c>
      <c r="L438" s="5" t="str">
        <f t="shared" si="27"/>
        <v>$100</v>
      </c>
      <c r="M438" s="2" t="s">
        <v>222</v>
      </c>
      <c r="N438" s="2">
        <f>IF(O438&gt;=90%,5,IF(O438&gt;=80%,4,IF(O438&gt;=70%,3,IF(O438&gt;=60%,2,1))))</f>
        <v>2</v>
      </c>
      <c r="O438" s="3">
        <v>0.66</v>
      </c>
      <c r="P438" t="s">
        <v>46</v>
      </c>
      <c r="Q438" t="s">
        <v>27</v>
      </c>
      <c r="R438">
        <v>14</v>
      </c>
      <c r="S438">
        <v>9</v>
      </c>
    </row>
    <row r="439" spans="1:19" x14ac:dyDescent="0.3">
      <c r="A439" t="s">
        <v>955</v>
      </c>
      <c r="B439" t="s">
        <v>956</v>
      </c>
      <c r="C439" t="str">
        <f t="shared" si="24"/>
        <v>Male</v>
      </c>
      <c r="D439" t="s">
        <v>95</v>
      </c>
      <c r="E439">
        <f t="shared" si="25"/>
        <v>34</v>
      </c>
      <c r="F439">
        <v>34</v>
      </c>
      <c r="G439" t="s">
        <v>72</v>
      </c>
      <c r="H439" t="s">
        <v>73</v>
      </c>
      <c r="I439" t="s">
        <v>26</v>
      </c>
      <c r="J439">
        <f t="shared" si="26"/>
        <v>15</v>
      </c>
      <c r="K439">
        <v>15</v>
      </c>
      <c r="L439" s="5">
        <f t="shared" si="27"/>
        <v>75</v>
      </c>
      <c r="M439" s="2">
        <v>75</v>
      </c>
      <c r="N439" s="2">
        <f>IF(O439&gt;=90%,5,IF(O439&gt;=80%,4,IF(O439&gt;=70%,3,IF(O439&gt;=60%,2,1))))</f>
        <v>3</v>
      </c>
      <c r="O439" s="3">
        <v>0.73</v>
      </c>
      <c r="P439" t="s">
        <v>65</v>
      </c>
      <c r="Q439" t="s">
        <v>20</v>
      </c>
      <c r="R439">
        <v>14</v>
      </c>
      <c r="S439">
        <v>8</v>
      </c>
    </row>
    <row r="440" spans="1:19" x14ac:dyDescent="0.3">
      <c r="A440" t="s">
        <v>957</v>
      </c>
      <c r="B440" t="s">
        <v>958</v>
      </c>
      <c r="C440" t="str">
        <f t="shared" si="24"/>
        <v>Male</v>
      </c>
      <c r="D440" t="s">
        <v>95</v>
      </c>
      <c r="E440">
        <f t="shared" si="25"/>
        <v>43</v>
      </c>
      <c r="F440">
        <v>43</v>
      </c>
      <c r="G440" t="s">
        <v>83</v>
      </c>
      <c r="H440" t="s">
        <v>84</v>
      </c>
      <c r="I440" t="s">
        <v>44</v>
      </c>
      <c r="J440">
        <f t="shared" si="26"/>
        <v>10</v>
      </c>
      <c r="L440" s="5" t="str">
        <f t="shared" si="27"/>
        <v>$20</v>
      </c>
      <c r="M440" s="2" t="s">
        <v>117</v>
      </c>
      <c r="N440" s="2">
        <f>IF(O440&gt;=90%,5,IF(O440&gt;=80%,4,IF(O440&gt;=70%,3,IF(O440&gt;=60%,2,1))))</f>
        <v>5</v>
      </c>
      <c r="O440" s="3">
        <v>0.99</v>
      </c>
      <c r="P440" t="s">
        <v>69</v>
      </c>
      <c r="Q440" t="s">
        <v>33</v>
      </c>
      <c r="R440">
        <v>4</v>
      </c>
      <c r="S440">
        <v>1</v>
      </c>
    </row>
    <row r="441" spans="1:19" x14ac:dyDescent="0.3">
      <c r="A441" t="s">
        <v>959</v>
      </c>
      <c r="B441" t="s">
        <v>960</v>
      </c>
      <c r="C441" t="str">
        <f t="shared" si="24"/>
        <v>Male</v>
      </c>
      <c r="D441" t="s">
        <v>90</v>
      </c>
      <c r="E441">
        <f t="shared" si="25"/>
        <v>31</v>
      </c>
      <c r="F441">
        <v>31</v>
      </c>
      <c r="G441" t="s">
        <v>168</v>
      </c>
      <c r="H441" t="s">
        <v>169</v>
      </c>
      <c r="I441" t="s">
        <v>32</v>
      </c>
      <c r="J441">
        <f t="shared" si="26"/>
        <v>5</v>
      </c>
      <c r="K441">
        <v>5</v>
      </c>
      <c r="L441" s="5">
        <f t="shared" si="27"/>
        <v>56.481481481481481</v>
      </c>
      <c r="N441" s="2">
        <f>IF(O441&gt;=90%,5,IF(O441&gt;=80%,4,IF(O441&gt;=70%,3,IF(O441&gt;=60%,2,1))))</f>
        <v>5</v>
      </c>
      <c r="O441" s="3">
        <v>0.94</v>
      </c>
      <c r="P441" t="s">
        <v>46</v>
      </c>
      <c r="Q441" t="s">
        <v>27</v>
      </c>
      <c r="R441">
        <v>4</v>
      </c>
      <c r="S441">
        <v>1</v>
      </c>
    </row>
    <row r="442" spans="1:19" x14ac:dyDescent="0.3">
      <c r="A442" t="s">
        <v>961</v>
      </c>
      <c r="B442" t="s">
        <v>962</v>
      </c>
      <c r="C442" t="str">
        <f t="shared" si="24"/>
        <v>Female</v>
      </c>
      <c r="D442" t="s">
        <v>23</v>
      </c>
      <c r="E442">
        <f t="shared" si="25"/>
        <v>34</v>
      </c>
      <c r="F442">
        <v>34</v>
      </c>
      <c r="G442" t="s">
        <v>168</v>
      </c>
      <c r="H442" t="s">
        <v>169</v>
      </c>
      <c r="I442" t="s">
        <v>18</v>
      </c>
      <c r="J442" s="4">
        <f t="shared" si="26"/>
        <v>10.380952380952381</v>
      </c>
      <c r="L442" s="5" t="str">
        <f t="shared" si="27"/>
        <v>$50</v>
      </c>
      <c r="M442" s="2" t="s">
        <v>64</v>
      </c>
      <c r="N442" s="2">
        <f>IF(O442&gt;=90%,5,IF(O442&gt;=80%,4,IF(O442&gt;=70%,3,IF(O442&gt;=60%,2,1))))</f>
        <v>4</v>
      </c>
      <c r="O442" s="3">
        <v>0.84</v>
      </c>
      <c r="P442" t="s">
        <v>69</v>
      </c>
      <c r="Q442" t="s">
        <v>20</v>
      </c>
      <c r="R442">
        <v>5</v>
      </c>
      <c r="S442">
        <v>1</v>
      </c>
    </row>
    <row r="443" spans="1:19" x14ac:dyDescent="0.3">
      <c r="A443" t="s">
        <v>963</v>
      </c>
      <c r="B443" t="s">
        <v>964</v>
      </c>
      <c r="C443" t="str">
        <f t="shared" si="24"/>
        <v>Female</v>
      </c>
      <c r="D443" t="s">
        <v>36</v>
      </c>
      <c r="E443">
        <f t="shared" si="25"/>
        <v>32</v>
      </c>
      <c r="F443">
        <v>32</v>
      </c>
      <c r="G443" t="s">
        <v>120</v>
      </c>
      <c r="H443" t="s">
        <v>121</v>
      </c>
      <c r="I443" t="s">
        <v>78</v>
      </c>
      <c r="J443">
        <f t="shared" si="26"/>
        <v>10</v>
      </c>
      <c r="K443">
        <v>10</v>
      </c>
      <c r="L443" s="5" t="str">
        <f t="shared" si="27"/>
        <v>$20</v>
      </c>
      <c r="M443" s="2" t="s">
        <v>117</v>
      </c>
      <c r="N443" s="2">
        <f>IF(O443&gt;=90%,5,IF(O443&gt;=80%,4,IF(O443&gt;=70%,3,IF(O443&gt;=60%,2,1))))</f>
        <v>5</v>
      </c>
      <c r="O443" s="3">
        <v>0.92</v>
      </c>
      <c r="P443" t="s">
        <v>69</v>
      </c>
      <c r="Q443" t="s">
        <v>33</v>
      </c>
      <c r="R443">
        <v>12</v>
      </c>
      <c r="S443">
        <v>4</v>
      </c>
    </row>
    <row r="444" spans="1:19" x14ac:dyDescent="0.3">
      <c r="A444" t="s">
        <v>965</v>
      </c>
      <c r="B444" t="s">
        <v>966</v>
      </c>
      <c r="C444" t="str">
        <f t="shared" si="24"/>
        <v>Male</v>
      </c>
      <c r="D444" t="s">
        <v>49</v>
      </c>
      <c r="E444">
        <f t="shared" si="25"/>
        <v>24</v>
      </c>
      <c r="F444">
        <v>24</v>
      </c>
      <c r="G444" t="s">
        <v>135</v>
      </c>
      <c r="H444" t="s">
        <v>136</v>
      </c>
      <c r="I444" t="s">
        <v>87</v>
      </c>
      <c r="J444">
        <f t="shared" si="26"/>
        <v>6</v>
      </c>
      <c r="K444">
        <v>6</v>
      </c>
      <c r="L444" s="5" t="str">
        <f t="shared" si="27"/>
        <v>$75</v>
      </c>
      <c r="M444" s="2" t="s">
        <v>163</v>
      </c>
      <c r="N444" s="2">
        <f>IF(O444&gt;=90%,5,IF(O444&gt;=80%,4,IF(O444&gt;=70%,3,IF(O444&gt;=60%,2,1))))</f>
        <v>1</v>
      </c>
      <c r="O444" s="3">
        <v>0.5</v>
      </c>
      <c r="P444" t="s">
        <v>65</v>
      </c>
      <c r="Q444" t="s">
        <v>27</v>
      </c>
      <c r="R444">
        <v>14</v>
      </c>
      <c r="S444">
        <v>4</v>
      </c>
    </row>
    <row r="445" spans="1:19" x14ac:dyDescent="0.3">
      <c r="A445" t="s">
        <v>967</v>
      </c>
      <c r="B445" t="s">
        <v>968</v>
      </c>
      <c r="C445" t="str">
        <f t="shared" si="24"/>
        <v>Male</v>
      </c>
      <c r="D445" t="s">
        <v>30</v>
      </c>
      <c r="E445">
        <f t="shared" si="25"/>
        <v>35</v>
      </c>
      <c r="F445">
        <v>35</v>
      </c>
      <c r="G445" t="s">
        <v>68</v>
      </c>
      <c r="H445" t="s">
        <v>25</v>
      </c>
      <c r="I445" t="s">
        <v>44</v>
      </c>
      <c r="J445">
        <f t="shared" si="26"/>
        <v>8</v>
      </c>
      <c r="K445">
        <v>8</v>
      </c>
      <c r="L445" s="5" t="str">
        <f t="shared" si="27"/>
        <v>$50</v>
      </c>
      <c r="M445" s="2" t="s">
        <v>64</v>
      </c>
      <c r="N445" s="2">
        <f>IF(O445&gt;=90%,5,IF(O445&gt;=80%,4,IF(O445&gt;=70%,3,IF(O445&gt;=60%,2,1))))</f>
        <v>5</v>
      </c>
      <c r="O445" s="3">
        <v>0.9</v>
      </c>
      <c r="P445" t="s">
        <v>69</v>
      </c>
      <c r="Q445" t="s">
        <v>20</v>
      </c>
      <c r="R445">
        <v>6</v>
      </c>
      <c r="S445">
        <v>5</v>
      </c>
    </row>
    <row r="446" spans="1:19" x14ac:dyDescent="0.3">
      <c r="A446" t="s">
        <v>969</v>
      </c>
      <c r="B446" t="s">
        <v>970</v>
      </c>
      <c r="C446" t="str">
        <f t="shared" si="24"/>
        <v>Female</v>
      </c>
      <c r="D446" t="s">
        <v>23</v>
      </c>
      <c r="E446">
        <f t="shared" si="25"/>
        <v>22</v>
      </c>
      <c r="F446">
        <v>22</v>
      </c>
      <c r="G446" t="s">
        <v>24</v>
      </c>
      <c r="H446" t="s">
        <v>25</v>
      </c>
      <c r="I446" t="s">
        <v>26</v>
      </c>
      <c r="J446">
        <f t="shared" si="26"/>
        <v>4</v>
      </c>
      <c r="K446">
        <v>4</v>
      </c>
      <c r="L446" s="5">
        <f t="shared" si="27"/>
        <v>20</v>
      </c>
      <c r="M446" s="2">
        <v>20</v>
      </c>
      <c r="N446" s="2">
        <f>IF(O446&gt;=90%,5,IF(O446&gt;=80%,4,IF(O446&gt;=70%,3,IF(O446&gt;=60%,2,1))))</f>
        <v>3</v>
      </c>
      <c r="O446" s="3">
        <v>0.73</v>
      </c>
      <c r="P446" t="s">
        <v>65</v>
      </c>
      <c r="Q446" t="s">
        <v>20</v>
      </c>
      <c r="R446">
        <v>1</v>
      </c>
      <c r="S446">
        <v>1</v>
      </c>
    </row>
    <row r="447" spans="1:19" x14ac:dyDescent="0.3">
      <c r="A447" t="s">
        <v>971</v>
      </c>
      <c r="B447" t="s">
        <v>972</v>
      </c>
      <c r="C447" t="str">
        <f t="shared" ref="C447:C510" si="28">IF(LEFT(LOWER(TRIM(D447)),1)="f","Female","Male")</f>
        <v>Female</v>
      </c>
      <c r="D447" t="s">
        <v>36</v>
      </c>
      <c r="E447">
        <f t="shared" si="25"/>
        <v>55</v>
      </c>
      <c r="F447">
        <v>55</v>
      </c>
      <c r="G447" t="s">
        <v>135</v>
      </c>
      <c r="H447" t="s">
        <v>136</v>
      </c>
      <c r="I447" t="s">
        <v>44</v>
      </c>
      <c r="J447">
        <f t="shared" si="26"/>
        <v>3</v>
      </c>
      <c r="K447">
        <v>3</v>
      </c>
      <c r="L447" s="5">
        <f t="shared" si="27"/>
        <v>100</v>
      </c>
      <c r="M447" s="2">
        <v>100</v>
      </c>
      <c r="N447" s="2">
        <f>IF(O447&gt;=90%,5,IF(O447&gt;=80%,4,IF(O447&gt;=70%,3,IF(O447&gt;=60%,2,1))))</f>
        <v>3</v>
      </c>
      <c r="O447" s="3">
        <v>0.73</v>
      </c>
      <c r="P447" t="s">
        <v>46</v>
      </c>
      <c r="Q447" t="s">
        <v>20</v>
      </c>
      <c r="R447">
        <v>1</v>
      </c>
      <c r="S447">
        <v>2</v>
      </c>
    </row>
    <row r="448" spans="1:19" x14ac:dyDescent="0.3">
      <c r="A448" t="s">
        <v>973</v>
      </c>
      <c r="B448" t="s">
        <v>974</v>
      </c>
      <c r="C448" t="str">
        <f t="shared" si="28"/>
        <v>Female</v>
      </c>
      <c r="D448" t="s">
        <v>39</v>
      </c>
      <c r="E448">
        <f t="shared" si="25"/>
        <v>54</v>
      </c>
      <c r="F448">
        <v>54</v>
      </c>
      <c r="G448" t="s">
        <v>72</v>
      </c>
      <c r="H448" t="s">
        <v>73</v>
      </c>
      <c r="I448" t="s">
        <v>110</v>
      </c>
      <c r="J448" s="4">
        <f t="shared" si="26"/>
        <v>11.373134328358208</v>
      </c>
      <c r="L448" s="5">
        <f t="shared" si="27"/>
        <v>30</v>
      </c>
      <c r="M448" s="2">
        <v>30</v>
      </c>
      <c r="N448" s="2">
        <f>IF(O448&gt;=90%,5,IF(O448&gt;=80%,4,IF(O448&gt;=70%,3,IF(O448&gt;=60%,2,1))))</f>
        <v>3</v>
      </c>
      <c r="O448" s="3">
        <v>0.78</v>
      </c>
      <c r="P448" t="s">
        <v>65</v>
      </c>
      <c r="Q448" t="s">
        <v>27</v>
      </c>
      <c r="R448">
        <v>3</v>
      </c>
      <c r="S448">
        <v>3</v>
      </c>
    </row>
    <row r="449" spans="1:19" x14ac:dyDescent="0.3">
      <c r="A449" t="s">
        <v>975</v>
      </c>
      <c r="B449" t="s">
        <v>976</v>
      </c>
      <c r="C449" t="str">
        <f t="shared" si="28"/>
        <v>Female</v>
      </c>
      <c r="D449" t="s">
        <v>15</v>
      </c>
      <c r="E449">
        <f t="shared" si="25"/>
        <v>36</v>
      </c>
      <c r="F449">
        <v>36</v>
      </c>
      <c r="G449" t="s">
        <v>42</v>
      </c>
      <c r="H449" t="s">
        <v>43</v>
      </c>
      <c r="I449" t="s">
        <v>78</v>
      </c>
      <c r="J449">
        <f t="shared" si="26"/>
        <v>11</v>
      </c>
      <c r="K449">
        <v>11</v>
      </c>
      <c r="L449" s="5" t="str">
        <f t="shared" si="27"/>
        <v>$30</v>
      </c>
      <c r="M449" s="2" t="s">
        <v>45</v>
      </c>
      <c r="N449" s="2">
        <f>IF(O449&gt;=90%,5,IF(O449&gt;=80%,4,IF(O449&gt;=70%,3,IF(O449&gt;=60%,2,1))))</f>
        <v>2</v>
      </c>
      <c r="O449" s="3">
        <v>0.63</v>
      </c>
      <c r="P449" t="s">
        <v>46</v>
      </c>
      <c r="Q449" t="s">
        <v>33</v>
      </c>
      <c r="R449">
        <v>9</v>
      </c>
      <c r="S449">
        <v>14</v>
      </c>
    </row>
    <row r="450" spans="1:19" x14ac:dyDescent="0.3">
      <c r="A450" t="s">
        <v>977</v>
      </c>
      <c r="B450" t="s">
        <v>978</v>
      </c>
      <c r="C450" t="str">
        <f t="shared" si="28"/>
        <v>Female</v>
      </c>
      <c r="D450" t="s">
        <v>39</v>
      </c>
      <c r="E450">
        <f t="shared" ref="E450:E513" si="29">IF(F450="",MEDIAN($F$2:$F$698),F450)</f>
        <v>36</v>
      </c>
      <c r="F450">
        <v>36</v>
      </c>
      <c r="G450" t="s">
        <v>42</v>
      </c>
      <c r="H450" t="s">
        <v>43</v>
      </c>
      <c r="I450" t="s">
        <v>44</v>
      </c>
      <c r="J450">
        <f t="shared" ref="J450:J513" si="30">IF(K450="", AVERAGEIF($I$2:$I$698,I450,$K$2:$K$698),K450)</f>
        <v>17</v>
      </c>
      <c r="K450">
        <v>17</v>
      </c>
      <c r="L450" s="5">
        <f t="shared" si="27"/>
        <v>50</v>
      </c>
      <c r="M450" s="2">
        <v>50</v>
      </c>
      <c r="N450" s="2">
        <f>IF(O450&gt;=90%,5,IF(O450&gt;=80%,4,IF(O450&gt;=70%,3,IF(O450&gt;=60%,2,1))))</f>
        <v>2</v>
      </c>
      <c r="O450" s="3">
        <v>0.64</v>
      </c>
      <c r="P450" t="s">
        <v>65</v>
      </c>
      <c r="Q450" t="s">
        <v>33</v>
      </c>
      <c r="R450">
        <v>18</v>
      </c>
      <c r="S450">
        <v>7</v>
      </c>
    </row>
    <row r="451" spans="1:19" x14ac:dyDescent="0.3">
      <c r="A451" t="s">
        <v>979</v>
      </c>
      <c r="B451" t="s">
        <v>980</v>
      </c>
      <c r="C451" t="str">
        <f t="shared" si="28"/>
        <v>Female</v>
      </c>
      <c r="D451" t="s">
        <v>15</v>
      </c>
      <c r="E451">
        <f t="shared" si="29"/>
        <v>25</v>
      </c>
      <c r="F451">
        <v>25</v>
      </c>
      <c r="G451" t="s">
        <v>72</v>
      </c>
      <c r="H451" t="s">
        <v>73</v>
      </c>
      <c r="I451" t="s">
        <v>37</v>
      </c>
      <c r="J451">
        <f t="shared" si="30"/>
        <v>1</v>
      </c>
      <c r="K451">
        <v>1</v>
      </c>
      <c r="L451" s="5">
        <f t="shared" ref="L451:L514" si="31">IF(M451="", AVERAGE(M451:M1147), M451)</f>
        <v>75</v>
      </c>
      <c r="M451" s="2">
        <v>75</v>
      </c>
      <c r="N451" s="2">
        <f>IF(O451&gt;=90%,5,IF(O451&gt;=80%,4,IF(O451&gt;=70%,3,IF(O451&gt;=60%,2,1))))</f>
        <v>1</v>
      </c>
      <c r="O451" s="3">
        <v>0.5</v>
      </c>
      <c r="P451" t="s">
        <v>19</v>
      </c>
      <c r="Q451" t="s">
        <v>58</v>
      </c>
      <c r="R451">
        <v>2</v>
      </c>
      <c r="S451">
        <v>3</v>
      </c>
    </row>
    <row r="452" spans="1:19" x14ac:dyDescent="0.3">
      <c r="A452" t="s">
        <v>981</v>
      </c>
      <c r="B452" t="s">
        <v>982</v>
      </c>
      <c r="C452" t="str">
        <f t="shared" si="28"/>
        <v>Male</v>
      </c>
      <c r="D452" t="s">
        <v>95</v>
      </c>
      <c r="E452">
        <f t="shared" si="29"/>
        <v>46</v>
      </c>
      <c r="F452">
        <v>46</v>
      </c>
      <c r="G452" t="s">
        <v>50</v>
      </c>
      <c r="H452" t="s">
        <v>51</v>
      </c>
      <c r="I452" t="s">
        <v>44</v>
      </c>
      <c r="J452">
        <f t="shared" si="30"/>
        <v>16</v>
      </c>
      <c r="K452">
        <v>16</v>
      </c>
      <c r="L452" s="5">
        <f t="shared" si="31"/>
        <v>20</v>
      </c>
      <c r="M452" s="2">
        <v>20</v>
      </c>
      <c r="N452" s="2">
        <f>IF(O452&gt;=90%,5,IF(O452&gt;=80%,4,IF(O452&gt;=70%,3,IF(O452&gt;=60%,2,1))))</f>
        <v>4</v>
      </c>
      <c r="O452" s="3">
        <v>0.86</v>
      </c>
      <c r="P452" t="s">
        <v>19</v>
      </c>
      <c r="Q452" t="s">
        <v>20</v>
      </c>
      <c r="R452">
        <v>12</v>
      </c>
      <c r="S452">
        <v>8</v>
      </c>
    </row>
    <row r="453" spans="1:19" x14ac:dyDescent="0.3">
      <c r="A453" t="s">
        <v>983</v>
      </c>
      <c r="B453" t="s">
        <v>984</v>
      </c>
      <c r="C453" t="str">
        <f t="shared" si="28"/>
        <v>Male</v>
      </c>
      <c r="D453" t="s">
        <v>90</v>
      </c>
      <c r="E453">
        <f t="shared" si="29"/>
        <v>41</v>
      </c>
      <c r="F453">
        <v>41</v>
      </c>
      <c r="G453" t="s">
        <v>72</v>
      </c>
      <c r="H453" t="s">
        <v>73</v>
      </c>
      <c r="I453" t="s">
        <v>110</v>
      </c>
      <c r="J453">
        <f t="shared" si="30"/>
        <v>11</v>
      </c>
      <c r="K453">
        <v>11</v>
      </c>
      <c r="L453" s="5" t="str">
        <f t="shared" si="31"/>
        <v>$40</v>
      </c>
      <c r="M453" s="2" t="s">
        <v>38</v>
      </c>
      <c r="N453" s="2">
        <f>IF(O453&gt;=90%,5,IF(O453&gt;=80%,4,IF(O453&gt;=70%,3,IF(O453&gt;=60%,2,1))))</f>
        <v>1</v>
      </c>
      <c r="O453" s="3">
        <v>0.5</v>
      </c>
      <c r="P453" t="s">
        <v>69</v>
      </c>
      <c r="Q453" t="s">
        <v>58</v>
      </c>
      <c r="R453">
        <v>9</v>
      </c>
      <c r="S453">
        <v>2</v>
      </c>
    </row>
    <row r="454" spans="1:19" x14ac:dyDescent="0.3">
      <c r="A454" t="s">
        <v>985</v>
      </c>
      <c r="B454" t="s">
        <v>986</v>
      </c>
      <c r="C454" t="str">
        <f t="shared" si="28"/>
        <v>Female</v>
      </c>
      <c r="D454" t="s">
        <v>23</v>
      </c>
      <c r="E454">
        <f t="shared" si="29"/>
        <v>21</v>
      </c>
      <c r="F454">
        <v>21</v>
      </c>
      <c r="G454" t="s">
        <v>120</v>
      </c>
      <c r="H454" t="s">
        <v>121</v>
      </c>
      <c r="I454" t="s">
        <v>26</v>
      </c>
      <c r="J454">
        <f t="shared" si="30"/>
        <v>3</v>
      </c>
      <c r="K454">
        <v>3</v>
      </c>
      <c r="L454" s="5" t="str">
        <f t="shared" si="31"/>
        <v>$100</v>
      </c>
      <c r="M454" s="2" t="s">
        <v>222</v>
      </c>
      <c r="N454" s="2">
        <f>IF(O454&gt;=90%,5,IF(O454&gt;=80%,4,IF(O454&gt;=70%,3,IF(O454&gt;=60%,2,1))))</f>
        <v>5</v>
      </c>
      <c r="O454" s="3">
        <v>0.96</v>
      </c>
      <c r="P454" t="s">
        <v>65</v>
      </c>
      <c r="Q454" t="s">
        <v>58</v>
      </c>
      <c r="R454">
        <v>2</v>
      </c>
      <c r="S454">
        <v>1</v>
      </c>
    </row>
    <row r="455" spans="1:19" x14ac:dyDescent="0.3">
      <c r="A455" t="s">
        <v>987</v>
      </c>
      <c r="B455" t="s">
        <v>988</v>
      </c>
      <c r="C455" t="str">
        <f t="shared" si="28"/>
        <v>Male</v>
      </c>
      <c r="D455" t="s">
        <v>95</v>
      </c>
      <c r="E455">
        <f t="shared" si="29"/>
        <v>29</v>
      </c>
      <c r="F455">
        <v>29</v>
      </c>
      <c r="G455" t="s">
        <v>57</v>
      </c>
      <c r="H455" t="s">
        <v>25</v>
      </c>
      <c r="I455" t="s">
        <v>32</v>
      </c>
      <c r="J455" s="4">
        <f t="shared" si="30"/>
        <v>12.295081967213115</v>
      </c>
      <c r="L455" s="5" t="str">
        <f t="shared" si="31"/>
        <v>$75</v>
      </c>
      <c r="M455" s="2" t="s">
        <v>163</v>
      </c>
      <c r="N455" s="2">
        <f>IF(O455&gt;=90%,5,IF(O455&gt;=80%,4,IF(O455&gt;=70%,3,IF(O455&gt;=60%,2,1))))</f>
        <v>1</v>
      </c>
      <c r="O455" s="3">
        <v>0.5</v>
      </c>
      <c r="P455" t="s">
        <v>65</v>
      </c>
      <c r="Q455" t="s">
        <v>33</v>
      </c>
      <c r="R455">
        <v>4</v>
      </c>
      <c r="S455">
        <v>3</v>
      </c>
    </row>
    <row r="456" spans="1:19" x14ac:dyDescent="0.3">
      <c r="A456" t="s">
        <v>989</v>
      </c>
      <c r="B456" t="s">
        <v>990</v>
      </c>
      <c r="C456" t="str">
        <f t="shared" si="28"/>
        <v>Female</v>
      </c>
      <c r="D456" t="s">
        <v>36</v>
      </c>
      <c r="E456">
        <f t="shared" si="29"/>
        <v>44</v>
      </c>
      <c r="F456">
        <v>44</v>
      </c>
      <c r="G456" t="s">
        <v>57</v>
      </c>
      <c r="H456" t="s">
        <v>25</v>
      </c>
      <c r="I456" t="s">
        <v>26</v>
      </c>
      <c r="J456">
        <f t="shared" si="30"/>
        <v>3</v>
      </c>
      <c r="K456">
        <v>3</v>
      </c>
      <c r="L456" s="5" t="str">
        <f t="shared" si="31"/>
        <v>$50</v>
      </c>
      <c r="M456" s="2" t="s">
        <v>64</v>
      </c>
      <c r="N456" s="2">
        <f>IF(O456&gt;=90%,5,IF(O456&gt;=80%,4,IF(O456&gt;=70%,3,IF(O456&gt;=60%,2,1))))</f>
        <v>3</v>
      </c>
      <c r="O456" s="3">
        <v>0.77</v>
      </c>
      <c r="P456" t="s">
        <v>46</v>
      </c>
      <c r="Q456" t="s">
        <v>27</v>
      </c>
      <c r="R456">
        <v>4</v>
      </c>
      <c r="S456">
        <v>1</v>
      </c>
    </row>
    <row r="457" spans="1:19" x14ac:dyDescent="0.3">
      <c r="A457" t="s">
        <v>991</v>
      </c>
      <c r="B457" t="s">
        <v>992</v>
      </c>
      <c r="C457" t="str">
        <f t="shared" si="28"/>
        <v>Male</v>
      </c>
      <c r="D457" t="s">
        <v>95</v>
      </c>
      <c r="E457">
        <f t="shared" si="29"/>
        <v>40</v>
      </c>
      <c r="F457">
        <v>40</v>
      </c>
      <c r="G457" t="s">
        <v>124</v>
      </c>
      <c r="H457" t="s">
        <v>25</v>
      </c>
      <c r="I457" t="s">
        <v>110</v>
      </c>
      <c r="J457">
        <f t="shared" si="30"/>
        <v>1</v>
      </c>
      <c r="K457">
        <v>1</v>
      </c>
      <c r="L457" s="5">
        <f t="shared" si="31"/>
        <v>100</v>
      </c>
      <c r="M457" s="2">
        <v>100</v>
      </c>
      <c r="N457" s="2">
        <f>IF(O457&gt;=90%,5,IF(O457&gt;=80%,4,IF(O457&gt;=70%,3,IF(O457&gt;=60%,2,1))))</f>
        <v>1</v>
      </c>
      <c r="O457" s="3">
        <v>0.5</v>
      </c>
      <c r="P457" t="s">
        <v>69</v>
      </c>
      <c r="Q457" t="s">
        <v>27</v>
      </c>
      <c r="R457">
        <v>4</v>
      </c>
      <c r="S457">
        <v>1</v>
      </c>
    </row>
    <row r="458" spans="1:19" x14ac:dyDescent="0.3">
      <c r="A458" t="s">
        <v>993</v>
      </c>
      <c r="B458" t="s">
        <v>994</v>
      </c>
      <c r="C458" t="str">
        <f t="shared" si="28"/>
        <v>Female</v>
      </c>
      <c r="D458" t="s">
        <v>39</v>
      </c>
      <c r="E458">
        <f t="shared" si="29"/>
        <v>27</v>
      </c>
      <c r="F458">
        <v>27</v>
      </c>
      <c r="G458" t="s">
        <v>135</v>
      </c>
      <c r="H458" t="s">
        <v>136</v>
      </c>
      <c r="I458" t="s">
        <v>52</v>
      </c>
      <c r="J458">
        <f t="shared" si="30"/>
        <v>1</v>
      </c>
      <c r="K458">
        <v>1</v>
      </c>
      <c r="L458" s="5">
        <f t="shared" si="31"/>
        <v>30</v>
      </c>
      <c r="M458" s="2">
        <v>30</v>
      </c>
      <c r="N458" s="2">
        <f>IF(O458&gt;=90%,5,IF(O458&gt;=80%,4,IF(O458&gt;=70%,3,IF(O458&gt;=60%,2,1))))</f>
        <v>2</v>
      </c>
      <c r="O458" s="3">
        <v>0.65</v>
      </c>
      <c r="P458" t="s">
        <v>65</v>
      </c>
      <c r="Q458" t="s">
        <v>33</v>
      </c>
      <c r="R458">
        <v>5</v>
      </c>
      <c r="S458">
        <v>4</v>
      </c>
    </row>
    <row r="459" spans="1:19" x14ac:dyDescent="0.3">
      <c r="A459" t="s">
        <v>995</v>
      </c>
      <c r="B459" t="s">
        <v>996</v>
      </c>
      <c r="C459" t="str">
        <f t="shared" si="28"/>
        <v>Male</v>
      </c>
      <c r="D459" t="s">
        <v>61</v>
      </c>
      <c r="E459">
        <f t="shared" si="29"/>
        <v>53</v>
      </c>
      <c r="F459">
        <v>53</v>
      </c>
      <c r="G459" t="s">
        <v>131</v>
      </c>
      <c r="H459" t="s">
        <v>132</v>
      </c>
      <c r="I459" t="s">
        <v>26</v>
      </c>
      <c r="J459">
        <f t="shared" si="30"/>
        <v>35</v>
      </c>
      <c r="K459">
        <v>35</v>
      </c>
      <c r="L459" s="5">
        <f t="shared" si="31"/>
        <v>56.75</v>
      </c>
      <c r="N459" s="2">
        <f>IF(O459&gt;=90%,5,IF(O459&gt;=80%,4,IF(O459&gt;=70%,3,IF(O459&gt;=60%,2,1))))</f>
        <v>2</v>
      </c>
      <c r="O459" s="3">
        <v>0.62</v>
      </c>
      <c r="P459" t="s">
        <v>69</v>
      </c>
      <c r="Q459" t="s">
        <v>27</v>
      </c>
      <c r="R459">
        <v>14</v>
      </c>
      <c r="S459">
        <v>9</v>
      </c>
    </row>
    <row r="460" spans="1:19" x14ac:dyDescent="0.3">
      <c r="A460" t="s">
        <v>997</v>
      </c>
      <c r="B460" t="s">
        <v>998</v>
      </c>
      <c r="C460" t="str">
        <f t="shared" si="28"/>
        <v>Male</v>
      </c>
      <c r="D460" t="s">
        <v>30</v>
      </c>
      <c r="E460">
        <f t="shared" si="29"/>
        <v>20</v>
      </c>
      <c r="F460">
        <v>20</v>
      </c>
      <c r="G460" t="s">
        <v>62</v>
      </c>
      <c r="H460" t="s">
        <v>63</v>
      </c>
      <c r="I460" t="s">
        <v>52</v>
      </c>
      <c r="J460">
        <f t="shared" si="30"/>
        <v>1</v>
      </c>
      <c r="K460">
        <v>1</v>
      </c>
      <c r="L460" s="5">
        <f t="shared" si="31"/>
        <v>50</v>
      </c>
      <c r="M460" s="2">
        <v>50</v>
      </c>
      <c r="N460" s="2">
        <f>IF(O460&gt;=90%,5,IF(O460&gt;=80%,4,IF(O460&gt;=70%,3,IF(O460&gt;=60%,2,1))))</f>
        <v>4</v>
      </c>
      <c r="O460" s="3">
        <v>0.81</v>
      </c>
      <c r="P460" t="s">
        <v>19</v>
      </c>
      <c r="Q460" t="s">
        <v>58</v>
      </c>
      <c r="R460">
        <v>1</v>
      </c>
      <c r="S460">
        <v>1</v>
      </c>
    </row>
    <row r="461" spans="1:19" x14ac:dyDescent="0.3">
      <c r="A461" t="s">
        <v>999</v>
      </c>
      <c r="B461" t="s">
        <v>1000</v>
      </c>
      <c r="C461" t="str">
        <f t="shared" si="28"/>
        <v>Female</v>
      </c>
      <c r="D461" t="s">
        <v>39</v>
      </c>
      <c r="E461">
        <f t="shared" si="29"/>
        <v>41</v>
      </c>
      <c r="G461" t="s">
        <v>83</v>
      </c>
      <c r="H461" t="s">
        <v>84</v>
      </c>
      <c r="I461" t="s">
        <v>87</v>
      </c>
      <c r="J461">
        <f t="shared" si="30"/>
        <v>12</v>
      </c>
      <c r="K461">
        <v>12</v>
      </c>
      <c r="L461" s="5" t="str">
        <f t="shared" si="31"/>
        <v>$50</v>
      </c>
      <c r="M461" s="2" t="s">
        <v>64</v>
      </c>
      <c r="N461" s="2">
        <f>IF(O461&gt;=90%,5,IF(O461&gt;=80%,4,IF(O461&gt;=70%,3,IF(O461&gt;=60%,2,1))))</f>
        <v>2</v>
      </c>
      <c r="O461" s="3">
        <v>0.62</v>
      </c>
      <c r="P461" t="s">
        <v>65</v>
      </c>
      <c r="Q461" t="s">
        <v>20</v>
      </c>
      <c r="R461">
        <v>7</v>
      </c>
      <c r="S461">
        <v>4</v>
      </c>
    </row>
    <row r="462" spans="1:19" x14ac:dyDescent="0.3">
      <c r="A462" t="s">
        <v>1001</v>
      </c>
      <c r="B462" t="s">
        <v>1002</v>
      </c>
      <c r="C462" t="str">
        <f t="shared" si="28"/>
        <v>Male</v>
      </c>
      <c r="D462" t="s">
        <v>30</v>
      </c>
      <c r="E462">
        <f t="shared" si="29"/>
        <v>26</v>
      </c>
      <c r="F462">
        <v>26</v>
      </c>
      <c r="G462" t="s">
        <v>172</v>
      </c>
      <c r="H462" t="s">
        <v>73</v>
      </c>
      <c r="I462" t="s">
        <v>37</v>
      </c>
      <c r="J462">
        <f t="shared" si="30"/>
        <v>8</v>
      </c>
      <c r="K462">
        <v>8</v>
      </c>
      <c r="L462" s="5">
        <f t="shared" si="31"/>
        <v>40</v>
      </c>
      <c r="M462" s="2">
        <v>40</v>
      </c>
      <c r="N462" s="2">
        <f>IF(O462&gt;=90%,5,IF(O462&gt;=80%,4,IF(O462&gt;=70%,3,IF(O462&gt;=60%,2,1))))</f>
        <v>4</v>
      </c>
      <c r="O462" s="3">
        <v>0.87</v>
      </c>
      <c r="P462" t="s">
        <v>65</v>
      </c>
      <c r="Q462" t="s">
        <v>33</v>
      </c>
      <c r="R462">
        <v>9</v>
      </c>
      <c r="S462">
        <v>4</v>
      </c>
    </row>
    <row r="463" spans="1:19" x14ac:dyDescent="0.3">
      <c r="A463" t="s">
        <v>1003</v>
      </c>
      <c r="B463" t="s">
        <v>1004</v>
      </c>
      <c r="C463" t="str">
        <f t="shared" si="28"/>
        <v>Female</v>
      </c>
      <c r="D463" t="s">
        <v>39</v>
      </c>
      <c r="E463">
        <f t="shared" si="29"/>
        <v>49</v>
      </c>
      <c r="F463">
        <v>49</v>
      </c>
      <c r="G463" t="s">
        <v>104</v>
      </c>
      <c r="H463" t="s">
        <v>105</v>
      </c>
      <c r="I463" t="s">
        <v>110</v>
      </c>
      <c r="J463">
        <f t="shared" si="30"/>
        <v>13</v>
      </c>
      <c r="K463">
        <v>13</v>
      </c>
      <c r="L463" s="5" t="str">
        <f t="shared" si="31"/>
        <v>$100</v>
      </c>
      <c r="M463" s="2" t="s">
        <v>222</v>
      </c>
      <c r="N463" s="2">
        <f>IF(O463&gt;=90%,5,IF(O463&gt;=80%,4,IF(O463&gt;=70%,3,IF(O463&gt;=60%,2,1))))</f>
        <v>1</v>
      </c>
      <c r="O463" s="3">
        <v>0.5</v>
      </c>
      <c r="P463" t="s">
        <v>69</v>
      </c>
      <c r="Q463" t="s">
        <v>20</v>
      </c>
      <c r="R463">
        <v>6</v>
      </c>
      <c r="S463">
        <v>2</v>
      </c>
    </row>
    <row r="464" spans="1:19" x14ac:dyDescent="0.3">
      <c r="A464" t="s">
        <v>1005</v>
      </c>
      <c r="B464" t="s">
        <v>1006</v>
      </c>
      <c r="C464" t="str">
        <f t="shared" si="28"/>
        <v>Female</v>
      </c>
      <c r="D464" t="s">
        <v>36</v>
      </c>
      <c r="E464">
        <f t="shared" si="29"/>
        <v>20</v>
      </c>
      <c r="F464">
        <v>20</v>
      </c>
      <c r="G464" t="s">
        <v>135</v>
      </c>
      <c r="H464" t="s">
        <v>136</v>
      </c>
      <c r="I464" t="s">
        <v>52</v>
      </c>
      <c r="J464">
        <f t="shared" si="30"/>
        <v>0</v>
      </c>
      <c r="K464">
        <v>0</v>
      </c>
      <c r="L464" s="5" t="str">
        <f t="shared" si="31"/>
        <v>$30</v>
      </c>
      <c r="M464" s="2" t="s">
        <v>45</v>
      </c>
      <c r="N464" s="2">
        <f>IF(O464&gt;=90%,5,IF(O464&gt;=80%,4,IF(O464&gt;=70%,3,IF(O464&gt;=60%,2,1))))</f>
        <v>3</v>
      </c>
      <c r="O464" s="3">
        <v>0.76</v>
      </c>
      <c r="P464" t="s">
        <v>65</v>
      </c>
      <c r="Q464" t="s">
        <v>27</v>
      </c>
      <c r="R464">
        <v>5</v>
      </c>
      <c r="S464">
        <v>3</v>
      </c>
    </row>
    <row r="465" spans="1:19" x14ac:dyDescent="0.3">
      <c r="A465" t="s">
        <v>1007</v>
      </c>
      <c r="B465" t="s">
        <v>1008</v>
      </c>
      <c r="C465" t="str">
        <f t="shared" si="28"/>
        <v>Female</v>
      </c>
      <c r="D465" t="s">
        <v>39</v>
      </c>
      <c r="E465">
        <f t="shared" si="29"/>
        <v>39</v>
      </c>
      <c r="F465">
        <v>39</v>
      </c>
      <c r="G465" t="s">
        <v>168</v>
      </c>
      <c r="H465" t="s">
        <v>169</v>
      </c>
      <c r="I465" t="s">
        <v>18</v>
      </c>
      <c r="J465">
        <f t="shared" si="30"/>
        <v>11</v>
      </c>
      <c r="K465">
        <v>11</v>
      </c>
      <c r="L465" s="5">
        <f t="shared" si="31"/>
        <v>100</v>
      </c>
      <c r="M465" s="2">
        <v>100</v>
      </c>
      <c r="N465" s="2">
        <f>IF(O465&gt;=90%,5,IF(O465&gt;=80%,4,IF(O465&gt;=70%,3,IF(O465&gt;=60%,2,1))))</f>
        <v>3</v>
      </c>
      <c r="O465" s="3">
        <v>0.7</v>
      </c>
      <c r="P465" t="s">
        <v>69</v>
      </c>
      <c r="Q465" t="s">
        <v>20</v>
      </c>
      <c r="R465">
        <v>9</v>
      </c>
      <c r="S465">
        <v>10</v>
      </c>
    </row>
    <row r="466" spans="1:19" x14ac:dyDescent="0.3">
      <c r="A466" t="s">
        <v>1009</v>
      </c>
      <c r="B466" t="s">
        <v>1010</v>
      </c>
      <c r="C466" t="str">
        <f t="shared" si="28"/>
        <v>Female</v>
      </c>
      <c r="D466" t="s">
        <v>36</v>
      </c>
      <c r="E466">
        <f t="shared" si="29"/>
        <v>41</v>
      </c>
      <c r="F466">
        <v>41</v>
      </c>
      <c r="G466" t="s">
        <v>168</v>
      </c>
      <c r="H466" t="s">
        <v>169</v>
      </c>
      <c r="I466" t="s">
        <v>110</v>
      </c>
      <c r="J466">
        <f t="shared" si="30"/>
        <v>19</v>
      </c>
      <c r="K466">
        <v>19</v>
      </c>
      <c r="L466" s="5">
        <f t="shared" si="31"/>
        <v>100</v>
      </c>
      <c r="M466" s="2">
        <v>100</v>
      </c>
      <c r="N466" s="2">
        <f>IF(O466&gt;=90%,5,IF(O466&gt;=80%,4,IF(O466&gt;=70%,3,IF(O466&gt;=60%,2,1))))</f>
        <v>3</v>
      </c>
      <c r="O466" s="3">
        <v>0.71</v>
      </c>
      <c r="P466" t="s">
        <v>65</v>
      </c>
      <c r="Q466" t="s">
        <v>27</v>
      </c>
      <c r="R466">
        <v>16</v>
      </c>
      <c r="S466">
        <v>5</v>
      </c>
    </row>
    <row r="467" spans="1:19" x14ac:dyDescent="0.3">
      <c r="A467" t="s">
        <v>1011</v>
      </c>
      <c r="B467" t="s">
        <v>1012</v>
      </c>
      <c r="C467" t="str">
        <f t="shared" si="28"/>
        <v>Male</v>
      </c>
      <c r="D467" t="s">
        <v>95</v>
      </c>
      <c r="E467">
        <f t="shared" si="29"/>
        <v>59</v>
      </c>
      <c r="F467">
        <v>59</v>
      </c>
      <c r="G467" t="s">
        <v>124</v>
      </c>
      <c r="H467" t="s">
        <v>25</v>
      </c>
      <c r="I467" t="s">
        <v>26</v>
      </c>
      <c r="J467">
        <f t="shared" si="30"/>
        <v>30</v>
      </c>
      <c r="K467">
        <v>30</v>
      </c>
      <c r="L467" s="5" t="str">
        <f t="shared" si="31"/>
        <v>$30</v>
      </c>
      <c r="M467" s="2" t="s">
        <v>45</v>
      </c>
      <c r="N467" s="2">
        <f>IF(O467&gt;=90%,5,IF(O467&gt;=80%,4,IF(O467&gt;=70%,3,IF(O467&gt;=60%,2,1))))</f>
        <v>4</v>
      </c>
      <c r="O467" s="3">
        <v>0.83</v>
      </c>
      <c r="P467" t="s">
        <v>46</v>
      </c>
      <c r="Q467" t="s">
        <v>27</v>
      </c>
      <c r="R467">
        <v>11</v>
      </c>
      <c r="S467">
        <v>3</v>
      </c>
    </row>
    <row r="468" spans="1:19" x14ac:dyDescent="0.3">
      <c r="A468" t="s">
        <v>1013</v>
      </c>
      <c r="B468" t="s">
        <v>1014</v>
      </c>
      <c r="C468" t="str">
        <f t="shared" si="28"/>
        <v>Female</v>
      </c>
      <c r="D468" t="s">
        <v>77</v>
      </c>
      <c r="E468">
        <f t="shared" si="29"/>
        <v>45</v>
      </c>
      <c r="F468">
        <v>45</v>
      </c>
      <c r="G468" t="s">
        <v>24</v>
      </c>
      <c r="H468" t="s">
        <v>25</v>
      </c>
      <c r="I468" t="s">
        <v>18</v>
      </c>
      <c r="J468">
        <f t="shared" si="30"/>
        <v>8</v>
      </c>
      <c r="K468">
        <v>8</v>
      </c>
      <c r="L468" s="5">
        <f t="shared" si="31"/>
        <v>40</v>
      </c>
      <c r="M468" s="2">
        <v>40</v>
      </c>
      <c r="N468" s="2">
        <f>IF(O468&gt;=90%,5,IF(O468&gt;=80%,4,IF(O468&gt;=70%,3,IF(O468&gt;=60%,2,1))))</f>
        <v>3</v>
      </c>
      <c r="O468" s="3">
        <v>0.78</v>
      </c>
      <c r="P468" t="s">
        <v>69</v>
      </c>
      <c r="Q468" t="s">
        <v>58</v>
      </c>
      <c r="R468">
        <v>7</v>
      </c>
      <c r="S468">
        <v>9</v>
      </c>
    </row>
    <row r="469" spans="1:19" x14ac:dyDescent="0.3">
      <c r="A469" t="s">
        <v>1015</v>
      </c>
      <c r="B469" t="s">
        <v>1016</v>
      </c>
      <c r="C469" t="str">
        <f t="shared" si="28"/>
        <v>Male</v>
      </c>
      <c r="D469" t="s">
        <v>61</v>
      </c>
      <c r="E469">
        <f t="shared" si="29"/>
        <v>22</v>
      </c>
      <c r="F469">
        <v>22</v>
      </c>
      <c r="G469" t="s">
        <v>50</v>
      </c>
      <c r="H469" t="s">
        <v>51</v>
      </c>
      <c r="I469" t="s">
        <v>78</v>
      </c>
      <c r="J469">
        <f t="shared" si="30"/>
        <v>0</v>
      </c>
      <c r="K469">
        <v>0</v>
      </c>
      <c r="L469" s="5">
        <f t="shared" si="31"/>
        <v>40</v>
      </c>
      <c r="M469" s="2">
        <v>40</v>
      </c>
      <c r="N469" s="2">
        <f>IF(O469&gt;=90%,5,IF(O469&gt;=80%,4,IF(O469&gt;=70%,3,IF(O469&gt;=60%,2,1))))</f>
        <v>3</v>
      </c>
      <c r="O469" s="3">
        <v>0.78</v>
      </c>
      <c r="P469" t="s">
        <v>65</v>
      </c>
      <c r="Q469" t="s">
        <v>27</v>
      </c>
      <c r="R469">
        <v>2</v>
      </c>
      <c r="S469">
        <v>1</v>
      </c>
    </row>
    <row r="470" spans="1:19" x14ac:dyDescent="0.3">
      <c r="A470" t="s">
        <v>1017</v>
      </c>
      <c r="B470" t="s">
        <v>1018</v>
      </c>
      <c r="C470" t="str">
        <f t="shared" si="28"/>
        <v>Female</v>
      </c>
      <c r="D470" t="s">
        <v>15</v>
      </c>
      <c r="E470">
        <f t="shared" si="29"/>
        <v>48</v>
      </c>
      <c r="F470">
        <v>48</v>
      </c>
      <c r="G470" t="s">
        <v>91</v>
      </c>
      <c r="H470" t="s">
        <v>92</v>
      </c>
      <c r="I470" t="s">
        <v>26</v>
      </c>
      <c r="J470">
        <f t="shared" si="30"/>
        <v>7</v>
      </c>
      <c r="K470">
        <v>7</v>
      </c>
      <c r="L470" s="5">
        <f t="shared" si="31"/>
        <v>50</v>
      </c>
      <c r="M470" s="2">
        <v>50</v>
      </c>
      <c r="N470" s="2">
        <f>IF(O470&gt;=90%,5,IF(O470&gt;=80%,4,IF(O470&gt;=70%,3,IF(O470&gt;=60%,2,1))))</f>
        <v>2</v>
      </c>
      <c r="O470" s="3">
        <v>0.6</v>
      </c>
      <c r="P470" t="s">
        <v>19</v>
      </c>
      <c r="Q470" t="s">
        <v>58</v>
      </c>
      <c r="R470">
        <v>13</v>
      </c>
      <c r="S470">
        <v>10</v>
      </c>
    </row>
    <row r="471" spans="1:19" x14ac:dyDescent="0.3">
      <c r="A471" t="s">
        <v>1019</v>
      </c>
      <c r="B471" t="s">
        <v>1020</v>
      </c>
      <c r="C471" t="str">
        <f t="shared" si="28"/>
        <v>Male</v>
      </c>
      <c r="D471" t="s">
        <v>61</v>
      </c>
      <c r="E471">
        <f t="shared" si="29"/>
        <v>36</v>
      </c>
      <c r="F471">
        <v>36</v>
      </c>
      <c r="G471" t="s">
        <v>131</v>
      </c>
      <c r="H471" t="s">
        <v>132</v>
      </c>
      <c r="I471" t="s">
        <v>18</v>
      </c>
      <c r="J471">
        <f t="shared" si="30"/>
        <v>11</v>
      </c>
      <c r="K471">
        <v>11</v>
      </c>
      <c r="L471" s="5" t="str">
        <f t="shared" si="31"/>
        <v>$40</v>
      </c>
      <c r="M471" s="2" t="s">
        <v>38</v>
      </c>
      <c r="N471" s="2">
        <f>IF(O471&gt;=90%,5,IF(O471&gt;=80%,4,IF(O471&gt;=70%,3,IF(O471&gt;=60%,2,1))))</f>
        <v>1</v>
      </c>
      <c r="O471" s="3">
        <v>0.5</v>
      </c>
      <c r="P471" t="s">
        <v>65</v>
      </c>
      <c r="Q471" t="s">
        <v>58</v>
      </c>
      <c r="R471">
        <v>15</v>
      </c>
      <c r="S471">
        <v>4</v>
      </c>
    </row>
    <row r="472" spans="1:19" x14ac:dyDescent="0.3">
      <c r="A472" t="s">
        <v>1021</v>
      </c>
      <c r="B472" t="s">
        <v>1022</v>
      </c>
      <c r="C472" t="str">
        <f t="shared" si="28"/>
        <v>Female</v>
      </c>
      <c r="D472" t="s">
        <v>23</v>
      </c>
      <c r="E472">
        <f t="shared" si="29"/>
        <v>57</v>
      </c>
      <c r="F472">
        <v>57</v>
      </c>
      <c r="G472" t="s">
        <v>168</v>
      </c>
      <c r="H472" t="s">
        <v>169</v>
      </c>
      <c r="I472" t="s">
        <v>18</v>
      </c>
      <c r="J472" s="4">
        <f t="shared" si="30"/>
        <v>10.380952380952381</v>
      </c>
      <c r="L472" s="5">
        <f t="shared" si="31"/>
        <v>75</v>
      </c>
      <c r="M472" s="2">
        <v>75</v>
      </c>
      <c r="N472" s="2">
        <f>IF(O472&gt;=90%,5,IF(O472&gt;=80%,4,IF(O472&gt;=70%,3,IF(O472&gt;=60%,2,1))))</f>
        <v>1</v>
      </c>
      <c r="O472" s="3">
        <v>0.5</v>
      </c>
      <c r="P472" t="s">
        <v>19</v>
      </c>
      <c r="Q472" t="s">
        <v>58</v>
      </c>
      <c r="R472">
        <v>1</v>
      </c>
      <c r="S472">
        <v>2</v>
      </c>
    </row>
    <row r="473" spans="1:19" x14ac:dyDescent="0.3">
      <c r="A473" t="s">
        <v>1023</v>
      </c>
      <c r="B473" t="s">
        <v>1024</v>
      </c>
      <c r="C473" t="str">
        <f t="shared" si="28"/>
        <v>Male</v>
      </c>
      <c r="D473" t="s">
        <v>61</v>
      </c>
      <c r="E473">
        <f t="shared" si="29"/>
        <v>42</v>
      </c>
      <c r="F473">
        <v>42</v>
      </c>
      <c r="G473" t="s">
        <v>57</v>
      </c>
      <c r="H473" t="s">
        <v>25</v>
      </c>
      <c r="I473" t="s">
        <v>74</v>
      </c>
      <c r="J473">
        <f t="shared" si="30"/>
        <v>14</v>
      </c>
      <c r="K473">
        <v>14</v>
      </c>
      <c r="L473" s="5" t="str">
        <f t="shared" si="31"/>
        <v>$30</v>
      </c>
      <c r="M473" s="2" t="s">
        <v>45</v>
      </c>
      <c r="N473" s="2">
        <f>IF(O473&gt;=90%,5,IF(O473&gt;=80%,4,IF(O473&gt;=70%,3,IF(O473&gt;=60%,2,1))))</f>
        <v>5</v>
      </c>
      <c r="O473" s="3">
        <v>0.94</v>
      </c>
      <c r="P473" t="s">
        <v>19</v>
      </c>
      <c r="Q473" t="s">
        <v>33</v>
      </c>
      <c r="R473">
        <v>6</v>
      </c>
      <c r="S473">
        <v>1</v>
      </c>
    </row>
    <row r="474" spans="1:19" x14ac:dyDescent="0.3">
      <c r="A474" t="s">
        <v>1025</v>
      </c>
      <c r="B474" t="s">
        <v>1026</v>
      </c>
      <c r="C474" t="str">
        <f t="shared" si="28"/>
        <v>Male</v>
      </c>
      <c r="D474" t="s">
        <v>49</v>
      </c>
      <c r="E474">
        <f t="shared" si="29"/>
        <v>31</v>
      </c>
      <c r="F474">
        <v>31</v>
      </c>
      <c r="G474" t="s">
        <v>50</v>
      </c>
      <c r="H474" t="s">
        <v>51</v>
      </c>
      <c r="I474" t="s">
        <v>78</v>
      </c>
      <c r="J474">
        <f t="shared" si="30"/>
        <v>11</v>
      </c>
      <c r="K474">
        <v>11</v>
      </c>
      <c r="L474" s="5" t="str">
        <f t="shared" si="31"/>
        <v>$50</v>
      </c>
      <c r="M474" s="2" t="s">
        <v>64</v>
      </c>
      <c r="N474" s="2">
        <f>IF(O474&gt;=90%,5,IF(O474&gt;=80%,4,IF(O474&gt;=70%,3,IF(O474&gt;=60%,2,1))))</f>
        <v>2</v>
      </c>
      <c r="O474" s="3">
        <v>0.62</v>
      </c>
      <c r="P474" t="s">
        <v>46</v>
      </c>
      <c r="Q474" t="s">
        <v>33</v>
      </c>
      <c r="R474">
        <v>7</v>
      </c>
      <c r="S474">
        <v>14</v>
      </c>
    </row>
    <row r="475" spans="1:19" x14ac:dyDescent="0.3">
      <c r="A475" t="s">
        <v>1027</v>
      </c>
      <c r="B475" t="s">
        <v>1028</v>
      </c>
      <c r="C475" t="str">
        <f t="shared" si="28"/>
        <v>Male</v>
      </c>
      <c r="D475" t="s">
        <v>90</v>
      </c>
      <c r="E475">
        <f t="shared" si="29"/>
        <v>52</v>
      </c>
      <c r="F475">
        <v>52</v>
      </c>
      <c r="G475" t="s">
        <v>183</v>
      </c>
      <c r="H475" t="s">
        <v>73</v>
      </c>
      <c r="I475" t="s">
        <v>78</v>
      </c>
      <c r="J475">
        <f t="shared" si="30"/>
        <v>31</v>
      </c>
      <c r="K475">
        <v>31</v>
      </c>
      <c r="L475" s="5">
        <f t="shared" si="31"/>
        <v>30</v>
      </c>
      <c r="M475" s="2">
        <v>30</v>
      </c>
      <c r="N475" s="2">
        <f>IF(O475&gt;=90%,5,IF(O475&gt;=80%,4,IF(O475&gt;=70%,3,IF(O475&gt;=60%,2,1))))</f>
        <v>1</v>
      </c>
      <c r="O475" s="3">
        <v>0.5</v>
      </c>
      <c r="P475" t="s">
        <v>69</v>
      </c>
      <c r="Q475" t="s">
        <v>27</v>
      </c>
      <c r="R475">
        <v>14</v>
      </c>
      <c r="S475">
        <v>3</v>
      </c>
    </row>
    <row r="476" spans="1:19" x14ac:dyDescent="0.3">
      <c r="A476" t="s">
        <v>1029</v>
      </c>
      <c r="B476" t="s">
        <v>1030</v>
      </c>
      <c r="C476" t="str">
        <f t="shared" si="28"/>
        <v>Male</v>
      </c>
      <c r="D476" t="s">
        <v>90</v>
      </c>
      <c r="E476">
        <f t="shared" si="29"/>
        <v>56</v>
      </c>
      <c r="F476">
        <v>56</v>
      </c>
      <c r="G476" t="s">
        <v>42</v>
      </c>
      <c r="H476" t="s">
        <v>43</v>
      </c>
      <c r="I476" t="s">
        <v>87</v>
      </c>
      <c r="J476">
        <f t="shared" si="30"/>
        <v>16</v>
      </c>
      <c r="K476">
        <v>16</v>
      </c>
      <c r="L476" s="5" t="str">
        <f t="shared" si="31"/>
        <v>$30</v>
      </c>
      <c r="M476" s="2" t="s">
        <v>45</v>
      </c>
      <c r="N476" s="2">
        <f>IF(O476&gt;=90%,5,IF(O476&gt;=80%,4,IF(O476&gt;=70%,3,IF(O476&gt;=60%,2,1))))</f>
        <v>1</v>
      </c>
      <c r="O476" s="3">
        <v>0.5</v>
      </c>
      <c r="P476" t="s">
        <v>65</v>
      </c>
      <c r="Q476" t="s">
        <v>58</v>
      </c>
      <c r="R476">
        <v>12</v>
      </c>
      <c r="S476">
        <v>10</v>
      </c>
    </row>
    <row r="477" spans="1:19" x14ac:dyDescent="0.3">
      <c r="A477" t="s">
        <v>1031</v>
      </c>
      <c r="B477" t="s">
        <v>1032</v>
      </c>
      <c r="C477" t="str">
        <f t="shared" si="28"/>
        <v>Female</v>
      </c>
      <c r="D477" t="s">
        <v>77</v>
      </c>
      <c r="E477">
        <f t="shared" si="29"/>
        <v>24</v>
      </c>
      <c r="F477">
        <v>24</v>
      </c>
      <c r="G477" t="s">
        <v>42</v>
      </c>
      <c r="H477" t="s">
        <v>43</v>
      </c>
      <c r="I477" t="s">
        <v>87</v>
      </c>
      <c r="J477">
        <f t="shared" si="30"/>
        <v>6</v>
      </c>
      <c r="K477">
        <v>6</v>
      </c>
      <c r="L477" s="5">
        <f t="shared" si="31"/>
        <v>30</v>
      </c>
      <c r="M477" s="2">
        <v>30</v>
      </c>
      <c r="N477" s="2">
        <f>IF(O477&gt;=90%,5,IF(O477&gt;=80%,4,IF(O477&gt;=70%,3,IF(O477&gt;=60%,2,1))))</f>
        <v>4</v>
      </c>
      <c r="O477" s="3">
        <v>0.84</v>
      </c>
      <c r="P477" t="s">
        <v>46</v>
      </c>
      <c r="Q477" t="s">
        <v>33</v>
      </c>
      <c r="R477">
        <v>6</v>
      </c>
      <c r="S477">
        <v>4</v>
      </c>
    </row>
    <row r="478" spans="1:19" x14ac:dyDescent="0.3">
      <c r="A478" t="s">
        <v>1033</v>
      </c>
      <c r="B478" t="s">
        <v>1034</v>
      </c>
      <c r="C478" t="str">
        <f t="shared" si="28"/>
        <v>Male</v>
      </c>
      <c r="D478" t="s">
        <v>30</v>
      </c>
      <c r="E478">
        <f t="shared" si="29"/>
        <v>48</v>
      </c>
      <c r="F478">
        <v>48</v>
      </c>
      <c r="G478" t="s">
        <v>124</v>
      </c>
      <c r="H478" t="s">
        <v>25</v>
      </c>
      <c r="I478" t="s">
        <v>87</v>
      </c>
      <c r="J478">
        <f t="shared" si="30"/>
        <v>21</v>
      </c>
      <c r="K478">
        <v>21</v>
      </c>
      <c r="L478" s="5">
        <f t="shared" si="31"/>
        <v>75</v>
      </c>
      <c r="M478" s="2">
        <v>75</v>
      </c>
      <c r="N478" s="2">
        <f>IF(O478&gt;=90%,5,IF(O478&gt;=80%,4,IF(O478&gt;=70%,3,IF(O478&gt;=60%,2,1))))</f>
        <v>1</v>
      </c>
      <c r="O478" s="3">
        <v>0.5</v>
      </c>
      <c r="P478" t="s">
        <v>65</v>
      </c>
      <c r="Q478" t="s">
        <v>58</v>
      </c>
      <c r="R478">
        <v>17</v>
      </c>
      <c r="S478">
        <v>8</v>
      </c>
    </row>
    <row r="479" spans="1:19" x14ac:dyDescent="0.3">
      <c r="A479" t="s">
        <v>1035</v>
      </c>
      <c r="B479" t="s">
        <v>1036</v>
      </c>
      <c r="C479" t="str">
        <f t="shared" si="28"/>
        <v>Male</v>
      </c>
      <c r="D479" t="s">
        <v>95</v>
      </c>
      <c r="E479">
        <f t="shared" si="29"/>
        <v>59</v>
      </c>
      <c r="F479">
        <v>59</v>
      </c>
      <c r="G479" t="s">
        <v>131</v>
      </c>
      <c r="H479" t="s">
        <v>132</v>
      </c>
      <c r="I479" t="s">
        <v>78</v>
      </c>
      <c r="J479">
        <f t="shared" si="30"/>
        <v>13</v>
      </c>
      <c r="K479">
        <v>13</v>
      </c>
      <c r="L479" s="5">
        <f t="shared" si="31"/>
        <v>40</v>
      </c>
      <c r="M479" s="2">
        <v>40</v>
      </c>
      <c r="N479" s="2">
        <f>IF(O479&gt;=90%,5,IF(O479&gt;=80%,4,IF(O479&gt;=70%,3,IF(O479&gt;=60%,2,1))))</f>
        <v>2</v>
      </c>
      <c r="O479" s="3">
        <v>0.65</v>
      </c>
      <c r="P479" t="s">
        <v>19</v>
      </c>
      <c r="Q479" t="s">
        <v>20</v>
      </c>
      <c r="R479">
        <v>13</v>
      </c>
      <c r="S479">
        <v>4</v>
      </c>
    </row>
    <row r="480" spans="1:19" x14ac:dyDescent="0.3">
      <c r="A480" t="s">
        <v>1037</v>
      </c>
      <c r="B480" t="s">
        <v>1038</v>
      </c>
      <c r="C480" t="str">
        <f t="shared" si="28"/>
        <v>Male</v>
      </c>
      <c r="D480" t="s">
        <v>61</v>
      </c>
      <c r="E480">
        <f t="shared" si="29"/>
        <v>41</v>
      </c>
      <c r="G480" t="s">
        <v>68</v>
      </c>
      <c r="H480" t="s">
        <v>25</v>
      </c>
      <c r="I480" t="s">
        <v>37</v>
      </c>
      <c r="J480" s="4">
        <f t="shared" si="30"/>
        <v>12.357142857142858</v>
      </c>
      <c r="L480" s="5">
        <f t="shared" si="31"/>
        <v>40</v>
      </c>
      <c r="M480" s="2">
        <v>40</v>
      </c>
      <c r="N480" s="2">
        <f>IF(O480&gt;=90%,5,IF(O480&gt;=80%,4,IF(O480&gt;=70%,3,IF(O480&gt;=60%,2,1))))</f>
        <v>5</v>
      </c>
      <c r="O480" s="3">
        <v>0.94</v>
      </c>
      <c r="P480" t="s">
        <v>69</v>
      </c>
      <c r="Q480" t="s">
        <v>20</v>
      </c>
      <c r="R480">
        <v>4</v>
      </c>
      <c r="S480">
        <v>3</v>
      </c>
    </row>
    <row r="481" spans="1:19" x14ac:dyDescent="0.3">
      <c r="A481" t="s">
        <v>1039</v>
      </c>
      <c r="B481" t="s">
        <v>1040</v>
      </c>
      <c r="C481" t="str">
        <f t="shared" si="28"/>
        <v>Female</v>
      </c>
      <c r="D481" t="s">
        <v>39</v>
      </c>
      <c r="E481">
        <f t="shared" si="29"/>
        <v>41</v>
      </c>
      <c r="G481" t="s">
        <v>42</v>
      </c>
      <c r="H481" t="s">
        <v>43</v>
      </c>
      <c r="I481" t="s">
        <v>26</v>
      </c>
      <c r="J481">
        <f t="shared" si="30"/>
        <v>11</v>
      </c>
      <c r="K481">
        <v>11</v>
      </c>
      <c r="L481" s="5" t="str">
        <f t="shared" si="31"/>
        <v>$20</v>
      </c>
      <c r="M481" s="2" t="s">
        <v>117</v>
      </c>
      <c r="N481" s="2">
        <f>IF(O481&gt;=90%,5,IF(O481&gt;=80%,4,IF(O481&gt;=70%,3,IF(O481&gt;=60%,2,1))))</f>
        <v>2</v>
      </c>
      <c r="O481" s="3">
        <v>0.69</v>
      </c>
      <c r="P481" t="s">
        <v>65</v>
      </c>
      <c r="Q481" t="s">
        <v>20</v>
      </c>
      <c r="R481">
        <v>15</v>
      </c>
      <c r="S481">
        <v>6</v>
      </c>
    </row>
    <row r="482" spans="1:19" x14ac:dyDescent="0.3">
      <c r="A482" t="s">
        <v>1041</v>
      </c>
      <c r="B482" t="s">
        <v>1042</v>
      </c>
      <c r="C482" t="str">
        <f t="shared" si="28"/>
        <v>Male</v>
      </c>
      <c r="D482" t="s">
        <v>49</v>
      </c>
      <c r="E482">
        <f t="shared" si="29"/>
        <v>25</v>
      </c>
      <c r="F482">
        <v>25</v>
      </c>
      <c r="G482" t="s">
        <v>42</v>
      </c>
      <c r="H482" t="s">
        <v>43</v>
      </c>
      <c r="I482" t="s">
        <v>26</v>
      </c>
      <c r="J482">
        <f t="shared" si="30"/>
        <v>0</v>
      </c>
      <c r="K482">
        <v>0</v>
      </c>
      <c r="L482" s="5">
        <f t="shared" si="31"/>
        <v>50</v>
      </c>
      <c r="M482" s="2">
        <v>50</v>
      </c>
      <c r="N482" s="2">
        <f>IF(O482&gt;=90%,5,IF(O482&gt;=80%,4,IF(O482&gt;=70%,3,IF(O482&gt;=60%,2,1))))</f>
        <v>2</v>
      </c>
      <c r="O482" s="3">
        <v>0.65</v>
      </c>
      <c r="P482" t="s">
        <v>65</v>
      </c>
      <c r="Q482" t="s">
        <v>27</v>
      </c>
      <c r="R482">
        <v>2</v>
      </c>
      <c r="S482">
        <v>1</v>
      </c>
    </row>
    <row r="483" spans="1:19" x14ac:dyDescent="0.3">
      <c r="A483" t="s">
        <v>1043</v>
      </c>
      <c r="B483" t="s">
        <v>1044</v>
      </c>
      <c r="C483" t="str">
        <f t="shared" si="28"/>
        <v>Male</v>
      </c>
      <c r="D483" t="s">
        <v>30</v>
      </c>
      <c r="E483">
        <f t="shared" si="29"/>
        <v>31</v>
      </c>
      <c r="F483">
        <v>31</v>
      </c>
      <c r="G483" t="s">
        <v>135</v>
      </c>
      <c r="H483" t="s">
        <v>136</v>
      </c>
      <c r="I483" t="s">
        <v>26</v>
      </c>
      <c r="J483">
        <f t="shared" si="30"/>
        <v>2</v>
      </c>
      <c r="K483">
        <v>2</v>
      </c>
      <c r="L483" s="5" t="str">
        <f t="shared" si="31"/>
        <v>$75</v>
      </c>
      <c r="M483" s="2" t="s">
        <v>163</v>
      </c>
      <c r="N483" s="2">
        <f>IF(O483&gt;=90%,5,IF(O483&gt;=80%,4,IF(O483&gt;=70%,3,IF(O483&gt;=60%,2,1))))</f>
        <v>2</v>
      </c>
      <c r="O483" s="3">
        <v>0.6</v>
      </c>
      <c r="P483" t="s">
        <v>19</v>
      </c>
      <c r="Q483" t="s">
        <v>58</v>
      </c>
      <c r="R483">
        <v>5</v>
      </c>
      <c r="S483">
        <v>1</v>
      </c>
    </row>
    <row r="484" spans="1:19" x14ac:dyDescent="0.3">
      <c r="A484" t="s">
        <v>1045</v>
      </c>
      <c r="B484" t="s">
        <v>1046</v>
      </c>
      <c r="C484" t="str">
        <f t="shared" si="28"/>
        <v>Male</v>
      </c>
      <c r="D484" t="s">
        <v>61</v>
      </c>
      <c r="E484">
        <f t="shared" si="29"/>
        <v>40</v>
      </c>
      <c r="F484">
        <v>40</v>
      </c>
      <c r="G484" t="s">
        <v>62</v>
      </c>
      <c r="H484" t="s">
        <v>63</v>
      </c>
      <c r="I484" t="s">
        <v>87</v>
      </c>
      <c r="J484">
        <f t="shared" si="30"/>
        <v>12</v>
      </c>
      <c r="K484">
        <v>12</v>
      </c>
      <c r="L484" s="5">
        <f t="shared" si="31"/>
        <v>75</v>
      </c>
      <c r="M484" s="2">
        <v>75</v>
      </c>
      <c r="N484" s="2">
        <f>IF(O484&gt;=90%,5,IF(O484&gt;=80%,4,IF(O484&gt;=70%,3,IF(O484&gt;=60%,2,1))))</f>
        <v>1</v>
      </c>
      <c r="O484" s="3">
        <v>0.5</v>
      </c>
      <c r="P484" t="s">
        <v>65</v>
      </c>
      <c r="Q484" t="s">
        <v>20</v>
      </c>
      <c r="R484">
        <v>13</v>
      </c>
      <c r="S484">
        <v>13</v>
      </c>
    </row>
    <row r="485" spans="1:19" x14ac:dyDescent="0.3">
      <c r="A485" t="s">
        <v>1047</v>
      </c>
      <c r="B485" t="s">
        <v>667</v>
      </c>
      <c r="C485" t="str">
        <f t="shared" si="28"/>
        <v>Female</v>
      </c>
      <c r="D485" t="s">
        <v>15</v>
      </c>
      <c r="E485">
        <f t="shared" si="29"/>
        <v>48</v>
      </c>
      <c r="F485">
        <v>48</v>
      </c>
      <c r="G485" t="s">
        <v>120</v>
      </c>
      <c r="H485" t="s">
        <v>121</v>
      </c>
      <c r="I485" t="s">
        <v>18</v>
      </c>
      <c r="J485">
        <f t="shared" si="30"/>
        <v>13</v>
      </c>
      <c r="K485">
        <v>13</v>
      </c>
      <c r="L485" s="5" t="str">
        <f t="shared" si="31"/>
        <v>$100</v>
      </c>
      <c r="M485" s="2" t="s">
        <v>222</v>
      </c>
      <c r="N485" s="2">
        <f>IF(O485&gt;=90%,5,IF(O485&gt;=80%,4,IF(O485&gt;=70%,3,IF(O485&gt;=60%,2,1))))</f>
        <v>2</v>
      </c>
      <c r="O485" s="3">
        <v>0.62</v>
      </c>
      <c r="P485" t="s">
        <v>65</v>
      </c>
      <c r="Q485" t="s">
        <v>33</v>
      </c>
      <c r="R485">
        <v>8</v>
      </c>
      <c r="S485">
        <v>4</v>
      </c>
    </row>
    <row r="486" spans="1:19" x14ac:dyDescent="0.3">
      <c r="A486" t="s">
        <v>1048</v>
      </c>
      <c r="B486" t="s">
        <v>1049</v>
      </c>
      <c r="C486" t="str">
        <f t="shared" si="28"/>
        <v>Female</v>
      </c>
      <c r="D486" t="s">
        <v>15</v>
      </c>
      <c r="E486">
        <f t="shared" si="29"/>
        <v>24</v>
      </c>
      <c r="F486">
        <v>24</v>
      </c>
      <c r="G486" t="s">
        <v>147</v>
      </c>
      <c r="H486" t="s">
        <v>148</v>
      </c>
      <c r="I486" t="s">
        <v>26</v>
      </c>
      <c r="J486">
        <f t="shared" si="30"/>
        <v>6</v>
      </c>
      <c r="K486">
        <v>6</v>
      </c>
      <c r="L486" s="5">
        <f t="shared" si="31"/>
        <v>30</v>
      </c>
      <c r="M486" s="2">
        <v>30</v>
      </c>
      <c r="N486" s="2">
        <f>IF(O486&gt;=90%,5,IF(O486&gt;=80%,4,IF(O486&gt;=70%,3,IF(O486&gt;=60%,2,1))))</f>
        <v>1</v>
      </c>
      <c r="O486" s="3">
        <v>0.5</v>
      </c>
      <c r="P486" t="s">
        <v>19</v>
      </c>
      <c r="Q486" t="s">
        <v>20</v>
      </c>
      <c r="R486">
        <v>9</v>
      </c>
      <c r="S486">
        <v>9</v>
      </c>
    </row>
    <row r="487" spans="1:19" x14ac:dyDescent="0.3">
      <c r="A487" t="s">
        <v>1050</v>
      </c>
      <c r="B487" t="s">
        <v>1051</v>
      </c>
      <c r="C487" t="str">
        <f t="shared" si="28"/>
        <v>Male</v>
      </c>
      <c r="D487" t="s">
        <v>61</v>
      </c>
      <c r="E487">
        <f t="shared" si="29"/>
        <v>33</v>
      </c>
      <c r="F487">
        <v>33</v>
      </c>
      <c r="G487" t="s">
        <v>50</v>
      </c>
      <c r="H487" t="s">
        <v>51</v>
      </c>
      <c r="I487" t="s">
        <v>37</v>
      </c>
      <c r="J487">
        <f t="shared" si="30"/>
        <v>10</v>
      </c>
      <c r="K487">
        <v>10</v>
      </c>
      <c r="L487" s="5" t="str">
        <f t="shared" si="31"/>
        <v>$30</v>
      </c>
      <c r="M487" s="2" t="s">
        <v>45</v>
      </c>
      <c r="N487" s="2">
        <f>IF(O487&gt;=90%,5,IF(O487&gt;=80%,4,IF(O487&gt;=70%,3,IF(O487&gt;=60%,2,1))))</f>
        <v>4</v>
      </c>
      <c r="O487" s="3">
        <v>0.89</v>
      </c>
      <c r="P487" t="s">
        <v>46</v>
      </c>
      <c r="Q487" t="s">
        <v>20</v>
      </c>
      <c r="R487">
        <v>11</v>
      </c>
      <c r="S487">
        <v>10</v>
      </c>
    </row>
    <row r="488" spans="1:19" x14ac:dyDescent="0.3">
      <c r="A488" t="s">
        <v>1052</v>
      </c>
      <c r="B488" t="s">
        <v>1053</v>
      </c>
      <c r="C488" t="str">
        <f t="shared" si="28"/>
        <v>Female</v>
      </c>
      <c r="D488" t="s">
        <v>77</v>
      </c>
      <c r="E488">
        <f t="shared" si="29"/>
        <v>43</v>
      </c>
      <c r="F488">
        <v>43</v>
      </c>
      <c r="G488" t="s">
        <v>104</v>
      </c>
      <c r="H488" t="s">
        <v>105</v>
      </c>
      <c r="I488" t="s">
        <v>74</v>
      </c>
      <c r="J488">
        <f t="shared" si="30"/>
        <v>2</v>
      </c>
      <c r="K488">
        <v>2</v>
      </c>
      <c r="L488" s="5" t="str">
        <f t="shared" si="31"/>
        <v>$40</v>
      </c>
      <c r="M488" s="2" t="s">
        <v>38</v>
      </c>
      <c r="N488" s="2">
        <f>IF(O488&gt;=90%,5,IF(O488&gt;=80%,4,IF(O488&gt;=70%,3,IF(O488&gt;=60%,2,1))))</f>
        <v>4</v>
      </c>
      <c r="O488" s="3">
        <v>0.89</v>
      </c>
      <c r="P488" t="s">
        <v>19</v>
      </c>
      <c r="Q488" t="s">
        <v>20</v>
      </c>
      <c r="R488">
        <v>5</v>
      </c>
      <c r="S488">
        <v>1</v>
      </c>
    </row>
    <row r="489" spans="1:19" x14ac:dyDescent="0.3">
      <c r="A489" t="s">
        <v>1054</v>
      </c>
      <c r="B489" t="s">
        <v>1055</v>
      </c>
      <c r="C489" t="str">
        <f t="shared" si="28"/>
        <v>Male</v>
      </c>
      <c r="D489" t="s">
        <v>90</v>
      </c>
      <c r="E489">
        <f t="shared" si="29"/>
        <v>43</v>
      </c>
      <c r="F489">
        <v>43</v>
      </c>
      <c r="G489" t="s">
        <v>183</v>
      </c>
      <c r="H489" t="s">
        <v>73</v>
      </c>
      <c r="I489" t="s">
        <v>18</v>
      </c>
      <c r="J489">
        <f t="shared" si="30"/>
        <v>4</v>
      </c>
      <c r="K489">
        <v>4</v>
      </c>
      <c r="L489" s="5">
        <f t="shared" si="31"/>
        <v>50</v>
      </c>
      <c r="M489" s="2">
        <v>50</v>
      </c>
      <c r="N489" s="2">
        <f>IF(O489&gt;=90%,5,IF(O489&gt;=80%,4,IF(O489&gt;=70%,3,IF(O489&gt;=60%,2,1))))</f>
        <v>5</v>
      </c>
      <c r="O489" s="3">
        <v>1</v>
      </c>
      <c r="P489" t="s">
        <v>46</v>
      </c>
      <c r="Q489" t="s">
        <v>27</v>
      </c>
      <c r="R489">
        <v>2</v>
      </c>
      <c r="S489">
        <v>1</v>
      </c>
    </row>
    <row r="490" spans="1:19" x14ac:dyDescent="0.3">
      <c r="A490" t="s">
        <v>1056</v>
      </c>
      <c r="B490" t="s">
        <v>1057</v>
      </c>
      <c r="C490" t="str">
        <f t="shared" si="28"/>
        <v>Female</v>
      </c>
      <c r="D490" t="s">
        <v>23</v>
      </c>
      <c r="E490">
        <f t="shared" si="29"/>
        <v>33</v>
      </c>
      <c r="F490">
        <v>33</v>
      </c>
      <c r="G490" t="s">
        <v>24</v>
      </c>
      <c r="H490" t="s">
        <v>25</v>
      </c>
      <c r="I490" t="s">
        <v>37</v>
      </c>
      <c r="J490">
        <f t="shared" si="30"/>
        <v>11</v>
      </c>
      <c r="K490">
        <v>11</v>
      </c>
      <c r="L490" s="5">
        <f t="shared" si="31"/>
        <v>57.349397590361448</v>
      </c>
      <c r="N490" s="2">
        <f>IF(O490&gt;=90%,5,IF(O490&gt;=80%,4,IF(O490&gt;=70%,3,IF(O490&gt;=60%,2,1))))</f>
        <v>1</v>
      </c>
      <c r="O490" s="3">
        <v>0.5</v>
      </c>
      <c r="P490" t="s">
        <v>69</v>
      </c>
      <c r="Q490" t="s">
        <v>33</v>
      </c>
      <c r="R490">
        <v>15</v>
      </c>
      <c r="S490">
        <v>2</v>
      </c>
    </row>
    <row r="491" spans="1:19" x14ac:dyDescent="0.3">
      <c r="A491" t="s">
        <v>1058</v>
      </c>
      <c r="B491" t="s">
        <v>1059</v>
      </c>
      <c r="C491" t="str">
        <f t="shared" si="28"/>
        <v>Female</v>
      </c>
      <c r="D491" t="s">
        <v>23</v>
      </c>
      <c r="E491">
        <f t="shared" si="29"/>
        <v>49</v>
      </c>
      <c r="F491">
        <v>49</v>
      </c>
      <c r="G491" t="s">
        <v>120</v>
      </c>
      <c r="H491" t="s">
        <v>121</v>
      </c>
      <c r="I491" t="s">
        <v>74</v>
      </c>
      <c r="J491">
        <f t="shared" si="30"/>
        <v>14</v>
      </c>
      <c r="K491">
        <v>14</v>
      </c>
      <c r="L491" s="5">
        <f t="shared" si="31"/>
        <v>40</v>
      </c>
      <c r="M491" s="2">
        <v>40</v>
      </c>
      <c r="N491" s="2">
        <f>IF(O491&gt;=90%,5,IF(O491&gt;=80%,4,IF(O491&gt;=70%,3,IF(O491&gt;=60%,2,1))))</f>
        <v>2</v>
      </c>
      <c r="O491" s="3">
        <v>0.6</v>
      </c>
      <c r="P491" t="s">
        <v>46</v>
      </c>
      <c r="Q491" t="s">
        <v>58</v>
      </c>
      <c r="R491">
        <v>15</v>
      </c>
      <c r="S491">
        <v>10</v>
      </c>
    </row>
    <row r="492" spans="1:19" x14ac:dyDescent="0.3">
      <c r="A492" t="s">
        <v>1060</v>
      </c>
      <c r="B492" t="s">
        <v>1061</v>
      </c>
      <c r="C492" t="str">
        <f t="shared" si="28"/>
        <v>Male</v>
      </c>
      <c r="D492" t="s">
        <v>49</v>
      </c>
      <c r="E492">
        <f t="shared" si="29"/>
        <v>55</v>
      </c>
      <c r="F492">
        <v>55</v>
      </c>
      <c r="G492" t="s">
        <v>124</v>
      </c>
      <c r="H492" t="s">
        <v>25</v>
      </c>
      <c r="I492" t="s">
        <v>74</v>
      </c>
      <c r="J492">
        <f t="shared" si="30"/>
        <v>10</v>
      </c>
      <c r="K492">
        <v>10</v>
      </c>
      <c r="L492" s="5">
        <f t="shared" si="31"/>
        <v>40</v>
      </c>
      <c r="M492" s="2">
        <v>40</v>
      </c>
      <c r="N492" s="2">
        <f>IF(O492&gt;=90%,5,IF(O492&gt;=80%,4,IF(O492&gt;=70%,3,IF(O492&gt;=60%,2,1))))</f>
        <v>4</v>
      </c>
      <c r="O492" s="3">
        <v>0.85</v>
      </c>
      <c r="P492" t="s">
        <v>46</v>
      </c>
      <c r="Q492" t="s">
        <v>33</v>
      </c>
      <c r="R492">
        <v>7</v>
      </c>
      <c r="S492">
        <v>6</v>
      </c>
    </row>
    <row r="493" spans="1:19" x14ac:dyDescent="0.3">
      <c r="A493" t="s">
        <v>1062</v>
      </c>
      <c r="B493" t="s">
        <v>1063</v>
      </c>
      <c r="C493" t="str">
        <f t="shared" si="28"/>
        <v>Female</v>
      </c>
      <c r="D493" t="s">
        <v>36</v>
      </c>
      <c r="E493">
        <f t="shared" si="29"/>
        <v>33</v>
      </c>
      <c r="F493">
        <v>33</v>
      </c>
      <c r="G493" t="s">
        <v>108</v>
      </c>
      <c r="H493" t="s">
        <v>109</v>
      </c>
      <c r="I493" t="s">
        <v>32</v>
      </c>
      <c r="J493">
        <f t="shared" si="30"/>
        <v>3</v>
      </c>
      <c r="K493">
        <v>3</v>
      </c>
      <c r="L493" s="5" t="str">
        <f t="shared" si="31"/>
        <v>$40</v>
      </c>
      <c r="M493" s="2" t="s">
        <v>38</v>
      </c>
      <c r="N493" s="2">
        <f>IF(O493&gt;=90%,5,IF(O493&gt;=80%,4,IF(O493&gt;=70%,3,IF(O493&gt;=60%,2,1))))</f>
        <v>4</v>
      </c>
      <c r="O493" s="3">
        <v>0.83</v>
      </c>
      <c r="P493" t="s">
        <v>69</v>
      </c>
      <c r="Q493" t="s">
        <v>58</v>
      </c>
      <c r="R493">
        <v>4</v>
      </c>
      <c r="S493">
        <v>2</v>
      </c>
    </row>
    <row r="494" spans="1:19" x14ac:dyDescent="0.3">
      <c r="A494" t="s">
        <v>1064</v>
      </c>
      <c r="B494" t="s">
        <v>1065</v>
      </c>
      <c r="C494" t="str">
        <f t="shared" si="28"/>
        <v>Male</v>
      </c>
      <c r="D494" t="s">
        <v>95</v>
      </c>
      <c r="E494">
        <f t="shared" si="29"/>
        <v>32</v>
      </c>
      <c r="F494">
        <v>32</v>
      </c>
      <c r="G494" t="s">
        <v>72</v>
      </c>
      <c r="H494" t="s">
        <v>73</v>
      </c>
      <c r="I494" t="s">
        <v>44</v>
      </c>
      <c r="J494">
        <f t="shared" si="30"/>
        <v>3</v>
      </c>
      <c r="K494">
        <v>3</v>
      </c>
      <c r="L494" s="5" t="str">
        <f t="shared" si="31"/>
        <v>$30</v>
      </c>
      <c r="M494" s="2" t="s">
        <v>45</v>
      </c>
      <c r="N494" s="2">
        <f>IF(O494&gt;=90%,5,IF(O494&gt;=80%,4,IF(O494&gt;=70%,3,IF(O494&gt;=60%,2,1))))</f>
        <v>5</v>
      </c>
      <c r="O494" s="3">
        <v>0.96</v>
      </c>
      <c r="P494" t="s">
        <v>46</v>
      </c>
      <c r="Q494" t="s">
        <v>27</v>
      </c>
      <c r="R494">
        <v>5</v>
      </c>
      <c r="S494">
        <v>1</v>
      </c>
    </row>
    <row r="495" spans="1:19" x14ac:dyDescent="0.3">
      <c r="A495" t="s">
        <v>1066</v>
      </c>
      <c r="B495" t="s">
        <v>1067</v>
      </c>
      <c r="C495" t="str">
        <f t="shared" si="28"/>
        <v>Male</v>
      </c>
      <c r="D495" t="s">
        <v>49</v>
      </c>
      <c r="E495">
        <f t="shared" si="29"/>
        <v>58</v>
      </c>
      <c r="F495">
        <v>58</v>
      </c>
      <c r="G495" t="s">
        <v>42</v>
      </c>
      <c r="H495" t="s">
        <v>43</v>
      </c>
      <c r="I495" t="s">
        <v>18</v>
      </c>
      <c r="J495">
        <f t="shared" si="30"/>
        <v>33</v>
      </c>
      <c r="K495">
        <v>33</v>
      </c>
      <c r="L495" s="5">
        <f t="shared" si="31"/>
        <v>57.777777777777779</v>
      </c>
      <c r="N495" s="2">
        <f>IF(O495&gt;=90%,5,IF(O495&gt;=80%,4,IF(O495&gt;=70%,3,IF(O495&gt;=60%,2,1))))</f>
        <v>4</v>
      </c>
      <c r="O495" s="3">
        <v>0.83</v>
      </c>
      <c r="P495" t="s">
        <v>19</v>
      </c>
      <c r="Q495" t="s">
        <v>27</v>
      </c>
      <c r="R495">
        <v>19</v>
      </c>
      <c r="S495">
        <v>3</v>
      </c>
    </row>
    <row r="496" spans="1:19" x14ac:dyDescent="0.3">
      <c r="A496" t="s">
        <v>1068</v>
      </c>
      <c r="B496" t="s">
        <v>1069</v>
      </c>
      <c r="C496" t="str">
        <f t="shared" si="28"/>
        <v>Male</v>
      </c>
      <c r="D496" t="s">
        <v>30</v>
      </c>
      <c r="E496">
        <f t="shared" si="29"/>
        <v>49</v>
      </c>
      <c r="F496">
        <v>49</v>
      </c>
      <c r="G496" t="s">
        <v>50</v>
      </c>
      <c r="H496" t="s">
        <v>51</v>
      </c>
      <c r="I496" t="s">
        <v>52</v>
      </c>
      <c r="J496">
        <f t="shared" si="30"/>
        <v>24</v>
      </c>
      <c r="K496">
        <v>24</v>
      </c>
      <c r="L496" s="5">
        <f t="shared" si="31"/>
        <v>100</v>
      </c>
      <c r="M496" s="2">
        <v>100</v>
      </c>
      <c r="N496" s="2">
        <f>IF(O496&gt;=90%,5,IF(O496&gt;=80%,4,IF(O496&gt;=70%,3,IF(O496&gt;=60%,2,1))))</f>
        <v>2</v>
      </c>
      <c r="O496" s="3">
        <v>0.6</v>
      </c>
      <c r="P496" t="s">
        <v>46</v>
      </c>
      <c r="Q496" t="s">
        <v>27</v>
      </c>
      <c r="R496">
        <v>20</v>
      </c>
      <c r="S496">
        <v>3</v>
      </c>
    </row>
    <row r="497" spans="1:19" x14ac:dyDescent="0.3">
      <c r="A497" t="s">
        <v>1070</v>
      </c>
      <c r="B497" t="s">
        <v>1071</v>
      </c>
      <c r="C497" t="str">
        <f t="shared" si="28"/>
        <v>Female</v>
      </c>
      <c r="D497" t="s">
        <v>77</v>
      </c>
      <c r="E497">
        <f t="shared" si="29"/>
        <v>22</v>
      </c>
      <c r="F497">
        <v>22</v>
      </c>
      <c r="G497" t="s">
        <v>120</v>
      </c>
      <c r="H497" t="s">
        <v>121</v>
      </c>
      <c r="I497" t="s">
        <v>74</v>
      </c>
      <c r="J497">
        <f t="shared" si="30"/>
        <v>3</v>
      </c>
      <c r="K497">
        <v>3</v>
      </c>
      <c r="L497" s="5" t="str">
        <f t="shared" si="31"/>
        <v>$100</v>
      </c>
      <c r="M497" s="2" t="s">
        <v>222</v>
      </c>
      <c r="N497" s="2">
        <f>IF(O497&gt;=90%,5,IF(O497&gt;=80%,4,IF(O497&gt;=70%,3,IF(O497&gt;=60%,2,1))))</f>
        <v>3</v>
      </c>
      <c r="O497" s="3">
        <v>0.78</v>
      </c>
      <c r="P497" t="s">
        <v>69</v>
      </c>
      <c r="Q497" t="s">
        <v>27</v>
      </c>
      <c r="R497">
        <v>3</v>
      </c>
      <c r="S497">
        <v>4</v>
      </c>
    </row>
    <row r="498" spans="1:19" x14ac:dyDescent="0.3">
      <c r="A498" t="s">
        <v>1072</v>
      </c>
      <c r="B498" t="s">
        <v>1073</v>
      </c>
      <c r="C498" t="str">
        <f t="shared" si="28"/>
        <v>Female</v>
      </c>
      <c r="D498" t="s">
        <v>15</v>
      </c>
      <c r="E498">
        <f t="shared" si="29"/>
        <v>40</v>
      </c>
      <c r="F498">
        <v>40</v>
      </c>
      <c r="G498" t="s">
        <v>135</v>
      </c>
      <c r="H498" t="s">
        <v>136</v>
      </c>
      <c r="I498" t="s">
        <v>37</v>
      </c>
      <c r="J498">
        <f t="shared" si="30"/>
        <v>11</v>
      </c>
      <c r="K498">
        <v>11</v>
      </c>
      <c r="L498" s="5" t="str">
        <f t="shared" si="31"/>
        <v>$20</v>
      </c>
      <c r="M498" s="2" t="s">
        <v>117</v>
      </c>
      <c r="N498" s="2">
        <f>IF(O498&gt;=90%,5,IF(O498&gt;=80%,4,IF(O498&gt;=70%,3,IF(O498&gt;=60%,2,1))))</f>
        <v>5</v>
      </c>
      <c r="O498" s="3">
        <v>0.9</v>
      </c>
      <c r="P498" t="s">
        <v>19</v>
      </c>
      <c r="Q498" t="s">
        <v>58</v>
      </c>
      <c r="R498">
        <v>13</v>
      </c>
      <c r="S498">
        <v>10</v>
      </c>
    </row>
    <row r="499" spans="1:19" x14ac:dyDescent="0.3">
      <c r="A499" t="s">
        <v>1074</v>
      </c>
      <c r="B499" t="s">
        <v>1075</v>
      </c>
      <c r="C499" t="str">
        <f t="shared" si="28"/>
        <v>Male</v>
      </c>
      <c r="D499" t="s">
        <v>49</v>
      </c>
      <c r="E499">
        <f t="shared" si="29"/>
        <v>55</v>
      </c>
      <c r="F499">
        <v>55</v>
      </c>
      <c r="G499" t="s">
        <v>24</v>
      </c>
      <c r="H499" t="s">
        <v>25</v>
      </c>
      <c r="I499" t="s">
        <v>52</v>
      </c>
      <c r="J499">
        <f t="shared" si="30"/>
        <v>7</v>
      </c>
      <c r="K499">
        <v>7</v>
      </c>
      <c r="L499" s="5" t="str">
        <f t="shared" si="31"/>
        <v>$100</v>
      </c>
      <c r="M499" s="2" t="s">
        <v>222</v>
      </c>
      <c r="N499" s="2">
        <f>IF(O499&gt;=90%,5,IF(O499&gt;=80%,4,IF(O499&gt;=70%,3,IF(O499&gt;=60%,2,1))))</f>
        <v>2</v>
      </c>
      <c r="O499" s="3">
        <v>0.66</v>
      </c>
      <c r="P499" t="s">
        <v>69</v>
      </c>
      <c r="Q499" t="s">
        <v>20</v>
      </c>
      <c r="R499">
        <v>8</v>
      </c>
      <c r="S499">
        <v>9</v>
      </c>
    </row>
    <row r="500" spans="1:19" x14ac:dyDescent="0.3">
      <c r="A500" t="s">
        <v>1076</v>
      </c>
      <c r="B500" t="s">
        <v>1077</v>
      </c>
      <c r="C500" t="str">
        <f t="shared" si="28"/>
        <v>Male</v>
      </c>
      <c r="D500" t="s">
        <v>90</v>
      </c>
      <c r="E500">
        <f t="shared" si="29"/>
        <v>32</v>
      </c>
      <c r="F500">
        <v>32</v>
      </c>
      <c r="G500" t="s">
        <v>172</v>
      </c>
      <c r="H500" t="s">
        <v>73</v>
      </c>
      <c r="I500" t="s">
        <v>87</v>
      </c>
      <c r="J500">
        <f t="shared" si="30"/>
        <v>1</v>
      </c>
      <c r="K500">
        <v>1</v>
      </c>
      <c r="L500" s="5" t="str">
        <f t="shared" si="31"/>
        <v>$50</v>
      </c>
      <c r="M500" s="2" t="s">
        <v>64</v>
      </c>
      <c r="N500" s="2">
        <f>IF(O500&gt;=90%,5,IF(O500&gt;=80%,4,IF(O500&gt;=70%,3,IF(O500&gt;=60%,2,1))))</f>
        <v>3</v>
      </c>
      <c r="O500" s="3">
        <v>0.7</v>
      </c>
      <c r="P500" t="s">
        <v>69</v>
      </c>
      <c r="Q500" t="s">
        <v>58</v>
      </c>
      <c r="R500">
        <v>4</v>
      </c>
      <c r="S500">
        <v>5</v>
      </c>
    </row>
    <row r="501" spans="1:19" x14ac:dyDescent="0.3">
      <c r="A501" t="s">
        <v>1078</v>
      </c>
      <c r="B501" t="s">
        <v>1079</v>
      </c>
      <c r="C501" t="str">
        <f t="shared" si="28"/>
        <v>Female</v>
      </c>
      <c r="D501" t="s">
        <v>23</v>
      </c>
      <c r="E501">
        <f t="shared" si="29"/>
        <v>21</v>
      </c>
      <c r="F501">
        <v>21</v>
      </c>
      <c r="G501" t="s">
        <v>83</v>
      </c>
      <c r="H501" t="s">
        <v>84</v>
      </c>
      <c r="I501" t="s">
        <v>74</v>
      </c>
      <c r="J501">
        <f t="shared" si="30"/>
        <v>0</v>
      </c>
      <c r="K501">
        <v>0</v>
      </c>
      <c r="L501" s="5" t="str">
        <f t="shared" si="31"/>
        <v>$30</v>
      </c>
      <c r="M501" s="2" t="s">
        <v>45</v>
      </c>
      <c r="N501" s="2">
        <f>IF(O501&gt;=90%,5,IF(O501&gt;=80%,4,IF(O501&gt;=70%,3,IF(O501&gt;=60%,2,1))))</f>
        <v>3</v>
      </c>
      <c r="O501" s="3">
        <v>0.79</v>
      </c>
      <c r="P501" t="s">
        <v>65</v>
      </c>
      <c r="Q501" t="s">
        <v>33</v>
      </c>
      <c r="R501">
        <v>3</v>
      </c>
      <c r="S501">
        <v>2</v>
      </c>
    </row>
    <row r="502" spans="1:19" x14ac:dyDescent="0.3">
      <c r="A502" t="s">
        <v>1080</v>
      </c>
      <c r="B502" t="s">
        <v>1081</v>
      </c>
      <c r="C502" t="str">
        <f t="shared" si="28"/>
        <v>Male</v>
      </c>
      <c r="D502" t="s">
        <v>90</v>
      </c>
      <c r="E502">
        <f t="shared" si="29"/>
        <v>23</v>
      </c>
      <c r="F502">
        <v>23</v>
      </c>
      <c r="G502" t="s">
        <v>108</v>
      </c>
      <c r="H502" t="s">
        <v>109</v>
      </c>
      <c r="I502" t="s">
        <v>18</v>
      </c>
      <c r="J502">
        <f t="shared" si="30"/>
        <v>1</v>
      </c>
      <c r="K502">
        <v>1</v>
      </c>
      <c r="L502" s="5">
        <f t="shared" si="31"/>
        <v>40</v>
      </c>
      <c r="M502" s="2">
        <v>40</v>
      </c>
      <c r="N502" s="2">
        <f>IF(O502&gt;=90%,5,IF(O502&gt;=80%,4,IF(O502&gt;=70%,3,IF(O502&gt;=60%,2,1))))</f>
        <v>2</v>
      </c>
      <c r="O502" s="3">
        <v>0.64</v>
      </c>
      <c r="P502" t="s">
        <v>65</v>
      </c>
      <c r="Q502" t="s">
        <v>27</v>
      </c>
      <c r="R502">
        <v>2</v>
      </c>
      <c r="S502">
        <v>3</v>
      </c>
    </row>
    <row r="503" spans="1:19" x14ac:dyDescent="0.3">
      <c r="A503" t="s">
        <v>1082</v>
      </c>
      <c r="B503" t="s">
        <v>1083</v>
      </c>
      <c r="C503" t="str">
        <f t="shared" si="28"/>
        <v>Male</v>
      </c>
      <c r="D503" t="s">
        <v>95</v>
      </c>
      <c r="E503">
        <f t="shared" si="29"/>
        <v>21</v>
      </c>
      <c r="F503">
        <v>21</v>
      </c>
      <c r="G503" t="s">
        <v>68</v>
      </c>
      <c r="H503" t="s">
        <v>25</v>
      </c>
      <c r="I503" t="s">
        <v>26</v>
      </c>
      <c r="J503">
        <f t="shared" si="30"/>
        <v>1</v>
      </c>
      <c r="K503">
        <v>1</v>
      </c>
      <c r="L503" s="5" t="str">
        <f t="shared" si="31"/>
        <v>$30</v>
      </c>
      <c r="M503" s="2" t="s">
        <v>45</v>
      </c>
      <c r="N503" s="2">
        <f>IF(O503&gt;=90%,5,IF(O503&gt;=80%,4,IF(O503&gt;=70%,3,IF(O503&gt;=60%,2,1))))</f>
        <v>4</v>
      </c>
      <c r="O503" s="3">
        <v>0.81</v>
      </c>
      <c r="P503" t="s">
        <v>69</v>
      </c>
      <c r="Q503" t="s">
        <v>27</v>
      </c>
      <c r="R503">
        <v>1</v>
      </c>
      <c r="S503">
        <v>3</v>
      </c>
    </row>
    <row r="504" spans="1:19" x14ac:dyDescent="0.3">
      <c r="A504" t="s">
        <v>1084</v>
      </c>
      <c r="B504" t="s">
        <v>1085</v>
      </c>
      <c r="C504" t="str">
        <f t="shared" si="28"/>
        <v>Male</v>
      </c>
      <c r="D504" t="s">
        <v>95</v>
      </c>
      <c r="E504">
        <f t="shared" si="29"/>
        <v>31</v>
      </c>
      <c r="F504">
        <v>31</v>
      </c>
      <c r="G504" t="s">
        <v>72</v>
      </c>
      <c r="H504" t="s">
        <v>73</v>
      </c>
      <c r="I504" t="s">
        <v>44</v>
      </c>
      <c r="J504">
        <f t="shared" si="30"/>
        <v>7</v>
      </c>
      <c r="K504">
        <v>7</v>
      </c>
      <c r="L504" s="5">
        <f t="shared" si="31"/>
        <v>75</v>
      </c>
      <c r="M504" s="2">
        <v>75</v>
      </c>
      <c r="N504" s="2">
        <f>IF(O504&gt;=90%,5,IF(O504&gt;=80%,4,IF(O504&gt;=70%,3,IF(O504&gt;=60%,2,1))))</f>
        <v>4</v>
      </c>
      <c r="O504" s="3">
        <v>0.83</v>
      </c>
      <c r="P504" t="s">
        <v>69</v>
      </c>
      <c r="Q504" t="s">
        <v>33</v>
      </c>
      <c r="R504">
        <v>12</v>
      </c>
      <c r="S504">
        <v>6</v>
      </c>
    </row>
    <row r="505" spans="1:19" x14ac:dyDescent="0.3">
      <c r="A505" t="s">
        <v>1086</v>
      </c>
      <c r="B505" t="s">
        <v>1087</v>
      </c>
      <c r="C505" t="str">
        <f t="shared" si="28"/>
        <v>Male</v>
      </c>
      <c r="D505" t="s">
        <v>90</v>
      </c>
      <c r="E505">
        <f t="shared" si="29"/>
        <v>21</v>
      </c>
      <c r="F505">
        <v>21</v>
      </c>
      <c r="G505" t="s">
        <v>172</v>
      </c>
      <c r="H505" t="s">
        <v>73</v>
      </c>
      <c r="I505" t="s">
        <v>18</v>
      </c>
      <c r="J505" s="4">
        <f t="shared" si="30"/>
        <v>10.380952380952381</v>
      </c>
      <c r="L505" s="5">
        <f t="shared" si="31"/>
        <v>40</v>
      </c>
      <c r="M505" s="2">
        <v>40</v>
      </c>
      <c r="N505" s="2">
        <f>IF(O505&gt;=90%,5,IF(O505&gt;=80%,4,IF(O505&gt;=70%,3,IF(O505&gt;=60%,2,1))))</f>
        <v>5</v>
      </c>
      <c r="O505" s="3">
        <v>0.91</v>
      </c>
      <c r="P505" t="s">
        <v>69</v>
      </c>
      <c r="Q505" t="s">
        <v>58</v>
      </c>
      <c r="R505">
        <v>2</v>
      </c>
      <c r="S505">
        <v>1</v>
      </c>
    </row>
    <row r="506" spans="1:19" x14ac:dyDescent="0.3">
      <c r="A506" t="s">
        <v>1088</v>
      </c>
      <c r="B506" t="s">
        <v>1089</v>
      </c>
      <c r="C506" t="str">
        <f t="shared" si="28"/>
        <v>Male</v>
      </c>
      <c r="D506" t="s">
        <v>30</v>
      </c>
      <c r="E506">
        <f t="shared" si="29"/>
        <v>33</v>
      </c>
      <c r="F506">
        <v>33</v>
      </c>
      <c r="G506" t="s">
        <v>68</v>
      </c>
      <c r="H506" t="s">
        <v>25</v>
      </c>
      <c r="I506" t="s">
        <v>78</v>
      </c>
      <c r="J506">
        <f t="shared" si="30"/>
        <v>6</v>
      </c>
      <c r="K506">
        <v>6</v>
      </c>
      <c r="L506" s="5" t="str">
        <f t="shared" si="31"/>
        <v>$50</v>
      </c>
      <c r="M506" s="2" t="s">
        <v>64</v>
      </c>
      <c r="N506" s="2">
        <f>IF(O506&gt;=90%,5,IF(O506&gt;=80%,4,IF(O506&gt;=70%,3,IF(O506&gt;=60%,2,1))))</f>
        <v>1</v>
      </c>
      <c r="O506" s="3">
        <v>0.5</v>
      </c>
      <c r="P506" t="s">
        <v>65</v>
      </c>
      <c r="Q506" t="s">
        <v>20</v>
      </c>
      <c r="R506">
        <v>15</v>
      </c>
      <c r="S506">
        <v>9</v>
      </c>
    </row>
    <row r="507" spans="1:19" x14ac:dyDescent="0.3">
      <c r="A507" t="s">
        <v>1090</v>
      </c>
      <c r="B507" t="s">
        <v>1091</v>
      </c>
      <c r="C507" t="str">
        <f t="shared" si="28"/>
        <v>Male</v>
      </c>
      <c r="D507" t="s">
        <v>49</v>
      </c>
      <c r="E507">
        <f t="shared" si="29"/>
        <v>57</v>
      </c>
      <c r="F507">
        <v>57</v>
      </c>
      <c r="G507" t="s">
        <v>104</v>
      </c>
      <c r="H507" t="s">
        <v>105</v>
      </c>
      <c r="I507" t="s">
        <v>37</v>
      </c>
      <c r="J507">
        <f t="shared" si="30"/>
        <v>5</v>
      </c>
      <c r="K507">
        <v>5</v>
      </c>
      <c r="L507" s="5">
        <f t="shared" si="31"/>
        <v>75</v>
      </c>
      <c r="M507" s="2">
        <v>75</v>
      </c>
      <c r="N507" s="2">
        <f>IF(O507&gt;=90%,5,IF(O507&gt;=80%,4,IF(O507&gt;=70%,3,IF(O507&gt;=60%,2,1))))</f>
        <v>3</v>
      </c>
      <c r="O507" s="3">
        <v>0.77</v>
      </c>
      <c r="P507" t="s">
        <v>65</v>
      </c>
      <c r="Q507" t="s">
        <v>20</v>
      </c>
      <c r="R507">
        <v>2</v>
      </c>
      <c r="S507">
        <v>3</v>
      </c>
    </row>
    <row r="508" spans="1:19" x14ac:dyDescent="0.3">
      <c r="A508" t="s">
        <v>1092</v>
      </c>
      <c r="B508" t="s">
        <v>1093</v>
      </c>
      <c r="C508" t="str">
        <f t="shared" si="28"/>
        <v>Male</v>
      </c>
      <c r="D508" t="s">
        <v>49</v>
      </c>
      <c r="E508">
        <f t="shared" si="29"/>
        <v>52</v>
      </c>
      <c r="F508">
        <v>52</v>
      </c>
      <c r="G508" t="s">
        <v>57</v>
      </c>
      <c r="H508" t="s">
        <v>25</v>
      </c>
      <c r="I508" t="s">
        <v>87</v>
      </c>
      <c r="J508">
        <f t="shared" si="30"/>
        <v>17</v>
      </c>
      <c r="K508">
        <v>17</v>
      </c>
      <c r="L508" s="5" t="str">
        <f t="shared" si="31"/>
        <v>$75</v>
      </c>
      <c r="M508" s="2" t="s">
        <v>163</v>
      </c>
      <c r="N508" s="2">
        <f>IF(O508&gt;=90%,5,IF(O508&gt;=80%,4,IF(O508&gt;=70%,3,IF(O508&gt;=60%,2,1))))</f>
        <v>5</v>
      </c>
      <c r="O508" s="3">
        <v>0.94</v>
      </c>
      <c r="P508" t="s">
        <v>46</v>
      </c>
      <c r="Q508" t="s">
        <v>33</v>
      </c>
      <c r="R508">
        <v>18</v>
      </c>
      <c r="S508">
        <v>6</v>
      </c>
    </row>
    <row r="509" spans="1:19" x14ac:dyDescent="0.3">
      <c r="A509" t="s">
        <v>1094</v>
      </c>
      <c r="B509" t="s">
        <v>1095</v>
      </c>
      <c r="C509" t="str">
        <f t="shared" si="28"/>
        <v>Female</v>
      </c>
      <c r="D509" t="s">
        <v>77</v>
      </c>
      <c r="E509">
        <f t="shared" si="29"/>
        <v>21</v>
      </c>
      <c r="F509">
        <v>21</v>
      </c>
      <c r="G509" t="s">
        <v>31</v>
      </c>
      <c r="H509" t="s">
        <v>31</v>
      </c>
      <c r="I509" t="s">
        <v>37</v>
      </c>
      <c r="J509">
        <f t="shared" si="30"/>
        <v>0</v>
      </c>
      <c r="K509">
        <v>0</v>
      </c>
      <c r="L509" s="5" t="str">
        <f t="shared" si="31"/>
        <v>$20</v>
      </c>
      <c r="M509" s="2" t="s">
        <v>117</v>
      </c>
      <c r="N509" s="2">
        <f>IF(O509&gt;=90%,5,IF(O509&gt;=80%,4,IF(O509&gt;=70%,3,IF(O509&gt;=60%,2,1))))</f>
        <v>2</v>
      </c>
      <c r="O509" s="3">
        <v>0.61</v>
      </c>
      <c r="P509" t="s">
        <v>46</v>
      </c>
      <c r="Q509" t="s">
        <v>20</v>
      </c>
      <c r="R509">
        <v>5</v>
      </c>
      <c r="S509">
        <v>2</v>
      </c>
    </row>
    <row r="510" spans="1:19" x14ac:dyDescent="0.3">
      <c r="A510" t="s">
        <v>1096</v>
      </c>
      <c r="B510" t="s">
        <v>1097</v>
      </c>
      <c r="C510" t="str">
        <f t="shared" si="28"/>
        <v>Female</v>
      </c>
      <c r="D510" t="s">
        <v>23</v>
      </c>
      <c r="E510">
        <f t="shared" si="29"/>
        <v>36</v>
      </c>
      <c r="F510">
        <v>36</v>
      </c>
      <c r="G510" t="s">
        <v>72</v>
      </c>
      <c r="H510" t="s">
        <v>73</v>
      </c>
      <c r="I510" t="s">
        <v>74</v>
      </c>
      <c r="J510">
        <f t="shared" si="30"/>
        <v>8</v>
      </c>
      <c r="K510">
        <v>8</v>
      </c>
      <c r="L510" s="5">
        <f t="shared" si="31"/>
        <v>100</v>
      </c>
      <c r="M510" s="2">
        <v>100</v>
      </c>
      <c r="N510" s="2">
        <f>IF(O510&gt;=90%,5,IF(O510&gt;=80%,4,IF(O510&gt;=70%,3,IF(O510&gt;=60%,2,1))))</f>
        <v>2</v>
      </c>
      <c r="O510" s="3">
        <v>0.68</v>
      </c>
      <c r="P510" t="s">
        <v>69</v>
      </c>
      <c r="Q510" t="s">
        <v>58</v>
      </c>
      <c r="R510">
        <v>9</v>
      </c>
      <c r="S510">
        <v>5</v>
      </c>
    </row>
    <row r="511" spans="1:19" x14ac:dyDescent="0.3">
      <c r="A511" t="s">
        <v>1098</v>
      </c>
      <c r="B511" t="s">
        <v>1099</v>
      </c>
      <c r="C511" t="str">
        <f t="shared" ref="C511:C574" si="32">IF(LEFT(LOWER(TRIM(D511)),1)="f","Female","Male")</f>
        <v>Male</v>
      </c>
      <c r="D511" t="s">
        <v>30</v>
      </c>
      <c r="E511">
        <f t="shared" si="29"/>
        <v>33</v>
      </c>
      <c r="F511">
        <v>33</v>
      </c>
      <c r="G511" t="s">
        <v>183</v>
      </c>
      <c r="H511" t="s">
        <v>73</v>
      </c>
      <c r="I511" t="s">
        <v>110</v>
      </c>
      <c r="J511">
        <f t="shared" si="30"/>
        <v>13</v>
      </c>
      <c r="K511">
        <v>13</v>
      </c>
      <c r="L511" s="5">
        <f t="shared" si="31"/>
        <v>50</v>
      </c>
      <c r="M511" s="2">
        <v>50</v>
      </c>
      <c r="N511" s="2">
        <f>IF(O511&gt;=90%,5,IF(O511&gt;=80%,4,IF(O511&gt;=70%,3,IF(O511&gt;=60%,2,1))))</f>
        <v>3</v>
      </c>
      <c r="O511" s="3">
        <v>0.7</v>
      </c>
      <c r="P511" t="s">
        <v>19</v>
      </c>
      <c r="Q511" t="s">
        <v>58</v>
      </c>
      <c r="R511">
        <v>8</v>
      </c>
      <c r="S511">
        <v>10</v>
      </c>
    </row>
    <row r="512" spans="1:19" x14ac:dyDescent="0.3">
      <c r="A512" t="s">
        <v>1100</v>
      </c>
      <c r="B512" t="s">
        <v>1101</v>
      </c>
      <c r="C512" t="str">
        <f t="shared" si="32"/>
        <v>Female</v>
      </c>
      <c r="D512" t="s">
        <v>36</v>
      </c>
      <c r="E512">
        <f t="shared" si="29"/>
        <v>54</v>
      </c>
      <c r="F512">
        <v>54</v>
      </c>
      <c r="G512" t="s">
        <v>68</v>
      </c>
      <c r="H512" t="s">
        <v>25</v>
      </c>
      <c r="I512" t="s">
        <v>52</v>
      </c>
      <c r="J512">
        <f t="shared" si="30"/>
        <v>15</v>
      </c>
      <c r="K512">
        <v>15</v>
      </c>
      <c r="L512" s="5">
        <f t="shared" si="31"/>
        <v>40</v>
      </c>
      <c r="M512" s="2">
        <v>40</v>
      </c>
      <c r="N512" s="2">
        <f>IF(O512&gt;=90%,5,IF(O512&gt;=80%,4,IF(O512&gt;=70%,3,IF(O512&gt;=60%,2,1))))</f>
        <v>3</v>
      </c>
      <c r="O512" s="3">
        <v>0.71</v>
      </c>
      <c r="P512" t="s">
        <v>19</v>
      </c>
      <c r="Q512" t="s">
        <v>33</v>
      </c>
      <c r="R512">
        <v>14</v>
      </c>
      <c r="S512">
        <v>6</v>
      </c>
    </row>
    <row r="513" spans="1:19" x14ac:dyDescent="0.3">
      <c r="A513" t="s">
        <v>1102</v>
      </c>
      <c r="B513" t="s">
        <v>1103</v>
      </c>
      <c r="C513" t="str">
        <f t="shared" si="32"/>
        <v>Female</v>
      </c>
      <c r="D513" t="s">
        <v>39</v>
      </c>
      <c r="E513">
        <f t="shared" si="29"/>
        <v>33</v>
      </c>
      <c r="F513">
        <v>33</v>
      </c>
      <c r="G513" t="s">
        <v>57</v>
      </c>
      <c r="H513" t="s">
        <v>25</v>
      </c>
      <c r="I513" t="s">
        <v>18</v>
      </c>
      <c r="J513">
        <f t="shared" si="30"/>
        <v>2</v>
      </c>
      <c r="K513">
        <v>2</v>
      </c>
      <c r="L513" s="5" t="str">
        <f t="shared" si="31"/>
        <v>$100</v>
      </c>
      <c r="M513" s="2" t="s">
        <v>222</v>
      </c>
      <c r="N513" s="2">
        <f>IF(O513&gt;=90%,5,IF(O513&gt;=80%,4,IF(O513&gt;=70%,3,IF(O513&gt;=60%,2,1))))</f>
        <v>1</v>
      </c>
      <c r="O513" s="3">
        <v>0.5</v>
      </c>
      <c r="P513" t="s">
        <v>65</v>
      </c>
      <c r="Q513" t="s">
        <v>58</v>
      </c>
      <c r="R513">
        <v>1</v>
      </c>
      <c r="S513">
        <v>1</v>
      </c>
    </row>
    <row r="514" spans="1:19" x14ac:dyDescent="0.3">
      <c r="A514" t="s">
        <v>1104</v>
      </c>
      <c r="B514" t="s">
        <v>1105</v>
      </c>
      <c r="C514" t="str">
        <f t="shared" si="32"/>
        <v>Female</v>
      </c>
      <c r="D514" t="s">
        <v>39</v>
      </c>
      <c r="E514">
        <f t="shared" ref="E514:E577" si="33">IF(F514="",MEDIAN($F$2:$F$698),F514)</f>
        <v>36</v>
      </c>
      <c r="F514">
        <v>36</v>
      </c>
      <c r="G514" t="s">
        <v>83</v>
      </c>
      <c r="H514" t="s">
        <v>84</v>
      </c>
      <c r="I514" t="s">
        <v>110</v>
      </c>
      <c r="J514">
        <f t="shared" ref="J514:J577" si="34">IF(K514="", AVERAGEIF($I$2:$I$698,I514,$K$2:$K$698),K514)</f>
        <v>9</v>
      </c>
      <c r="K514">
        <v>9</v>
      </c>
      <c r="L514" s="5" t="str">
        <f t="shared" si="31"/>
        <v>$30</v>
      </c>
      <c r="M514" s="2" t="s">
        <v>45</v>
      </c>
      <c r="N514" s="2">
        <f>IF(O514&gt;=90%,5,IF(O514&gt;=80%,4,IF(O514&gt;=70%,3,IF(O514&gt;=60%,2,1))))</f>
        <v>3</v>
      </c>
      <c r="O514" s="3">
        <v>0.78</v>
      </c>
      <c r="P514" t="s">
        <v>65</v>
      </c>
      <c r="Q514" t="s">
        <v>27</v>
      </c>
      <c r="R514">
        <v>12</v>
      </c>
      <c r="S514">
        <v>1</v>
      </c>
    </row>
    <row r="515" spans="1:19" x14ac:dyDescent="0.3">
      <c r="A515" t="s">
        <v>1106</v>
      </c>
      <c r="B515" t="s">
        <v>1107</v>
      </c>
      <c r="C515" t="str">
        <f t="shared" si="32"/>
        <v>Female</v>
      </c>
      <c r="D515" t="s">
        <v>23</v>
      </c>
      <c r="E515">
        <f t="shared" si="33"/>
        <v>36</v>
      </c>
      <c r="F515">
        <v>36</v>
      </c>
      <c r="G515" t="s">
        <v>62</v>
      </c>
      <c r="H515" t="s">
        <v>63</v>
      </c>
      <c r="I515" t="s">
        <v>44</v>
      </c>
      <c r="J515">
        <f t="shared" si="34"/>
        <v>3</v>
      </c>
      <c r="K515">
        <v>3</v>
      </c>
      <c r="L515" s="5" t="str">
        <f t="shared" ref="L515:L578" si="35">IF(M515="", AVERAGE(M515:M1211), M515)</f>
        <v>$50</v>
      </c>
      <c r="M515" s="2" t="s">
        <v>64</v>
      </c>
      <c r="N515" s="2">
        <f>IF(O515&gt;=90%,5,IF(O515&gt;=80%,4,IF(O515&gt;=70%,3,IF(O515&gt;=60%,2,1))))</f>
        <v>3</v>
      </c>
      <c r="O515" s="3">
        <v>0.75</v>
      </c>
      <c r="P515" t="s">
        <v>65</v>
      </c>
      <c r="Q515" t="s">
        <v>33</v>
      </c>
      <c r="R515">
        <v>2</v>
      </c>
      <c r="S515">
        <v>3</v>
      </c>
    </row>
    <row r="516" spans="1:19" x14ac:dyDescent="0.3">
      <c r="A516" t="s">
        <v>1108</v>
      </c>
      <c r="B516" t="s">
        <v>1109</v>
      </c>
      <c r="C516" t="str">
        <f t="shared" si="32"/>
        <v>Female</v>
      </c>
      <c r="D516" t="s">
        <v>36</v>
      </c>
      <c r="E516">
        <f t="shared" si="33"/>
        <v>43</v>
      </c>
      <c r="F516">
        <v>43</v>
      </c>
      <c r="G516" t="s">
        <v>168</v>
      </c>
      <c r="H516" t="s">
        <v>169</v>
      </c>
      <c r="I516" t="s">
        <v>44</v>
      </c>
      <c r="J516">
        <f t="shared" si="34"/>
        <v>15</v>
      </c>
      <c r="K516">
        <v>15</v>
      </c>
      <c r="L516" s="5" t="str">
        <f t="shared" si="35"/>
        <v>$20</v>
      </c>
      <c r="M516" s="2" t="s">
        <v>117</v>
      </c>
      <c r="N516" s="2">
        <f>IF(O516&gt;=90%,5,IF(O516&gt;=80%,4,IF(O516&gt;=70%,3,IF(O516&gt;=60%,2,1))))</f>
        <v>5</v>
      </c>
      <c r="O516" s="3">
        <v>0.91</v>
      </c>
      <c r="P516" t="s">
        <v>69</v>
      </c>
      <c r="Q516" t="s">
        <v>58</v>
      </c>
      <c r="R516">
        <v>6</v>
      </c>
      <c r="S516">
        <v>9</v>
      </c>
    </row>
    <row r="517" spans="1:19" x14ac:dyDescent="0.3">
      <c r="A517" t="s">
        <v>1110</v>
      </c>
      <c r="B517" t="s">
        <v>1111</v>
      </c>
      <c r="C517" t="str">
        <f t="shared" si="32"/>
        <v>Male</v>
      </c>
      <c r="D517" t="s">
        <v>95</v>
      </c>
      <c r="E517">
        <f t="shared" si="33"/>
        <v>52</v>
      </c>
      <c r="F517">
        <v>52</v>
      </c>
      <c r="G517" t="s">
        <v>68</v>
      </c>
      <c r="H517" t="s">
        <v>25</v>
      </c>
      <c r="I517" t="s">
        <v>52</v>
      </c>
      <c r="J517">
        <f t="shared" si="34"/>
        <v>21</v>
      </c>
      <c r="K517">
        <v>21</v>
      </c>
      <c r="L517" s="5" t="str">
        <f t="shared" si="35"/>
        <v>$75</v>
      </c>
      <c r="M517" s="2" t="s">
        <v>163</v>
      </c>
      <c r="N517" s="2">
        <f>IF(O517&gt;=90%,5,IF(O517&gt;=80%,4,IF(O517&gt;=70%,3,IF(O517&gt;=60%,2,1))))</f>
        <v>2</v>
      </c>
      <c r="O517" s="3">
        <v>0.66</v>
      </c>
      <c r="P517" t="s">
        <v>19</v>
      </c>
      <c r="Q517" t="s">
        <v>33</v>
      </c>
      <c r="R517">
        <v>20</v>
      </c>
      <c r="S517">
        <v>9</v>
      </c>
    </row>
    <row r="518" spans="1:19" x14ac:dyDescent="0.3">
      <c r="A518" t="s">
        <v>1112</v>
      </c>
      <c r="B518" t="s">
        <v>1113</v>
      </c>
      <c r="C518" t="str">
        <f t="shared" si="32"/>
        <v>Female</v>
      </c>
      <c r="D518" t="s">
        <v>36</v>
      </c>
      <c r="E518">
        <f t="shared" si="33"/>
        <v>28</v>
      </c>
      <c r="F518">
        <v>28</v>
      </c>
      <c r="G518" t="s">
        <v>50</v>
      </c>
      <c r="H518" t="s">
        <v>51</v>
      </c>
      <c r="I518" t="s">
        <v>78</v>
      </c>
      <c r="J518">
        <f t="shared" si="34"/>
        <v>2</v>
      </c>
      <c r="K518">
        <v>2</v>
      </c>
      <c r="L518" s="5" t="str">
        <f t="shared" si="35"/>
        <v>$75</v>
      </c>
      <c r="M518" s="2" t="s">
        <v>163</v>
      </c>
      <c r="N518" s="2">
        <f>IF(O518&gt;=90%,5,IF(O518&gt;=80%,4,IF(O518&gt;=70%,3,IF(O518&gt;=60%,2,1))))</f>
        <v>2</v>
      </c>
      <c r="O518" s="3">
        <v>0.68</v>
      </c>
      <c r="P518" t="s">
        <v>46</v>
      </c>
      <c r="Q518" t="s">
        <v>20</v>
      </c>
      <c r="R518">
        <v>4</v>
      </c>
      <c r="S518">
        <v>2</v>
      </c>
    </row>
    <row r="519" spans="1:19" x14ac:dyDescent="0.3">
      <c r="A519" t="s">
        <v>1114</v>
      </c>
      <c r="B519" t="s">
        <v>1115</v>
      </c>
      <c r="C519" t="str">
        <f t="shared" si="32"/>
        <v>Female</v>
      </c>
      <c r="D519" t="s">
        <v>77</v>
      </c>
      <c r="E519">
        <f t="shared" si="33"/>
        <v>47</v>
      </c>
      <c r="F519">
        <v>47</v>
      </c>
      <c r="G519" t="s">
        <v>168</v>
      </c>
      <c r="H519" t="s">
        <v>169</v>
      </c>
      <c r="I519" t="s">
        <v>78</v>
      </c>
      <c r="J519">
        <f t="shared" si="34"/>
        <v>21</v>
      </c>
      <c r="K519">
        <v>21</v>
      </c>
      <c r="L519" s="5" t="str">
        <f t="shared" si="35"/>
        <v>$100</v>
      </c>
      <c r="M519" s="2" t="s">
        <v>222</v>
      </c>
      <c r="N519" s="2">
        <f>IF(O519&gt;=90%,5,IF(O519&gt;=80%,4,IF(O519&gt;=70%,3,IF(O519&gt;=60%,2,1))))</f>
        <v>1</v>
      </c>
      <c r="O519" s="3">
        <v>0.5</v>
      </c>
      <c r="P519" t="s">
        <v>69</v>
      </c>
      <c r="Q519" t="s">
        <v>58</v>
      </c>
      <c r="R519">
        <v>18</v>
      </c>
      <c r="S519">
        <v>3</v>
      </c>
    </row>
    <row r="520" spans="1:19" x14ac:dyDescent="0.3">
      <c r="A520" t="s">
        <v>1116</v>
      </c>
      <c r="B520" t="s">
        <v>1117</v>
      </c>
      <c r="C520" t="str">
        <f t="shared" si="32"/>
        <v>Female</v>
      </c>
      <c r="D520" t="s">
        <v>39</v>
      </c>
      <c r="E520">
        <f t="shared" si="33"/>
        <v>30</v>
      </c>
      <c r="F520">
        <v>30</v>
      </c>
      <c r="G520" t="s">
        <v>131</v>
      </c>
      <c r="H520" t="s">
        <v>132</v>
      </c>
      <c r="I520" t="s">
        <v>87</v>
      </c>
      <c r="J520">
        <f t="shared" si="34"/>
        <v>0</v>
      </c>
      <c r="K520">
        <v>0</v>
      </c>
      <c r="L520" s="5" t="str">
        <f t="shared" si="35"/>
        <v>$100</v>
      </c>
      <c r="M520" s="2" t="s">
        <v>222</v>
      </c>
      <c r="N520" s="2">
        <f>IF(O520&gt;=90%,5,IF(O520&gt;=80%,4,IF(O520&gt;=70%,3,IF(O520&gt;=60%,2,1))))</f>
        <v>2</v>
      </c>
      <c r="O520" s="3">
        <v>0.62</v>
      </c>
      <c r="P520" t="s">
        <v>46</v>
      </c>
      <c r="Q520" t="s">
        <v>27</v>
      </c>
      <c r="R520">
        <v>3</v>
      </c>
      <c r="S520">
        <v>1</v>
      </c>
    </row>
    <row r="521" spans="1:19" x14ac:dyDescent="0.3">
      <c r="A521" t="s">
        <v>1118</v>
      </c>
      <c r="B521" t="s">
        <v>1119</v>
      </c>
      <c r="C521" t="str">
        <f t="shared" si="32"/>
        <v>Male</v>
      </c>
      <c r="D521" t="s">
        <v>49</v>
      </c>
      <c r="E521">
        <f t="shared" si="33"/>
        <v>36</v>
      </c>
      <c r="F521">
        <v>36</v>
      </c>
      <c r="G521" t="s">
        <v>135</v>
      </c>
      <c r="H521" t="s">
        <v>136</v>
      </c>
      <c r="I521" t="s">
        <v>18</v>
      </c>
      <c r="J521">
        <f t="shared" si="34"/>
        <v>4</v>
      </c>
      <c r="K521">
        <v>4</v>
      </c>
      <c r="L521" s="5">
        <f t="shared" si="35"/>
        <v>40</v>
      </c>
      <c r="M521" s="2">
        <v>40</v>
      </c>
      <c r="N521" s="2">
        <f>IF(O521&gt;=90%,5,IF(O521&gt;=80%,4,IF(O521&gt;=70%,3,IF(O521&gt;=60%,2,1))))</f>
        <v>5</v>
      </c>
      <c r="O521" s="3">
        <v>0.9</v>
      </c>
      <c r="P521" t="s">
        <v>46</v>
      </c>
      <c r="Q521" t="s">
        <v>58</v>
      </c>
      <c r="R521">
        <v>2</v>
      </c>
      <c r="S521">
        <v>4</v>
      </c>
    </row>
    <row r="522" spans="1:19" x14ac:dyDescent="0.3">
      <c r="A522" t="s">
        <v>1120</v>
      </c>
      <c r="B522" t="s">
        <v>1121</v>
      </c>
      <c r="C522" t="str">
        <f t="shared" si="32"/>
        <v>Female</v>
      </c>
      <c r="D522" t="s">
        <v>23</v>
      </c>
      <c r="E522">
        <f t="shared" si="33"/>
        <v>45</v>
      </c>
      <c r="F522">
        <v>45</v>
      </c>
      <c r="G522" t="s">
        <v>57</v>
      </c>
      <c r="H522" t="s">
        <v>25</v>
      </c>
      <c r="I522" t="s">
        <v>74</v>
      </c>
      <c r="J522">
        <f t="shared" si="34"/>
        <v>23</v>
      </c>
      <c r="K522">
        <v>23</v>
      </c>
      <c r="L522" s="5">
        <f t="shared" si="35"/>
        <v>100</v>
      </c>
      <c r="M522" s="2">
        <v>100</v>
      </c>
      <c r="N522" s="2">
        <f>IF(O522&gt;=90%,5,IF(O522&gt;=80%,4,IF(O522&gt;=70%,3,IF(O522&gt;=60%,2,1))))</f>
        <v>5</v>
      </c>
      <c r="O522" s="3">
        <v>0.96</v>
      </c>
      <c r="P522" t="s">
        <v>69</v>
      </c>
      <c r="Q522" t="s">
        <v>33</v>
      </c>
      <c r="R522">
        <v>14</v>
      </c>
      <c r="S522">
        <v>1</v>
      </c>
    </row>
    <row r="523" spans="1:19" x14ac:dyDescent="0.3">
      <c r="A523" t="s">
        <v>1122</v>
      </c>
      <c r="B523" t="s">
        <v>1123</v>
      </c>
      <c r="C523" t="str">
        <f t="shared" si="32"/>
        <v>Female</v>
      </c>
      <c r="D523" t="s">
        <v>36</v>
      </c>
      <c r="E523">
        <f t="shared" si="33"/>
        <v>51</v>
      </c>
      <c r="F523">
        <v>51</v>
      </c>
      <c r="G523" t="s">
        <v>57</v>
      </c>
      <c r="H523" t="s">
        <v>25</v>
      </c>
      <c r="I523" t="s">
        <v>18</v>
      </c>
      <c r="J523">
        <f t="shared" si="34"/>
        <v>25</v>
      </c>
      <c r="K523">
        <v>25</v>
      </c>
      <c r="L523" s="5">
        <f t="shared" si="35"/>
        <v>50</v>
      </c>
      <c r="M523" s="2">
        <v>50</v>
      </c>
      <c r="N523" s="2">
        <f>IF(O523&gt;=90%,5,IF(O523&gt;=80%,4,IF(O523&gt;=70%,3,IF(O523&gt;=60%,2,1))))</f>
        <v>2</v>
      </c>
      <c r="O523" s="3">
        <v>0.6</v>
      </c>
      <c r="P523" t="s">
        <v>46</v>
      </c>
      <c r="Q523" t="s">
        <v>33</v>
      </c>
      <c r="R523">
        <v>17</v>
      </c>
      <c r="S523">
        <v>7</v>
      </c>
    </row>
    <row r="524" spans="1:19" x14ac:dyDescent="0.3">
      <c r="A524" t="s">
        <v>1124</v>
      </c>
      <c r="B524" t="s">
        <v>1125</v>
      </c>
      <c r="C524" t="str">
        <f t="shared" si="32"/>
        <v>Male</v>
      </c>
      <c r="D524" t="s">
        <v>49</v>
      </c>
      <c r="E524">
        <f t="shared" si="33"/>
        <v>46</v>
      </c>
      <c r="F524">
        <v>46</v>
      </c>
      <c r="G524" t="s">
        <v>62</v>
      </c>
      <c r="H524" t="s">
        <v>63</v>
      </c>
      <c r="I524" t="s">
        <v>26</v>
      </c>
      <c r="J524">
        <f t="shared" si="34"/>
        <v>10</v>
      </c>
      <c r="K524">
        <v>10</v>
      </c>
      <c r="L524" s="5">
        <f t="shared" si="35"/>
        <v>56.714285714285715</v>
      </c>
      <c r="N524" s="2">
        <f>IF(O524&gt;=90%,5,IF(O524&gt;=80%,4,IF(O524&gt;=70%,3,IF(O524&gt;=60%,2,1))))</f>
        <v>2</v>
      </c>
      <c r="O524" s="3">
        <v>0.62</v>
      </c>
      <c r="P524" t="s">
        <v>19</v>
      </c>
      <c r="Q524" t="s">
        <v>58</v>
      </c>
      <c r="R524">
        <v>6</v>
      </c>
      <c r="S524">
        <v>1</v>
      </c>
    </row>
    <row r="525" spans="1:19" x14ac:dyDescent="0.3">
      <c r="A525" t="s">
        <v>1126</v>
      </c>
      <c r="B525" t="s">
        <v>1127</v>
      </c>
      <c r="C525" t="str">
        <f t="shared" si="32"/>
        <v>Female</v>
      </c>
      <c r="D525" t="s">
        <v>23</v>
      </c>
      <c r="E525">
        <f t="shared" si="33"/>
        <v>38</v>
      </c>
      <c r="F525">
        <v>38</v>
      </c>
      <c r="G525" t="s">
        <v>16</v>
      </c>
      <c r="H525" t="s">
        <v>17</v>
      </c>
      <c r="I525" t="s">
        <v>52</v>
      </c>
      <c r="J525">
        <f t="shared" si="34"/>
        <v>18</v>
      </c>
      <c r="K525">
        <v>18</v>
      </c>
      <c r="L525" s="5" t="str">
        <f t="shared" si="35"/>
        <v>$40</v>
      </c>
      <c r="M525" s="2" t="s">
        <v>38</v>
      </c>
      <c r="N525" s="2">
        <f>IF(O525&gt;=90%,5,IF(O525&gt;=80%,4,IF(O525&gt;=70%,3,IF(O525&gt;=60%,2,1))))</f>
        <v>3</v>
      </c>
      <c r="O525" s="3">
        <v>0.74</v>
      </c>
      <c r="P525" t="s">
        <v>46</v>
      </c>
      <c r="Q525" t="s">
        <v>27</v>
      </c>
      <c r="R525">
        <v>11</v>
      </c>
      <c r="S525">
        <v>11</v>
      </c>
    </row>
    <row r="526" spans="1:19" x14ac:dyDescent="0.3">
      <c r="A526" t="s">
        <v>1128</v>
      </c>
      <c r="B526" t="s">
        <v>1129</v>
      </c>
      <c r="C526" t="str">
        <f t="shared" si="32"/>
        <v>Male</v>
      </c>
      <c r="D526" t="s">
        <v>95</v>
      </c>
      <c r="E526">
        <f t="shared" si="33"/>
        <v>26</v>
      </c>
      <c r="F526">
        <v>26</v>
      </c>
      <c r="G526" t="s">
        <v>183</v>
      </c>
      <c r="H526" t="s">
        <v>73</v>
      </c>
      <c r="I526" t="s">
        <v>18</v>
      </c>
      <c r="J526">
        <f t="shared" si="34"/>
        <v>1</v>
      </c>
      <c r="K526">
        <v>1</v>
      </c>
      <c r="L526" s="5" t="str">
        <f t="shared" si="35"/>
        <v>$20</v>
      </c>
      <c r="M526" s="2" t="s">
        <v>117</v>
      </c>
      <c r="N526" s="2">
        <f>IF(O526&gt;=90%,5,IF(O526&gt;=80%,4,IF(O526&gt;=70%,3,IF(O526&gt;=60%,2,1))))</f>
        <v>1</v>
      </c>
      <c r="O526" s="3">
        <v>0.5</v>
      </c>
      <c r="P526" t="s">
        <v>19</v>
      </c>
      <c r="Q526" t="s">
        <v>27</v>
      </c>
      <c r="R526">
        <v>1</v>
      </c>
      <c r="S526">
        <v>1</v>
      </c>
    </row>
    <row r="527" spans="1:19" x14ac:dyDescent="0.3">
      <c r="A527" t="s">
        <v>1130</v>
      </c>
      <c r="B527" t="s">
        <v>1131</v>
      </c>
      <c r="C527" t="str">
        <f t="shared" si="32"/>
        <v>Female</v>
      </c>
      <c r="D527" t="s">
        <v>77</v>
      </c>
      <c r="E527">
        <f t="shared" si="33"/>
        <v>40</v>
      </c>
      <c r="F527">
        <v>40</v>
      </c>
      <c r="G527" t="s">
        <v>68</v>
      </c>
      <c r="H527" t="s">
        <v>25</v>
      </c>
      <c r="I527" t="s">
        <v>87</v>
      </c>
      <c r="J527">
        <f t="shared" si="34"/>
        <v>12</v>
      </c>
      <c r="K527">
        <v>12</v>
      </c>
      <c r="L527" s="5">
        <f t="shared" si="35"/>
        <v>30</v>
      </c>
      <c r="M527" s="2">
        <v>30</v>
      </c>
      <c r="N527" s="2">
        <f>IF(O527&gt;=90%,5,IF(O527&gt;=80%,4,IF(O527&gt;=70%,3,IF(O527&gt;=60%,2,1))))</f>
        <v>5</v>
      </c>
      <c r="O527" s="3">
        <v>0.98</v>
      </c>
      <c r="P527" t="s">
        <v>19</v>
      </c>
      <c r="Q527" t="s">
        <v>27</v>
      </c>
      <c r="R527">
        <v>12</v>
      </c>
      <c r="S527">
        <v>9</v>
      </c>
    </row>
    <row r="528" spans="1:19" x14ac:dyDescent="0.3">
      <c r="A528" t="s">
        <v>1132</v>
      </c>
      <c r="B528" t="s">
        <v>1133</v>
      </c>
      <c r="C528" t="str">
        <f t="shared" si="32"/>
        <v>Male</v>
      </c>
      <c r="D528" t="s">
        <v>95</v>
      </c>
      <c r="E528">
        <f t="shared" si="33"/>
        <v>37</v>
      </c>
      <c r="F528">
        <v>37</v>
      </c>
      <c r="G528" t="s">
        <v>31</v>
      </c>
      <c r="H528" t="s">
        <v>31</v>
      </c>
      <c r="I528" t="s">
        <v>110</v>
      </c>
      <c r="J528" s="4">
        <f t="shared" si="34"/>
        <v>11.373134328358208</v>
      </c>
      <c r="L528" s="5">
        <f t="shared" si="35"/>
        <v>57.10144927536232</v>
      </c>
      <c r="N528" s="2">
        <f>IF(O528&gt;=90%,5,IF(O528&gt;=80%,4,IF(O528&gt;=70%,3,IF(O528&gt;=60%,2,1))))</f>
        <v>2</v>
      </c>
      <c r="O528" s="3">
        <v>0.63</v>
      </c>
      <c r="P528" t="s">
        <v>19</v>
      </c>
      <c r="Q528" t="s">
        <v>33</v>
      </c>
      <c r="R528">
        <v>2</v>
      </c>
      <c r="S528">
        <v>1</v>
      </c>
    </row>
    <row r="529" spans="1:19" x14ac:dyDescent="0.3">
      <c r="A529" t="s">
        <v>1134</v>
      </c>
      <c r="B529" t="s">
        <v>1135</v>
      </c>
      <c r="C529" t="str">
        <f t="shared" si="32"/>
        <v>Male</v>
      </c>
      <c r="D529" t="s">
        <v>90</v>
      </c>
      <c r="E529">
        <f t="shared" si="33"/>
        <v>28</v>
      </c>
      <c r="F529">
        <v>28</v>
      </c>
      <c r="G529" t="s">
        <v>124</v>
      </c>
      <c r="H529" t="s">
        <v>25</v>
      </c>
      <c r="I529" t="s">
        <v>18</v>
      </c>
      <c r="J529">
        <f t="shared" si="34"/>
        <v>5</v>
      </c>
      <c r="K529">
        <v>5</v>
      </c>
      <c r="L529" s="5" t="str">
        <f t="shared" si="35"/>
        <v>$50</v>
      </c>
      <c r="M529" s="2" t="s">
        <v>64</v>
      </c>
      <c r="N529" s="2">
        <f>IF(O529&gt;=90%,5,IF(O529&gt;=80%,4,IF(O529&gt;=70%,3,IF(O529&gt;=60%,2,1))))</f>
        <v>5</v>
      </c>
      <c r="O529" s="3">
        <v>0.96</v>
      </c>
      <c r="P529" t="s">
        <v>65</v>
      </c>
      <c r="Q529" t="s">
        <v>58</v>
      </c>
      <c r="R529">
        <v>2</v>
      </c>
      <c r="S529">
        <v>2</v>
      </c>
    </row>
    <row r="530" spans="1:19" x14ac:dyDescent="0.3">
      <c r="A530" t="s">
        <v>1136</v>
      </c>
      <c r="B530" t="s">
        <v>1137</v>
      </c>
      <c r="C530" t="str">
        <f t="shared" si="32"/>
        <v>Female</v>
      </c>
      <c r="D530" t="s">
        <v>39</v>
      </c>
      <c r="E530">
        <f t="shared" si="33"/>
        <v>48</v>
      </c>
      <c r="F530">
        <v>48</v>
      </c>
      <c r="G530" t="s">
        <v>91</v>
      </c>
      <c r="H530" t="s">
        <v>92</v>
      </c>
      <c r="I530" t="s">
        <v>26</v>
      </c>
      <c r="J530">
        <f t="shared" si="34"/>
        <v>28</v>
      </c>
      <c r="K530">
        <v>28</v>
      </c>
      <c r="L530" s="5" t="str">
        <f t="shared" si="35"/>
        <v>$20</v>
      </c>
      <c r="M530" s="2" t="s">
        <v>117</v>
      </c>
      <c r="N530" s="2">
        <f>IF(O530&gt;=90%,5,IF(O530&gt;=80%,4,IF(O530&gt;=70%,3,IF(O530&gt;=60%,2,1))))</f>
        <v>4</v>
      </c>
      <c r="O530" s="3">
        <v>0.88</v>
      </c>
      <c r="P530" t="s">
        <v>46</v>
      </c>
      <c r="Q530" t="s">
        <v>20</v>
      </c>
      <c r="R530">
        <v>18</v>
      </c>
      <c r="S530">
        <v>8</v>
      </c>
    </row>
    <row r="531" spans="1:19" x14ac:dyDescent="0.3">
      <c r="A531" t="s">
        <v>1138</v>
      </c>
      <c r="B531" t="s">
        <v>1139</v>
      </c>
      <c r="C531" t="str">
        <f t="shared" si="32"/>
        <v>Male</v>
      </c>
      <c r="D531" t="s">
        <v>61</v>
      </c>
      <c r="E531">
        <f t="shared" si="33"/>
        <v>22</v>
      </c>
      <c r="F531">
        <v>22</v>
      </c>
      <c r="G531" t="s">
        <v>91</v>
      </c>
      <c r="H531" t="s">
        <v>92</v>
      </c>
      <c r="I531" t="s">
        <v>44</v>
      </c>
      <c r="J531">
        <f t="shared" si="34"/>
        <v>0</v>
      </c>
      <c r="K531">
        <v>0</v>
      </c>
      <c r="L531" s="5">
        <f t="shared" si="35"/>
        <v>57.10144927536232</v>
      </c>
      <c r="N531" s="2">
        <f>IF(O531&gt;=90%,5,IF(O531&gt;=80%,4,IF(O531&gt;=70%,3,IF(O531&gt;=60%,2,1))))</f>
        <v>1</v>
      </c>
      <c r="O531" s="3">
        <v>0.5</v>
      </c>
      <c r="P531" t="s">
        <v>69</v>
      </c>
      <c r="Q531" t="s">
        <v>33</v>
      </c>
      <c r="R531">
        <v>4</v>
      </c>
      <c r="S531">
        <v>1</v>
      </c>
    </row>
    <row r="532" spans="1:19" x14ac:dyDescent="0.3">
      <c r="A532" t="s">
        <v>1140</v>
      </c>
      <c r="B532" t="s">
        <v>1141</v>
      </c>
      <c r="C532" t="str">
        <f t="shared" si="32"/>
        <v>Female</v>
      </c>
      <c r="D532" t="s">
        <v>39</v>
      </c>
      <c r="E532">
        <f t="shared" si="33"/>
        <v>41</v>
      </c>
      <c r="F532">
        <v>41</v>
      </c>
      <c r="G532" t="s">
        <v>31</v>
      </c>
      <c r="H532" t="s">
        <v>31</v>
      </c>
      <c r="I532" t="s">
        <v>37</v>
      </c>
      <c r="J532">
        <f t="shared" si="34"/>
        <v>14</v>
      </c>
      <c r="K532">
        <v>14</v>
      </c>
      <c r="L532" s="5">
        <f t="shared" si="35"/>
        <v>40</v>
      </c>
      <c r="M532" s="2">
        <v>40</v>
      </c>
      <c r="N532" s="2">
        <f>IF(O532&gt;=90%,5,IF(O532&gt;=80%,4,IF(O532&gt;=70%,3,IF(O532&gt;=60%,2,1))))</f>
        <v>3</v>
      </c>
      <c r="O532" s="3">
        <v>0.73</v>
      </c>
      <c r="P532" t="s">
        <v>69</v>
      </c>
      <c r="Q532" t="s">
        <v>27</v>
      </c>
      <c r="R532">
        <v>7</v>
      </c>
      <c r="S532">
        <v>5</v>
      </c>
    </row>
    <row r="533" spans="1:19" x14ac:dyDescent="0.3">
      <c r="A533" t="s">
        <v>1142</v>
      </c>
      <c r="B533" t="s">
        <v>1143</v>
      </c>
      <c r="C533" t="str">
        <f t="shared" si="32"/>
        <v>Male</v>
      </c>
      <c r="D533" t="s">
        <v>61</v>
      </c>
      <c r="E533">
        <f t="shared" si="33"/>
        <v>38</v>
      </c>
      <c r="F533">
        <v>38</v>
      </c>
      <c r="G533" t="s">
        <v>57</v>
      </c>
      <c r="H533" t="s">
        <v>25</v>
      </c>
      <c r="I533" t="s">
        <v>32</v>
      </c>
      <c r="J533">
        <f t="shared" si="34"/>
        <v>15</v>
      </c>
      <c r="K533">
        <v>15</v>
      </c>
      <c r="L533" s="5">
        <f t="shared" si="35"/>
        <v>57.352941176470587</v>
      </c>
      <c r="N533" s="2">
        <f>IF(O533&gt;=90%,5,IF(O533&gt;=80%,4,IF(O533&gt;=70%,3,IF(O533&gt;=60%,2,1))))</f>
        <v>4</v>
      </c>
      <c r="O533" s="3">
        <v>0.88</v>
      </c>
      <c r="P533" t="s">
        <v>46</v>
      </c>
      <c r="Q533" t="s">
        <v>58</v>
      </c>
      <c r="R533">
        <v>15</v>
      </c>
      <c r="S533">
        <v>4</v>
      </c>
    </row>
    <row r="534" spans="1:19" x14ac:dyDescent="0.3">
      <c r="A534" t="s">
        <v>1144</v>
      </c>
      <c r="B534" t="s">
        <v>1145</v>
      </c>
      <c r="C534" t="str">
        <f t="shared" si="32"/>
        <v>Female</v>
      </c>
      <c r="D534" t="s">
        <v>23</v>
      </c>
      <c r="E534">
        <f t="shared" si="33"/>
        <v>31</v>
      </c>
      <c r="F534">
        <v>31</v>
      </c>
      <c r="G534" t="s">
        <v>147</v>
      </c>
      <c r="H534" t="s">
        <v>148</v>
      </c>
      <c r="I534" t="s">
        <v>74</v>
      </c>
      <c r="J534">
        <f t="shared" si="34"/>
        <v>9</v>
      </c>
      <c r="K534">
        <v>9</v>
      </c>
      <c r="L534" s="5">
        <f t="shared" si="35"/>
        <v>57.352941176470587</v>
      </c>
      <c r="N534" s="2">
        <f>IF(O534&gt;=90%,5,IF(O534&gt;=80%,4,IF(O534&gt;=70%,3,IF(O534&gt;=60%,2,1))))</f>
        <v>5</v>
      </c>
      <c r="O534" s="3">
        <v>0.91</v>
      </c>
      <c r="P534" t="s">
        <v>65</v>
      </c>
      <c r="Q534" t="s">
        <v>27</v>
      </c>
      <c r="R534">
        <v>10</v>
      </c>
      <c r="S534">
        <v>5</v>
      </c>
    </row>
    <row r="535" spans="1:19" x14ac:dyDescent="0.3">
      <c r="A535" t="s">
        <v>1146</v>
      </c>
      <c r="B535" t="s">
        <v>1147</v>
      </c>
      <c r="C535" t="str">
        <f t="shared" si="32"/>
        <v>Female</v>
      </c>
      <c r="D535" t="s">
        <v>36</v>
      </c>
      <c r="E535">
        <f t="shared" si="33"/>
        <v>30</v>
      </c>
      <c r="F535">
        <v>30</v>
      </c>
      <c r="G535" t="s">
        <v>168</v>
      </c>
      <c r="H535" t="s">
        <v>169</v>
      </c>
      <c r="I535" t="s">
        <v>26</v>
      </c>
      <c r="J535">
        <f t="shared" si="34"/>
        <v>9</v>
      </c>
      <c r="K535">
        <v>9</v>
      </c>
      <c r="L535" s="5" t="str">
        <f t="shared" si="35"/>
        <v>$30</v>
      </c>
      <c r="M535" s="2" t="s">
        <v>45</v>
      </c>
      <c r="N535" s="2">
        <f>IF(O535&gt;=90%,5,IF(O535&gt;=80%,4,IF(O535&gt;=70%,3,IF(O535&gt;=60%,2,1))))</f>
        <v>2</v>
      </c>
      <c r="O535" s="3">
        <v>0.65</v>
      </c>
      <c r="P535" t="s">
        <v>65</v>
      </c>
      <c r="Q535" t="s">
        <v>20</v>
      </c>
      <c r="R535">
        <v>15</v>
      </c>
      <c r="S535">
        <v>13</v>
      </c>
    </row>
    <row r="536" spans="1:19" x14ac:dyDescent="0.3">
      <c r="A536" t="s">
        <v>1148</v>
      </c>
      <c r="B536" t="s">
        <v>1149</v>
      </c>
      <c r="C536" t="str">
        <f t="shared" si="32"/>
        <v>Male</v>
      </c>
      <c r="D536" t="s">
        <v>61</v>
      </c>
      <c r="E536">
        <f t="shared" si="33"/>
        <v>51</v>
      </c>
      <c r="F536">
        <v>51</v>
      </c>
      <c r="G536" t="s">
        <v>172</v>
      </c>
      <c r="H536" t="s">
        <v>73</v>
      </c>
      <c r="I536" t="s">
        <v>74</v>
      </c>
      <c r="J536">
        <f t="shared" si="34"/>
        <v>22</v>
      </c>
      <c r="K536">
        <v>22</v>
      </c>
      <c r="L536" s="5">
        <f t="shared" si="35"/>
        <v>20</v>
      </c>
      <c r="M536" s="2">
        <v>20</v>
      </c>
      <c r="N536" s="2">
        <f>IF(O536&gt;=90%,5,IF(O536&gt;=80%,4,IF(O536&gt;=70%,3,IF(O536&gt;=60%,2,1))))</f>
        <v>5</v>
      </c>
      <c r="O536" s="3">
        <v>0.9</v>
      </c>
      <c r="P536" t="s">
        <v>19</v>
      </c>
      <c r="Q536" t="s">
        <v>27</v>
      </c>
      <c r="R536">
        <v>15</v>
      </c>
      <c r="S536">
        <v>15</v>
      </c>
    </row>
    <row r="537" spans="1:19" x14ac:dyDescent="0.3">
      <c r="A537" t="s">
        <v>1150</v>
      </c>
      <c r="B537" t="s">
        <v>1151</v>
      </c>
      <c r="C537" t="str">
        <f t="shared" si="32"/>
        <v>Female</v>
      </c>
      <c r="D537" t="s">
        <v>15</v>
      </c>
      <c r="E537">
        <f t="shared" si="33"/>
        <v>21</v>
      </c>
      <c r="F537">
        <v>21</v>
      </c>
      <c r="G537" t="s">
        <v>31</v>
      </c>
      <c r="H537" t="s">
        <v>31</v>
      </c>
      <c r="I537" t="s">
        <v>87</v>
      </c>
      <c r="J537">
        <f t="shared" si="34"/>
        <v>0</v>
      </c>
      <c r="K537">
        <v>0</v>
      </c>
      <c r="L537" s="5" t="str">
        <f t="shared" si="35"/>
        <v>$20</v>
      </c>
      <c r="M537" s="2" t="s">
        <v>117</v>
      </c>
      <c r="N537" s="2">
        <f>IF(O537&gt;=90%,5,IF(O537&gt;=80%,4,IF(O537&gt;=70%,3,IF(O537&gt;=60%,2,1))))</f>
        <v>3</v>
      </c>
      <c r="O537" s="3">
        <v>0.72</v>
      </c>
      <c r="P537" t="s">
        <v>46</v>
      </c>
      <c r="Q537" t="s">
        <v>27</v>
      </c>
      <c r="R537">
        <v>2</v>
      </c>
      <c r="S537">
        <v>5</v>
      </c>
    </row>
    <row r="538" spans="1:19" x14ac:dyDescent="0.3">
      <c r="A538" t="s">
        <v>1152</v>
      </c>
      <c r="B538" t="s">
        <v>1153</v>
      </c>
      <c r="C538" t="str">
        <f t="shared" si="32"/>
        <v>Female</v>
      </c>
      <c r="D538" t="s">
        <v>23</v>
      </c>
      <c r="E538">
        <f t="shared" si="33"/>
        <v>20</v>
      </c>
      <c r="F538">
        <v>20</v>
      </c>
      <c r="G538" t="s">
        <v>16</v>
      </c>
      <c r="H538" t="s">
        <v>17</v>
      </c>
      <c r="I538" t="s">
        <v>87</v>
      </c>
      <c r="J538">
        <f t="shared" si="34"/>
        <v>1</v>
      </c>
      <c r="K538">
        <v>1</v>
      </c>
      <c r="L538" s="5" t="str">
        <f t="shared" si="35"/>
        <v>$40</v>
      </c>
      <c r="M538" s="2" t="s">
        <v>38</v>
      </c>
      <c r="N538" s="2">
        <f>IF(O538&gt;=90%,5,IF(O538&gt;=80%,4,IF(O538&gt;=70%,3,IF(O538&gt;=60%,2,1))))</f>
        <v>3</v>
      </c>
      <c r="O538" s="3">
        <v>0.72</v>
      </c>
      <c r="P538" t="s">
        <v>46</v>
      </c>
      <c r="Q538" t="s">
        <v>20</v>
      </c>
      <c r="R538">
        <v>1</v>
      </c>
      <c r="S538">
        <v>2</v>
      </c>
    </row>
    <row r="539" spans="1:19" x14ac:dyDescent="0.3">
      <c r="A539" t="s">
        <v>1154</v>
      </c>
      <c r="B539" t="s">
        <v>1155</v>
      </c>
      <c r="C539" t="str">
        <f t="shared" si="32"/>
        <v>Male</v>
      </c>
      <c r="D539" t="s">
        <v>95</v>
      </c>
      <c r="E539">
        <f t="shared" si="33"/>
        <v>30</v>
      </c>
      <c r="F539">
        <v>30</v>
      </c>
      <c r="G539" t="s">
        <v>83</v>
      </c>
      <c r="H539" t="s">
        <v>84</v>
      </c>
      <c r="I539" t="s">
        <v>18</v>
      </c>
      <c r="J539">
        <f t="shared" si="34"/>
        <v>5</v>
      </c>
      <c r="K539">
        <v>5</v>
      </c>
      <c r="L539" s="5" t="str">
        <f t="shared" si="35"/>
        <v>$30</v>
      </c>
      <c r="M539" s="2" t="s">
        <v>45</v>
      </c>
      <c r="N539" s="2">
        <f>IF(O539&gt;=90%,5,IF(O539&gt;=80%,4,IF(O539&gt;=70%,3,IF(O539&gt;=60%,2,1))))</f>
        <v>1</v>
      </c>
      <c r="O539" s="3">
        <v>0.5</v>
      </c>
      <c r="P539" t="s">
        <v>69</v>
      </c>
      <c r="Q539" t="s">
        <v>58</v>
      </c>
      <c r="R539">
        <v>1</v>
      </c>
      <c r="S539">
        <v>2</v>
      </c>
    </row>
    <row r="540" spans="1:19" x14ac:dyDescent="0.3">
      <c r="A540" t="s">
        <v>1156</v>
      </c>
      <c r="B540" t="s">
        <v>1157</v>
      </c>
      <c r="C540" t="str">
        <f t="shared" si="32"/>
        <v>Male</v>
      </c>
      <c r="D540" t="s">
        <v>61</v>
      </c>
      <c r="E540">
        <f t="shared" si="33"/>
        <v>41</v>
      </c>
      <c r="F540">
        <v>41</v>
      </c>
      <c r="G540" t="s">
        <v>168</v>
      </c>
      <c r="H540" t="s">
        <v>169</v>
      </c>
      <c r="I540" t="s">
        <v>52</v>
      </c>
      <c r="J540">
        <f t="shared" si="34"/>
        <v>0</v>
      </c>
      <c r="K540">
        <v>0</v>
      </c>
      <c r="L540" s="5" t="str">
        <f t="shared" si="35"/>
        <v>$40</v>
      </c>
      <c r="M540" s="2" t="s">
        <v>38</v>
      </c>
      <c r="N540" s="2">
        <f>IF(O540&gt;=90%,5,IF(O540&gt;=80%,4,IF(O540&gt;=70%,3,IF(O540&gt;=60%,2,1))))</f>
        <v>2</v>
      </c>
      <c r="O540" s="3">
        <v>0.68</v>
      </c>
      <c r="P540" t="s">
        <v>46</v>
      </c>
      <c r="Q540" t="s">
        <v>33</v>
      </c>
      <c r="R540">
        <v>3</v>
      </c>
      <c r="S540">
        <v>2</v>
      </c>
    </row>
    <row r="541" spans="1:19" x14ac:dyDescent="0.3">
      <c r="A541" t="s">
        <v>1158</v>
      </c>
      <c r="B541" t="s">
        <v>1159</v>
      </c>
      <c r="C541" t="str">
        <f t="shared" si="32"/>
        <v>Male</v>
      </c>
      <c r="D541" t="s">
        <v>95</v>
      </c>
      <c r="E541">
        <f t="shared" si="33"/>
        <v>22</v>
      </c>
      <c r="F541">
        <v>22</v>
      </c>
      <c r="G541" t="s">
        <v>183</v>
      </c>
      <c r="H541" t="s">
        <v>73</v>
      </c>
      <c r="I541" t="s">
        <v>18</v>
      </c>
      <c r="J541">
        <f t="shared" si="34"/>
        <v>0</v>
      </c>
      <c r="K541">
        <v>0</v>
      </c>
      <c r="L541" s="5" t="str">
        <f t="shared" si="35"/>
        <v>$30</v>
      </c>
      <c r="M541" s="2" t="s">
        <v>45</v>
      </c>
      <c r="N541" s="2">
        <f>IF(O541&gt;=90%,5,IF(O541&gt;=80%,4,IF(O541&gt;=70%,3,IF(O541&gt;=60%,2,1))))</f>
        <v>4</v>
      </c>
      <c r="O541" s="3">
        <v>0.87</v>
      </c>
      <c r="P541" t="s">
        <v>65</v>
      </c>
      <c r="Q541" t="s">
        <v>58</v>
      </c>
      <c r="R541">
        <v>5</v>
      </c>
      <c r="S541">
        <v>3</v>
      </c>
    </row>
    <row r="542" spans="1:19" x14ac:dyDescent="0.3">
      <c r="A542" t="s">
        <v>1160</v>
      </c>
      <c r="B542" t="s">
        <v>1161</v>
      </c>
      <c r="C542" t="str">
        <f t="shared" si="32"/>
        <v>Male</v>
      </c>
      <c r="D542" t="s">
        <v>61</v>
      </c>
      <c r="E542">
        <f t="shared" si="33"/>
        <v>45</v>
      </c>
      <c r="F542">
        <v>45</v>
      </c>
      <c r="G542" t="s">
        <v>172</v>
      </c>
      <c r="H542" t="s">
        <v>73</v>
      </c>
      <c r="I542" t="s">
        <v>78</v>
      </c>
      <c r="J542">
        <f t="shared" si="34"/>
        <v>19</v>
      </c>
      <c r="K542">
        <v>19</v>
      </c>
      <c r="L542" s="5">
        <f t="shared" si="35"/>
        <v>75</v>
      </c>
      <c r="M542" s="2">
        <v>75</v>
      </c>
      <c r="N542" s="2">
        <f>IF(O542&gt;=90%,5,IF(O542&gt;=80%,4,IF(O542&gt;=70%,3,IF(O542&gt;=60%,2,1))))</f>
        <v>3</v>
      </c>
      <c r="O542" s="3">
        <v>0.72</v>
      </c>
      <c r="P542" t="s">
        <v>46</v>
      </c>
      <c r="Q542" t="s">
        <v>20</v>
      </c>
      <c r="R542">
        <v>14</v>
      </c>
      <c r="S542">
        <v>20</v>
      </c>
    </row>
    <row r="543" spans="1:19" x14ac:dyDescent="0.3">
      <c r="A543" t="s">
        <v>1162</v>
      </c>
      <c r="B543" t="s">
        <v>1163</v>
      </c>
      <c r="C543" t="str">
        <f t="shared" si="32"/>
        <v>Female</v>
      </c>
      <c r="D543" t="s">
        <v>77</v>
      </c>
      <c r="E543">
        <f t="shared" si="33"/>
        <v>22</v>
      </c>
      <c r="F543">
        <v>22</v>
      </c>
      <c r="G543" t="s">
        <v>24</v>
      </c>
      <c r="H543" t="s">
        <v>25</v>
      </c>
      <c r="I543" t="s">
        <v>52</v>
      </c>
      <c r="J543">
        <f t="shared" si="34"/>
        <v>2</v>
      </c>
      <c r="K543">
        <v>2</v>
      </c>
      <c r="L543" s="5">
        <f t="shared" si="35"/>
        <v>40</v>
      </c>
      <c r="M543" s="2">
        <v>40</v>
      </c>
      <c r="N543" s="2">
        <f>IF(O543&gt;=90%,5,IF(O543&gt;=80%,4,IF(O543&gt;=70%,3,IF(O543&gt;=60%,2,1))))</f>
        <v>3</v>
      </c>
      <c r="O543" s="3">
        <v>0.76</v>
      </c>
      <c r="P543" t="s">
        <v>69</v>
      </c>
      <c r="Q543" t="s">
        <v>27</v>
      </c>
      <c r="R543">
        <v>4</v>
      </c>
      <c r="S543">
        <v>1</v>
      </c>
    </row>
    <row r="544" spans="1:19" x14ac:dyDescent="0.3">
      <c r="A544" t="s">
        <v>1164</v>
      </c>
      <c r="B544" t="s">
        <v>1165</v>
      </c>
      <c r="C544" t="str">
        <f t="shared" si="32"/>
        <v>Female</v>
      </c>
      <c r="D544" t="s">
        <v>15</v>
      </c>
      <c r="E544">
        <f t="shared" si="33"/>
        <v>20</v>
      </c>
      <c r="F544">
        <v>20</v>
      </c>
      <c r="G544" t="s">
        <v>62</v>
      </c>
      <c r="H544" t="s">
        <v>63</v>
      </c>
      <c r="I544" t="s">
        <v>26</v>
      </c>
      <c r="J544">
        <f t="shared" si="34"/>
        <v>0</v>
      </c>
      <c r="K544">
        <v>0</v>
      </c>
      <c r="L544" s="5">
        <f t="shared" si="35"/>
        <v>100</v>
      </c>
      <c r="M544" s="2">
        <v>100</v>
      </c>
      <c r="N544" s="2">
        <f>IF(O544&gt;=90%,5,IF(O544&gt;=80%,4,IF(O544&gt;=70%,3,IF(O544&gt;=60%,2,1))))</f>
        <v>2</v>
      </c>
      <c r="O544" s="3">
        <v>0.63</v>
      </c>
      <c r="P544" t="s">
        <v>19</v>
      </c>
      <c r="Q544" t="s">
        <v>58</v>
      </c>
      <c r="R544">
        <v>1</v>
      </c>
      <c r="S544">
        <v>3</v>
      </c>
    </row>
    <row r="545" spans="1:19" x14ac:dyDescent="0.3">
      <c r="A545" t="s">
        <v>1166</v>
      </c>
      <c r="B545" t="s">
        <v>1167</v>
      </c>
      <c r="C545" t="str">
        <f t="shared" si="32"/>
        <v>Female</v>
      </c>
      <c r="D545" t="s">
        <v>23</v>
      </c>
      <c r="E545">
        <f t="shared" si="33"/>
        <v>20</v>
      </c>
      <c r="F545">
        <v>20</v>
      </c>
      <c r="G545" t="s">
        <v>124</v>
      </c>
      <c r="H545" t="s">
        <v>25</v>
      </c>
      <c r="I545" t="s">
        <v>52</v>
      </c>
      <c r="J545">
        <f t="shared" si="34"/>
        <v>2</v>
      </c>
      <c r="K545">
        <v>2</v>
      </c>
      <c r="L545" s="5">
        <f t="shared" si="35"/>
        <v>40</v>
      </c>
      <c r="M545" s="2">
        <v>40</v>
      </c>
      <c r="N545" s="2">
        <f>IF(O545&gt;=90%,5,IF(O545&gt;=80%,4,IF(O545&gt;=70%,3,IF(O545&gt;=60%,2,1))))</f>
        <v>5</v>
      </c>
      <c r="O545" s="3">
        <v>0.91</v>
      </c>
      <c r="P545" t="s">
        <v>69</v>
      </c>
      <c r="Q545" t="s">
        <v>33</v>
      </c>
      <c r="R545">
        <v>1</v>
      </c>
      <c r="S545">
        <v>1</v>
      </c>
    </row>
    <row r="546" spans="1:19" x14ac:dyDescent="0.3">
      <c r="A546" t="s">
        <v>1168</v>
      </c>
      <c r="B546" t="s">
        <v>1169</v>
      </c>
      <c r="C546" t="str">
        <f t="shared" si="32"/>
        <v>Male</v>
      </c>
      <c r="D546" t="s">
        <v>90</v>
      </c>
      <c r="E546">
        <f t="shared" si="33"/>
        <v>21</v>
      </c>
      <c r="F546">
        <v>21</v>
      </c>
      <c r="G546" t="s">
        <v>68</v>
      </c>
      <c r="H546" t="s">
        <v>25</v>
      </c>
      <c r="I546" t="s">
        <v>44</v>
      </c>
      <c r="J546">
        <f t="shared" si="34"/>
        <v>0</v>
      </c>
      <c r="K546">
        <v>0</v>
      </c>
      <c r="L546" s="5">
        <f t="shared" si="35"/>
        <v>100</v>
      </c>
      <c r="M546" s="2">
        <v>100</v>
      </c>
      <c r="N546" s="2">
        <f>IF(O546&gt;=90%,5,IF(O546&gt;=80%,4,IF(O546&gt;=70%,3,IF(O546&gt;=60%,2,1))))</f>
        <v>3</v>
      </c>
      <c r="O546" s="3">
        <v>0.73</v>
      </c>
      <c r="P546" t="s">
        <v>69</v>
      </c>
      <c r="Q546" t="s">
        <v>20</v>
      </c>
      <c r="R546">
        <v>1</v>
      </c>
      <c r="S546">
        <v>1</v>
      </c>
    </row>
    <row r="547" spans="1:19" x14ac:dyDescent="0.3">
      <c r="A547" t="s">
        <v>1170</v>
      </c>
      <c r="B547" t="s">
        <v>1171</v>
      </c>
      <c r="C547" t="str">
        <f t="shared" si="32"/>
        <v>Male</v>
      </c>
      <c r="D547" t="s">
        <v>95</v>
      </c>
      <c r="E547">
        <f t="shared" si="33"/>
        <v>22</v>
      </c>
      <c r="F547">
        <v>22</v>
      </c>
      <c r="G547" t="s">
        <v>42</v>
      </c>
      <c r="H547" t="s">
        <v>43</v>
      </c>
      <c r="I547" t="s">
        <v>78</v>
      </c>
      <c r="J547">
        <f t="shared" si="34"/>
        <v>1</v>
      </c>
      <c r="K547">
        <v>1</v>
      </c>
      <c r="L547" s="5">
        <f t="shared" si="35"/>
        <v>40</v>
      </c>
      <c r="M547" s="2">
        <v>40</v>
      </c>
      <c r="N547" s="2">
        <f>IF(O547&gt;=90%,5,IF(O547&gt;=80%,4,IF(O547&gt;=70%,3,IF(O547&gt;=60%,2,1))))</f>
        <v>2</v>
      </c>
      <c r="O547" s="3">
        <v>0.63</v>
      </c>
      <c r="P547" t="s">
        <v>19</v>
      </c>
      <c r="Q547" t="s">
        <v>58</v>
      </c>
      <c r="R547">
        <v>5</v>
      </c>
      <c r="S547">
        <v>1</v>
      </c>
    </row>
    <row r="548" spans="1:19" x14ac:dyDescent="0.3">
      <c r="A548" t="s">
        <v>1172</v>
      </c>
      <c r="B548" t="s">
        <v>1173</v>
      </c>
      <c r="C548" t="str">
        <f t="shared" si="32"/>
        <v>Female</v>
      </c>
      <c r="D548" t="s">
        <v>36</v>
      </c>
      <c r="E548">
        <f t="shared" si="33"/>
        <v>28</v>
      </c>
      <c r="F548">
        <v>28</v>
      </c>
      <c r="G548" t="s">
        <v>68</v>
      </c>
      <c r="H548" t="s">
        <v>25</v>
      </c>
      <c r="I548" t="s">
        <v>87</v>
      </c>
      <c r="J548">
        <f t="shared" si="34"/>
        <v>3</v>
      </c>
      <c r="K548">
        <v>3</v>
      </c>
      <c r="L548" s="5" t="str">
        <f t="shared" si="35"/>
        <v>$20</v>
      </c>
      <c r="M548" s="2" t="s">
        <v>117</v>
      </c>
      <c r="N548" s="2">
        <f>IF(O548&gt;=90%,5,IF(O548&gt;=80%,4,IF(O548&gt;=70%,3,IF(O548&gt;=60%,2,1))))</f>
        <v>3</v>
      </c>
      <c r="O548" s="3">
        <v>0.79</v>
      </c>
      <c r="P548" t="s">
        <v>69</v>
      </c>
      <c r="Q548" t="s">
        <v>33</v>
      </c>
      <c r="R548">
        <v>2</v>
      </c>
      <c r="S548">
        <v>1</v>
      </c>
    </row>
    <row r="549" spans="1:19" x14ac:dyDescent="0.3">
      <c r="A549" t="s">
        <v>1174</v>
      </c>
      <c r="B549" t="s">
        <v>1175</v>
      </c>
      <c r="C549" t="str">
        <f t="shared" si="32"/>
        <v>Female</v>
      </c>
      <c r="D549" t="s">
        <v>36</v>
      </c>
      <c r="E549">
        <f t="shared" si="33"/>
        <v>59</v>
      </c>
      <c r="F549">
        <v>59</v>
      </c>
      <c r="G549" t="s">
        <v>72</v>
      </c>
      <c r="H549" t="s">
        <v>73</v>
      </c>
      <c r="I549" t="s">
        <v>44</v>
      </c>
      <c r="J549" s="4">
        <f t="shared" si="34"/>
        <v>10</v>
      </c>
      <c r="L549" s="5">
        <f t="shared" si="35"/>
        <v>20</v>
      </c>
      <c r="M549" s="2">
        <v>20</v>
      </c>
      <c r="N549" s="2">
        <f>IF(O549&gt;=90%,5,IF(O549&gt;=80%,4,IF(O549&gt;=70%,3,IF(O549&gt;=60%,2,1))))</f>
        <v>3</v>
      </c>
      <c r="O549" s="3">
        <v>0.75</v>
      </c>
      <c r="P549" t="s">
        <v>69</v>
      </c>
      <c r="Q549" t="s">
        <v>20</v>
      </c>
      <c r="R549">
        <v>2</v>
      </c>
      <c r="S549">
        <v>2</v>
      </c>
    </row>
    <row r="550" spans="1:19" x14ac:dyDescent="0.3">
      <c r="A550" t="s">
        <v>1176</v>
      </c>
      <c r="B550" t="s">
        <v>1177</v>
      </c>
      <c r="C550" t="str">
        <f t="shared" si="32"/>
        <v>Female</v>
      </c>
      <c r="D550" t="s">
        <v>39</v>
      </c>
      <c r="E550">
        <f t="shared" si="33"/>
        <v>28</v>
      </c>
      <c r="F550">
        <v>28</v>
      </c>
      <c r="G550" t="s">
        <v>131</v>
      </c>
      <c r="H550" t="s">
        <v>132</v>
      </c>
      <c r="I550" t="s">
        <v>37</v>
      </c>
      <c r="J550">
        <f t="shared" si="34"/>
        <v>1</v>
      </c>
      <c r="K550">
        <v>1</v>
      </c>
      <c r="L550" s="5">
        <f t="shared" si="35"/>
        <v>57.75</v>
      </c>
      <c r="N550" s="2">
        <f>IF(O550&gt;=90%,5,IF(O550&gt;=80%,4,IF(O550&gt;=70%,3,IF(O550&gt;=60%,2,1))))</f>
        <v>3</v>
      </c>
      <c r="O550" s="3">
        <v>0.7</v>
      </c>
      <c r="P550" t="s">
        <v>46</v>
      </c>
      <c r="Q550" t="s">
        <v>33</v>
      </c>
      <c r="R550">
        <v>1</v>
      </c>
      <c r="S550">
        <v>2</v>
      </c>
    </row>
    <row r="551" spans="1:19" x14ac:dyDescent="0.3">
      <c r="A551" t="s">
        <v>1178</v>
      </c>
      <c r="B551" t="s">
        <v>1179</v>
      </c>
      <c r="C551" t="str">
        <f t="shared" si="32"/>
        <v>Female</v>
      </c>
      <c r="D551" t="s">
        <v>36</v>
      </c>
      <c r="E551">
        <f t="shared" si="33"/>
        <v>40</v>
      </c>
      <c r="F551">
        <v>40</v>
      </c>
      <c r="G551" t="s">
        <v>24</v>
      </c>
      <c r="H551" t="s">
        <v>25</v>
      </c>
      <c r="I551" t="s">
        <v>87</v>
      </c>
      <c r="J551">
        <f t="shared" si="34"/>
        <v>0</v>
      </c>
      <c r="K551">
        <v>0</v>
      </c>
      <c r="L551" s="5" t="str">
        <f t="shared" si="35"/>
        <v>$100</v>
      </c>
      <c r="M551" s="2" t="s">
        <v>222</v>
      </c>
      <c r="N551" s="2">
        <f>IF(O551&gt;=90%,5,IF(O551&gt;=80%,4,IF(O551&gt;=70%,3,IF(O551&gt;=60%,2,1))))</f>
        <v>4</v>
      </c>
      <c r="O551" s="3">
        <v>0.87</v>
      </c>
      <c r="P551" t="s">
        <v>46</v>
      </c>
      <c r="Q551" t="s">
        <v>20</v>
      </c>
      <c r="R551">
        <v>1</v>
      </c>
      <c r="S551">
        <v>1</v>
      </c>
    </row>
    <row r="552" spans="1:19" x14ac:dyDescent="0.3">
      <c r="A552" t="s">
        <v>1180</v>
      </c>
      <c r="B552" t="s">
        <v>1181</v>
      </c>
      <c r="C552" t="str">
        <f t="shared" si="32"/>
        <v>Male</v>
      </c>
      <c r="D552" t="s">
        <v>90</v>
      </c>
      <c r="E552">
        <f t="shared" si="33"/>
        <v>57</v>
      </c>
      <c r="F552">
        <v>57</v>
      </c>
      <c r="G552" t="s">
        <v>16</v>
      </c>
      <c r="H552" t="s">
        <v>17</v>
      </c>
      <c r="I552" t="s">
        <v>18</v>
      </c>
      <c r="J552">
        <f t="shared" si="34"/>
        <v>7</v>
      </c>
      <c r="K552">
        <v>7</v>
      </c>
      <c r="L552" s="5">
        <f t="shared" si="35"/>
        <v>30</v>
      </c>
      <c r="M552" s="2">
        <v>30</v>
      </c>
      <c r="N552" s="2">
        <f>IF(O552&gt;=90%,5,IF(O552&gt;=80%,4,IF(O552&gt;=70%,3,IF(O552&gt;=60%,2,1))))</f>
        <v>1</v>
      </c>
      <c r="O552" s="3">
        <v>0.5</v>
      </c>
      <c r="P552" t="s">
        <v>19</v>
      </c>
      <c r="Q552" t="s">
        <v>27</v>
      </c>
      <c r="R552">
        <v>13</v>
      </c>
      <c r="S552">
        <v>5</v>
      </c>
    </row>
    <row r="553" spans="1:19" x14ac:dyDescent="0.3">
      <c r="A553" t="s">
        <v>1182</v>
      </c>
      <c r="B553" t="s">
        <v>1183</v>
      </c>
      <c r="C553" t="str">
        <f t="shared" si="32"/>
        <v>Male</v>
      </c>
      <c r="D553" t="s">
        <v>61</v>
      </c>
      <c r="E553">
        <f t="shared" si="33"/>
        <v>47</v>
      </c>
      <c r="F553">
        <v>47</v>
      </c>
      <c r="G553" t="s">
        <v>62</v>
      </c>
      <c r="H553" t="s">
        <v>63</v>
      </c>
      <c r="I553" t="s">
        <v>87</v>
      </c>
      <c r="J553">
        <f t="shared" si="34"/>
        <v>1</v>
      </c>
      <c r="K553">
        <v>1</v>
      </c>
      <c r="L553" s="5">
        <f t="shared" si="35"/>
        <v>50</v>
      </c>
      <c r="M553" s="2">
        <v>50</v>
      </c>
      <c r="N553" s="2">
        <f>IF(O553&gt;=90%,5,IF(O553&gt;=80%,4,IF(O553&gt;=70%,3,IF(O553&gt;=60%,2,1))))</f>
        <v>4</v>
      </c>
      <c r="O553" s="3">
        <v>0.88</v>
      </c>
      <c r="P553" t="s">
        <v>46</v>
      </c>
      <c r="Q553" t="s">
        <v>58</v>
      </c>
      <c r="R553">
        <v>5</v>
      </c>
      <c r="S553">
        <v>3</v>
      </c>
    </row>
    <row r="554" spans="1:19" x14ac:dyDescent="0.3">
      <c r="A554" t="s">
        <v>1184</v>
      </c>
      <c r="B554" t="s">
        <v>1185</v>
      </c>
      <c r="C554" t="str">
        <f t="shared" si="32"/>
        <v>Male</v>
      </c>
      <c r="D554" t="s">
        <v>30</v>
      </c>
      <c r="E554">
        <f t="shared" si="33"/>
        <v>48</v>
      </c>
      <c r="F554">
        <v>48</v>
      </c>
      <c r="G554" t="s">
        <v>108</v>
      </c>
      <c r="H554" t="s">
        <v>109</v>
      </c>
      <c r="I554" t="s">
        <v>78</v>
      </c>
      <c r="J554">
        <f t="shared" si="34"/>
        <v>21</v>
      </c>
      <c r="K554">
        <v>21</v>
      </c>
      <c r="L554" s="5">
        <f t="shared" si="35"/>
        <v>40</v>
      </c>
      <c r="M554" s="2">
        <v>40</v>
      </c>
      <c r="N554" s="2">
        <f>IF(O554&gt;=90%,5,IF(O554&gt;=80%,4,IF(O554&gt;=70%,3,IF(O554&gt;=60%,2,1))))</f>
        <v>1</v>
      </c>
      <c r="O554" s="3">
        <v>0.5</v>
      </c>
      <c r="P554" t="s">
        <v>46</v>
      </c>
      <c r="Q554" t="s">
        <v>33</v>
      </c>
      <c r="R554">
        <v>15</v>
      </c>
      <c r="S554">
        <v>11</v>
      </c>
    </row>
    <row r="555" spans="1:19" x14ac:dyDescent="0.3">
      <c r="A555" t="s">
        <v>1186</v>
      </c>
      <c r="B555" t="s">
        <v>1187</v>
      </c>
      <c r="C555" t="str">
        <f t="shared" si="32"/>
        <v>Male</v>
      </c>
      <c r="D555" t="s">
        <v>95</v>
      </c>
      <c r="E555">
        <f t="shared" si="33"/>
        <v>28</v>
      </c>
      <c r="F555">
        <v>28</v>
      </c>
      <c r="G555" t="s">
        <v>57</v>
      </c>
      <c r="H555" t="s">
        <v>25</v>
      </c>
      <c r="I555" t="s">
        <v>74</v>
      </c>
      <c r="J555">
        <f t="shared" si="34"/>
        <v>1</v>
      </c>
      <c r="K555">
        <v>1</v>
      </c>
      <c r="L555" s="5" t="str">
        <f t="shared" si="35"/>
        <v>$20</v>
      </c>
      <c r="M555" s="2" t="s">
        <v>117</v>
      </c>
      <c r="N555" s="2">
        <f>IF(O555&gt;=90%,5,IF(O555&gt;=80%,4,IF(O555&gt;=70%,3,IF(O555&gt;=60%,2,1))))</f>
        <v>5</v>
      </c>
      <c r="O555" s="3">
        <v>0.93</v>
      </c>
      <c r="P555" t="s">
        <v>69</v>
      </c>
      <c r="Q555" t="s">
        <v>20</v>
      </c>
      <c r="R555">
        <v>5</v>
      </c>
      <c r="S555">
        <v>3</v>
      </c>
    </row>
    <row r="556" spans="1:19" x14ac:dyDescent="0.3">
      <c r="A556" t="s">
        <v>1188</v>
      </c>
      <c r="B556" t="s">
        <v>1189</v>
      </c>
      <c r="C556" t="str">
        <f t="shared" si="32"/>
        <v>Male</v>
      </c>
      <c r="D556" t="s">
        <v>90</v>
      </c>
      <c r="E556">
        <f t="shared" si="33"/>
        <v>41</v>
      </c>
      <c r="F556">
        <v>41</v>
      </c>
      <c r="G556" t="s">
        <v>62</v>
      </c>
      <c r="H556" t="s">
        <v>63</v>
      </c>
      <c r="I556" t="s">
        <v>32</v>
      </c>
      <c r="J556">
        <f t="shared" si="34"/>
        <v>15</v>
      </c>
      <c r="K556">
        <v>15</v>
      </c>
      <c r="L556" s="5">
        <f t="shared" si="35"/>
        <v>58.684210526315788</v>
      </c>
      <c r="N556" s="2">
        <f>IF(O556&gt;=90%,5,IF(O556&gt;=80%,4,IF(O556&gt;=70%,3,IF(O556&gt;=60%,2,1))))</f>
        <v>1</v>
      </c>
      <c r="O556" s="3">
        <v>0.5</v>
      </c>
      <c r="P556" t="s">
        <v>65</v>
      </c>
      <c r="Q556" t="s">
        <v>33</v>
      </c>
      <c r="R556">
        <v>13</v>
      </c>
      <c r="S556">
        <v>5</v>
      </c>
    </row>
    <row r="557" spans="1:19" x14ac:dyDescent="0.3">
      <c r="A557" t="s">
        <v>1190</v>
      </c>
      <c r="B557" t="s">
        <v>1191</v>
      </c>
      <c r="C557" t="str">
        <f t="shared" si="32"/>
        <v>Female</v>
      </c>
      <c r="D557" t="s">
        <v>15</v>
      </c>
      <c r="E557">
        <f t="shared" si="33"/>
        <v>57</v>
      </c>
      <c r="F557">
        <v>57</v>
      </c>
      <c r="G557" t="s">
        <v>147</v>
      </c>
      <c r="H557" t="s">
        <v>148</v>
      </c>
      <c r="I557" t="s">
        <v>78</v>
      </c>
      <c r="J557">
        <f t="shared" si="34"/>
        <v>33</v>
      </c>
      <c r="K557">
        <v>33</v>
      </c>
      <c r="L557" s="5">
        <f t="shared" si="35"/>
        <v>100</v>
      </c>
      <c r="M557" s="2">
        <v>100</v>
      </c>
      <c r="N557" s="2">
        <f>IF(O557&gt;=90%,5,IF(O557&gt;=80%,4,IF(O557&gt;=70%,3,IF(O557&gt;=60%,2,1))))</f>
        <v>3</v>
      </c>
      <c r="O557" s="3">
        <v>0.74</v>
      </c>
      <c r="P557" t="s">
        <v>46</v>
      </c>
      <c r="Q557" t="s">
        <v>33</v>
      </c>
      <c r="R557">
        <v>19</v>
      </c>
      <c r="S557">
        <v>17</v>
      </c>
    </row>
    <row r="558" spans="1:19" x14ac:dyDescent="0.3">
      <c r="A558" t="s">
        <v>1192</v>
      </c>
      <c r="B558" t="s">
        <v>1193</v>
      </c>
      <c r="C558" t="str">
        <f t="shared" si="32"/>
        <v>Male</v>
      </c>
      <c r="D558" t="s">
        <v>30</v>
      </c>
      <c r="E558">
        <f t="shared" si="33"/>
        <v>60</v>
      </c>
      <c r="F558">
        <v>60</v>
      </c>
      <c r="G558" t="s">
        <v>72</v>
      </c>
      <c r="H558" t="s">
        <v>73</v>
      </c>
      <c r="I558" t="s">
        <v>32</v>
      </c>
      <c r="J558">
        <f t="shared" si="34"/>
        <v>39</v>
      </c>
      <c r="K558">
        <v>39</v>
      </c>
      <c r="L558" s="5" t="str">
        <f t="shared" si="35"/>
        <v>$75</v>
      </c>
      <c r="M558" s="2" t="s">
        <v>163</v>
      </c>
      <c r="N558" s="2">
        <f>IF(O558&gt;=90%,5,IF(O558&gt;=80%,4,IF(O558&gt;=70%,3,IF(O558&gt;=60%,2,1))))</f>
        <v>3</v>
      </c>
      <c r="O558" s="3">
        <v>0.7</v>
      </c>
      <c r="P558" t="s">
        <v>65</v>
      </c>
      <c r="Q558" t="s">
        <v>58</v>
      </c>
      <c r="R558">
        <v>15</v>
      </c>
      <c r="S558">
        <v>15</v>
      </c>
    </row>
    <row r="559" spans="1:19" x14ac:dyDescent="0.3">
      <c r="A559" t="s">
        <v>1194</v>
      </c>
      <c r="B559" t="s">
        <v>1195</v>
      </c>
      <c r="C559" t="str">
        <f t="shared" si="32"/>
        <v>Female</v>
      </c>
      <c r="D559" t="s">
        <v>39</v>
      </c>
      <c r="E559">
        <f t="shared" si="33"/>
        <v>48</v>
      </c>
      <c r="F559">
        <v>48</v>
      </c>
      <c r="G559" t="s">
        <v>135</v>
      </c>
      <c r="H559" t="s">
        <v>136</v>
      </c>
      <c r="I559" t="s">
        <v>32</v>
      </c>
      <c r="J559">
        <f t="shared" si="34"/>
        <v>21</v>
      </c>
      <c r="K559">
        <v>21</v>
      </c>
      <c r="L559" s="5">
        <f t="shared" si="35"/>
        <v>30</v>
      </c>
      <c r="M559" s="2">
        <v>30</v>
      </c>
      <c r="N559" s="2">
        <f>IF(O559&gt;=90%,5,IF(O559&gt;=80%,4,IF(O559&gt;=70%,3,IF(O559&gt;=60%,2,1))))</f>
        <v>2</v>
      </c>
      <c r="O559" s="3">
        <v>0.67</v>
      </c>
      <c r="P559" t="s">
        <v>46</v>
      </c>
      <c r="Q559" t="s">
        <v>27</v>
      </c>
      <c r="R559">
        <v>15</v>
      </c>
      <c r="S559">
        <v>5</v>
      </c>
    </row>
    <row r="560" spans="1:19" x14ac:dyDescent="0.3">
      <c r="A560" t="s">
        <v>1196</v>
      </c>
      <c r="B560" t="s">
        <v>1197</v>
      </c>
      <c r="C560" t="str">
        <f t="shared" si="32"/>
        <v>Female</v>
      </c>
      <c r="D560" t="s">
        <v>77</v>
      </c>
      <c r="E560">
        <f t="shared" si="33"/>
        <v>24</v>
      </c>
      <c r="F560">
        <v>24</v>
      </c>
      <c r="G560" t="s">
        <v>131</v>
      </c>
      <c r="H560" t="s">
        <v>132</v>
      </c>
      <c r="I560" t="s">
        <v>78</v>
      </c>
      <c r="J560">
        <f t="shared" si="34"/>
        <v>5</v>
      </c>
      <c r="K560">
        <v>5</v>
      </c>
      <c r="L560" s="5">
        <f t="shared" si="35"/>
        <v>40</v>
      </c>
      <c r="M560" s="2">
        <v>40</v>
      </c>
      <c r="N560" s="2">
        <f>IF(O560&gt;=90%,5,IF(O560&gt;=80%,4,IF(O560&gt;=70%,3,IF(O560&gt;=60%,2,1))))</f>
        <v>4</v>
      </c>
      <c r="O560" s="3">
        <v>0.86</v>
      </c>
      <c r="P560" t="s">
        <v>46</v>
      </c>
      <c r="Q560" t="s">
        <v>33</v>
      </c>
      <c r="R560">
        <v>1</v>
      </c>
      <c r="S560">
        <v>1</v>
      </c>
    </row>
    <row r="561" spans="1:19" x14ac:dyDescent="0.3">
      <c r="A561" t="s">
        <v>1198</v>
      </c>
      <c r="B561" t="s">
        <v>1199</v>
      </c>
      <c r="C561" t="str">
        <f t="shared" si="32"/>
        <v>Female</v>
      </c>
      <c r="D561" t="s">
        <v>23</v>
      </c>
      <c r="E561">
        <f t="shared" si="33"/>
        <v>33</v>
      </c>
      <c r="F561">
        <v>33</v>
      </c>
      <c r="G561" t="s">
        <v>172</v>
      </c>
      <c r="H561" t="s">
        <v>73</v>
      </c>
      <c r="I561" t="s">
        <v>87</v>
      </c>
      <c r="J561">
        <f t="shared" si="34"/>
        <v>11</v>
      </c>
      <c r="K561">
        <v>11</v>
      </c>
      <c r="L561" s="5">
        <f t="shared" si="35"/>
        <v>50</v>
      </c>
      <c r="M561" s="2">
        <v>50</v>
      </c>
      <c r="N561" s="2">
        <f>IF(O561&gt;=90%,5,IF(O561&gt;=80%,4,IF(O561&gt;=70%,3,IF(O561&gt;=60%,2,1))))</f>
        <v>2</v>
      </c>
      <c r="O561" s="3">
        <v>0.69</v>
      </c>
      <c r="P561" t="s">
        <v>19</v>
      </c>
      <c r="Q561" t="s">
        <v>20</v>
      </c>
      <c r="R561">
        <v>8</v>
      </c>
      <c r="S561">
        <v>9</v>
      </c>
    </row>
    <row r="562" spans="1:19" x14ac:dyDescent="0.3">
      <c r="A562" t="s">
        <v>1200</v>
      </c>
      <c r="B562" t="s">
        <v>1201</v>
      </c>
      <c r="C562" t="str">
        <f t="shared" si="32"/>
        <v>Female</v>
      </c>
      <c r="D562" t="s">
        <v>23</v>
      </c>
      <c r="E562">
        <f t="shared" si="33"/>
        <v>20</v>
      </c>
      <c r="F562">
        <v>20</v>
      </c>
      <c r="G562" t="s">
        <v>62</v>
      </c>
      <c r="H562" t="s">
        <v>63</v>
      </c>
      <c r="I562" t="s">
        <v>32</v>
      </c>
      <c r="J562">
        <f t="shared" si="34"/>
        <v>0</v>
      </c>
      <c r="K562">
        <v>0</v>
      </c>
      <c r="L562" s="5">
        <f t="shared" si="35"/>
        <v>30</v>
      </c>
      <c r="M562" s="2">
        <v>30</v>
      </c>
      <c r="N562" s="2">
        <f>IF(O562&gt;=90%,5,IF(O562&gt;=80%,4,IF(O562&gt;=70%,3,IF(O562&gt;=60%,2,1))))</f>
        <v>2</v>
      </c>
      <c r="O562" s="3">
        <v>0.68</v>
      </c>
      <c r="P562" t="s">
        <v>19</v>
      </c>
      <c r="Q562" t="s">
        <v>20</v>
      </c>
      <c r="R562">
        <v>5</v>
      </c>
      <c r="S562">
        <v>3</v>
      </c>
    </row>
    <row r="563" spans="1:19" x14ac:dyDescent="0.3">
      <c r="A563" t="s">
        <v>1202</v>
      </c>
      <c r="B563" t="s">
        <v>1203</v>
      </c>
      <c r="C563" t="str">
        <f t="shared" si="32"/>
        <v>Male</v>
      </c>
      <c r="D563" t="s">
        <v>61</v>
      </c>
      <c r="E563">
        <f t="shared" si="33"/>
        <v>59</v>
      </c>
      <c r="F563">
        <v>59</v>
      </c>
      <c r="G563" t="s">
        <v>68</v>
      </c>
      <c r="H563" t="s">
        <v>25</v>
      </c>
      <c r="I563" t="s">
        <v>87</v>
      </c>
      <c r="J563">
        <f t="shared" si="34"/>
        <v>15</v>
      </c>
      <c r="K563">
        <v>15</v>
      </c>
      <c r="L563" s="5" t="str">
        <f t="shared" si="35"/>
        <v>$50</v>
      </c>
      <c r="M563" s="2" t="s">
        <v>64</v>
      </c>
      <c r="N563" s="2">
        <f>IF(O563&gt;=90%,5,IF(O563&gt;=80%,4,IF(O563&gt;=70%,3,IF(O563&gt;=60%,2,1))))</f>
        <v>1</v>
      </c>
      <c r="O563" s="3">
        <v>0.5</v>
      </c>
      <c r="P563" t="s">
        <v>19</v>
      </c>
      <c r="Q563" t="s">
        <v>27</v>
      </c>
      <c r="R563">
        <v>7</v>
      </c>
      <c r="S563">
        <v>8</v>
      </c>
    </row>
    <row r="564" spans="1:19" x14ac:dyDescent="0.3">
      <c r="A564" t="s">
        <v>1204</v>
      </c>
      <c r="B564" t="s">
        <v>1205</v>
      </c>
      <c r="C564" t="str">
        <f t="shared" si="32"/>
        <v>Female</v>
      </c>
      <c r="D564" t="s">
        <v>39</v>
      </c>
      <c r="E564">
        <f t="shared" si="33"/>
        <v>42</v>
      </c>
      <c r="F564">
        <v>42</v>
      </c>
      <c r="G564" t="s">
        <v>168</v>
      </c>
      <c r="H564" t="s">
        <v>169</v>
      </c>
      <c r="I564" t="s">
        <v>87</v>
      </c>
      <c r="J564">
        <f t="shared" si="34"/>
        <v>22</v>
      </c>
      <c r="K564">
        <v>22</v>
      </c>
      <c r="L564" s="5">
        <f t="shared" si="35"/>
        <v>59.519230769230766</v>
      </c>
      <c r="N564" s="2">
        <f>IF(O564&gt;=90%,5,IF(O564&gt;=80%,4,IF(O564&gt;=70%,3,IF(O564&gt;=60%,2,1))))</f>
        <v>2</v>
      </c>
      <c r="O564" s="3">
        <v>0.61</v>
      </c>
      <c r="P564" t="s">
        <v>65</v>
      </c>
      <c r="Q564" t="s">
        <v>20</v>
      </c>
      <c r="R564">
        <v>14</v>
      </c>
      <c r="S564">
        <v>9</v>
      </c>
    </row>
    <row r="565" spans="1:19" x14ac:dyDescent="0.3">
      <c r="A565" t="s">
        <v>1206</v>
      </c>
      <c r="B565" t="s">
        <v>1207</v>
      </c>
      <c r="C565" t="str">
        <f t="shared" si="32"/>
        <v>Female</v>
      </c>
      <c r="D565" t="s">
        <v>23</v>
      </c>
      <c r="E565">
        <f t="shared" si="33"/>
        <v>22</v>
      </c>
      <c r="F565">
        <v>22</v>
      </c>
      <c r="G565" t="s">
        <v>62</v>
      </c>
      <c r="H565" t="s">
        <v>63</v>
      </c>
      <c r="I565" t="s">
        <v>74</v>
      </c>
      <c r="J565">
        <f t="shared" si="34"/>
        <v>3</v>
      </c>
      <c r="K565">
        <v>3</v>
      </c>
      <c r="L565" s="5">
        <f t="shared" si="35"/>
        <v>59.519230769230766</v>
      </c>
      <c r="N565" s="2">
        <f>IF(O565&gt;=90%,5,IF(O565&gt;=80%,4,IF(O565&gt;=70%,3,IF(O565&gt;=60%,2,1))))</f>
        <v>5</v>
      </c>
      <c r="O565" s="3">
        <v>0.96</v>
      </c>
      <c r="P565" t="s">
        <v>69</v>
      </c>
      <c r="Q565" t="s">
        <v>27</v>
      </c>
      <c r="R565">
        <v>1</v>
      </c>
      <c r="S565">
        <v>2</v>
      </c>
    </row>
    <row r="566" spans="1:19" x14ac:dyDescent="0.3">
      <c r="A566" t="s">
        <v>1208</v>
      </c>
      <c r="B566" t="s">
        <v>1209</v>
      </c>
      <c r="C566" t="str">
        <f t="shared" si="32"/>
        <v>Male</v>
      </c>
      <c r="D566" t="s">
        <v>90</v>
      </c>
      <c r="E566">
        <f t="shared" si="33"/>
        <v>41</v>
      </c>
      <c r="F566">
        <v>41</v>
      </c>
      <c r="G566" t="s">
        <v>124</v>
      </c>
      <c r="H566" t="s">
        <v>25</v>
      </c>
      <c r="I566" t="s">
        <v>78</v>
      </c>
      <c r="J566">
        <f t="shared" si="34"/>
        <v>11</v>
      </c>
      <c r="K566">
        <v>11</v>
      </c>
      <c r="L566" s="5">
        <f t="shared" si="35"/>
        <v>50</v>
      </c>
      <c r="M566" s="2">
        <v>50</v>
      </c>
      <c r="N566" s="2">
        <f>IF(O566&gt;=90%,5,IF(O566&gt;=80%,4,IF(O566&gt;=70%,3,IF(O566&gt;=60%,2,1))))</f>
        <v>2</v>
      </c>
      <c r="O566" s="3">
        <v>0.68</v>
      </c>
      <c r="P566" t="s">
        <v>46</v>
      </c>
      <c r="Q566" t="s">
        <v>20</v>
      </c>
      <c r="R566">
        <v>12</v>
      </c>
      <c r="S566">
        <v>1</v>
      </c>
    </row>
    <row r="567" spans="1:19" x14ac:dyDescent="0.3">
      <c r="A567" t="s">
        <v>1210</v>
      </c>
      <c r="B567" t="s">
        <v>1211</v>
      </c>
      <c r="C567" t="str">
        <f t="shared" si="32"/>
        <v>Female</v>
      </c>
      <c r="D567" t="s">
        <v>77</v>
      </c>
      <c r="E567">
        <f t="shared" si="33"/>
        <v>25</v>
      </c>
      <c r="F567">
        <v>25</v>
      </c>
      <c r="G567" t="s">
        <v>72</v>
      </c>
      <c r="H567" t="s">
        <v>73</v>
      </c>
      <c r="I567" t="s">
        <v>37</v>
      </c>
      <c r="J567">
        <f t="shared" si="34"/>
        <v>5</v>
      </c>
      <c r="K567">
        <v>5</v>
      </c>
      <c r="L567" s="5">
        <f t="shared" si="35"/>
        <v>40</v>
      </c>
      <c r="M567" s="2">
        <v>40</v>
      </c>
      <c r="N567" s="2">
        <f>IF(O567&gt;=90%,5,IF(O567&gt;=80%,4,IF(O567&gt;=70%,3,IF(O567&gt;=60%,2,1))))</f>
        <v>3</v>
      </c>
      <c r="O567" s="3">
        <v>0.75</v>
      </c>
      <c r="P567" t="s">
        <v>46</v>
      </c>
      <c r="Q567" t="s">
        <v>58</v>
      </c>
      <c r="R567">
        <v>4</v>
      </c>
      <c r="S567">
        <v>1</v>
      </c>
    </row>
    <row r="568" spans="1:19" x14ac:dyDescent="0.3">
      <c r="A568" t="s">
        <v>1212</v>
      </c>
      <c r="B568" t="s">
        <v>1213</v>
      </c>
      <c r="C568" t="str">
        <f t="shared" si="32"/>
        <v>Female</v>
      </c>
      <c r="D568" t="s">
        <v>15</v>
      </c>
      <c r="E568">
        <f t="shared" si="33"/>
        <v>38</v>
      </c>
      <c r="F568">
        <v>38</v>
      </c>
      <c r="G568" t="s">
        <v>124</v>
      </c>
      <c r="H568" t="s">
        <v>25</v>
      </c>
      <c r="I568" t="s">
        <v>74</v>
      </c>
      <c r="J568">
        <f t="shared" si="34"/>
        <v>3</v>
      </c>
      <c r="K568">
        <v>3</v>
      </c>
      <c r="L568" s="5">
        <f t="shared" si="35"/>
        <v>40</v>
      </c>
      <c r="M568" s="2">
        <v>40</v>
      </c>
      <c r="N568" s="2">
        <f>IF(O568&gt;=90%,5,IF(O568&gt;=80%,4,IF(O568&gt;=70%,3,IF(O568&gt;=60%,2,1))))</f>
        <v>2</v>
      </c>
      <c r="O568" s="3">
        <v>0.69</v>
      </c>
      <c r="P568" t="s">
        <v>46</v>
      </c>
      <c r="Q568" t="s">
        <v>33</v>
      </c>
      <c r="R568">
        <v>4</v>
      </c>
      <c r="S568">
        <v>2</v>
      </c>
    </row>
    <row r="569" spans="1:19" x14ac:dyDescent="0.3">
      <c r="A569" t="s">
        <v>1214</v>
      </c>
      <c r="B569" t="s">
        <v>1215</v>
      </c>
      <c r="C569" t="str">
        <f t="shared" si="32"/>
        <v>Female</v>
      </c>
      <c r="D569" t="s">
        <v>39</v>
      </c>
      <c r="E569">
        <f t="shared" si="33"/>
        <v>43</v>
      </c>
      <c r="F569">
        <v>43</v>
      </c>
      <c r="G569" t="s">
        <v>57</v>
      </c>
      <c r="H569" t="s">
        <v>25</v>
      </c>
      <c r="I569" t="s">
        <v>87</v>
      </c>
      <c r="J569">
        <f t="shared" si="34"/>
        <v>1</v>
      </c>
      <c r="K569">
        <v>1</v>
      </c>
      <c r="L569" s="5">
        <f t="shared" si="35"/>
        <v>60.510204081632651</v>
      </c>
      <c r="N569" s="2">
        <f>IF(O569&gt;=90%,5,IF(O569&gt;=80%,4,IF(O569&gt;=70%,3,IF(O569&gt;=60%,2,1))))</f>
        <v>3</v>
      </c>
      <c r="O569" s="3">
        <v>0.78</v>
      </c>
      <c r="P569" t="s">
        <v>65</v>
      </c>
      <c r="Q569" t="s">
        <v>58</v>
      </c>
      <c r="R569">
        <v>5</v>
      </c>
      <c r="S569">
        <v>2</v>
      </c>
    </row>
    <row r="570" spans="1:19" x14ac:dyDescent="0.3">
      <c r="A570" t="s">
        <v>1216</v>
      </c>
      <c r="B570" t="s">
        <v>1217</v>
      </c>
      <c r="C570" t="str">
        <f t="shared" si="32"/>
        <v>Female</v>
      </c>
      <c r="D570" t="s">
        <v>36</v>
      </c>
      <c r="E570">
        <f t="shared" si="33"/>
        <v>54</v>
      </c>
      <c r="F570">
        <v>54</v>
      </c>
      <c r="G570" t="s">
        <v>172</v>
      </c>
      <c r="H570" t="s">
        <v>73</v>
      </c>
      <c r="I570" t="s">
        <v>44</v>
      </c>
      <c r="J570">
        <f t="shared" si="34"/>
        <v>1</v>
      </c>
      <c r="K570">
        <v>1</v>
      </c>
      <c r="L570" s="5">
        <f t="shared" si="35"/>
        <v>75</v>
      </c>
      <c r="M570" s="2">
        <v>75</v>
      </c>
      <c r="N570" s="2">
        <f>IF(O570&gt;=90%,5,IF(O570&gt;=80%,4,IF(O570&gt;=70%,3,IF(O570&gt;=60%,2,1))))</f>
        <v>1</v>
      </c>
      <c r="O570" s="3">
        <v>0.5</v>
      </c>
      <c r="P570" t="s">
        <v>19</v>
      </c>
      <c r="Q570" t="s">
        <v>33</v>
      </c>
      <c r="R570">
        <v>4</v>
      </c>
      <c r="S570">
        <v>5</v>
      </c>
    </row>
    <row r="571" spans="1:19" x14ac:dyDescent="0.3">
      <c r="A571" t="s">
        <v>1218</v>
      </c>
      <c r="B571" t="s">
        <v>1219</v>
      </c>
      <c r="C571" t="str">
        <f t="shared" si="32"/>
        <v>Female</v>
      </c>
      <c r="D571" t="s">
        <v>36</v>
      </c>
      <c r="E571">
        <f t="shared" si="33"/>
        <v>31</v>
      </c>
      <c r="F571">
        <v>31</v>
      </c>
      <c r="G571" t="s">
        <v>50</v>
      </c>
      <c r="H571" t="s">
        <v>51</v>
      </c>
      <c r="I571" t="s">
        <v>26</v>
      </c>
      <c r="J571">
        <f t="shared" si="34"/>
        <v>2</v>
      </c>
      <c r="K571">
        <v>2</v>
      </c>
      <c r="L571" s="5">
        <f t="shared" si="35"/>
        <v>40</v>
      </c>
      <c r="M571" s="2">
        <v>40</v>
      </c>
      <c r="N571" s="2">
        <f>IF(O571&gt;=90%,5,IF(O571&gt;=80%,4,IF(O571&gt;=70%,3,IF(O571&gt;=60%,2,1))))</f>
        <v>5</v>
      </c>
      <c r="O571" s="3">
        <v>0.98</v>
      </c>
      <c r="P571" t="s">
        <v>69</v>
      </c>
      <c r="Q571" t="s">
        <v>33</v>
      </c>
      <c r="R571">
        <v>5</v>
      </c>
      <c r="S571">
        <v>1</v>
      </c>
    </row>
    <row r="572" spans="1:19" x14ac:dyDescent="0.3">
      <c r="A572" t="s">
        <v>1220</v>
      </c>
      <c r="B572" t="s">
        <v>1221</v>
      </c>
      <c r="C572" t="str">
        <f t="shared" si="32"/>
        <v>Female</v>
      </c>
      <c r="D572" t="s">
        <v>15</v>
      </c>
      <c r="E572">
        <f t="shared" si="33"/>
        <v>56</v>
      </c>
      <c r="F572">
        <v>56</v>
      </c>
      <c r="G572" t="s">
        <v>172</v>
      </c>
      <c r="H572" t="s">
        <v>73</v>
      </c>
      <c r="I572" t="s">
        <v>44</v>
      </c>
      <c r="J572">
        <f t="shared" si="34"/>
        <v>3</v>
      </c>
      <c r="K572">
        <v>3</v>
      </c>
      <c r="L572" s="5" t="str">
        <f t="shared" si="35"/>
        <v>$30</v>
      </c>
      <c r="M572" s="2" t="s">
        <v>45</v>
      </c>
      <c r="N572" s="2">
        <f>IF(O572&gt;=90%,5,IF(O572&gt;=80%,4,IF(O572&gt;=70%,3,IF(O572&gt;=60%,2,1))))</f>
        <v>4</v>
      </c>
      <c r="O572" s="3">
        <v>0.83</v>
      </c>
      <c r="P572" t="s">
        <v>65</v>
      </c>
      <c r="Q572" t="s">
        <v>33</v>
      </c>
      <c r="R572">
        <v>4</v>
      </c>
      <c r="S572">
        <v>2</v>
      </c>
    </row>
    <row r="573" spans="1:19" x14ac:dyDescent="0.3">
      <c r="A573" t="s">
        <v>1222</v>
      </c>
      <c r="B573" t="s">
        <v>1223</v>
      </c>
      <c r="C573" t="str">
        <f t="shared" si="32"/>
        <v>Male</v>
      </c>
      <c r="D573" t="s">
        <v>61</v>
      </c>
      <c r="E573">
        <f t="shared" si="33"/>
        <v>46</v>
      </c>
      <c r="F573">
        <v>46</v>
      </c>
      <c r="G573" t="s">
        <v>172</v>
      </c>
      <c r="H573" t="s">
        <v>73</v>
      </c>
      <c r="I573" t="s">
        <v>32</v>
      </c>
      <c r="J573">
        <f t="shared" si="34"/>
        <v>11</v>
      </c>
      <c r="K573">
        <v>11</v>
      </c>
      <c r="L573" s="5">
        <f t="shared" si="35"/>
        <v>60.638297872340424</v>
      </c>
      <c r="N573" s="2">
        <f>IF(O573&gt;=90%,5,IF(O573&gt;=80%,4,IF(O573&gt;=70%,3,IF(O573&gt;=60%,2,1))))</f>
        <v>5</v>
      </c>
      <c r="O573" s="3">
        <v>0.91</v>
      </c>
      <c r="P573" t="s">
        <v>19</v>
      </c>
      <c r="Q573" t="s">
        <v>58</v>
      </c>
      <c r="R573">
        <v>8</v>
      </c>
      <c r="S573">
        <v>9</v>
      </c>
    </row>
    <row r="574" spans="1:19" x14ac:dyDescent="0.3">
      <c r="A574" t="s">
        <v>1224</v>
      </c>
      <c r="B574" t="s">
        <v>1225</v>
      </c>
      <c r="C574" t="str">
        <f t="shared" si="32"/>
        <v>Male</v>
      </c>
      <c r="D574" t="s">
        <v>95</v>
      </c>
      <c r="E574">
        <f t="shared" si="33"/>
        <v>60</v>
      </c>
      <c r="F574">
        <v>60</v>
      </c>
      <c r="G574" t="s">
        <v>135</v>
      </c>
      <c r="H574" t="s">
        <v>136</v>
      </c>
      <c r="I574" t="s">
        <v>44</v>
      </c>
      <c r="J574" s="4">
        <f t="shared" si="34"/>
        <v>10</v>
      </c>
      <c r="L574" s="5">
        <f t="shared" si="35"/>
        <v>100</v>
      </c>
      <c r="M574" s="2">
        <v>100</v>
      </c>
      <c r="N574" s="2">
        <f>IF(O574&gt;=90%,5,IF(O574&gt;=80%,4,IF(O574&gt;=70%,3,IF(O574&gt;=60%,2,1))))</f>
        <v>5</v>
      </c>
      <c r="O574" s="3">
        <v>0.96</v>
      </c>
      <c r="P574" t="s">
        <v>65</v>
      </c>
      <c r="Q574" t="s">
        <v>33</v>
      </c>
      <c r="R574">
        <v>5</v>
      </c>
      <c r="S574">
        <v>1</v>
      </c>
    </row>
    <row r="575" spans="1:19" x14ac:dyDescent="0.3">
      <c r="A575" t="s">
        <v>1226</v>
      </c>
      <c r="B575" t="s">
        <v>1227</v>
      </c>
      <c r="C575" t="str">
        <f t="shared" ref="C575:C638" si="36">IF(LEFT(LOWER(TRIM(D575)),1)="f","Female","Male")</f>
        <v>Female</v>
      </c>
      <c r="D575" t="s">
        <v>36</v>
      </c>
      <c r="E575">
        <f t="shared" si="33"/>
        <v>28</v>
      </c>
      <c r="F575">
        <v>28</v>
      </c>
      <c r="G575" t="s">
        <v>108</v>
      </c>
      <c r="H575" t="s">
        <v>109</v>
      </c>
      <c r="I575" t="s">
        <v>32</v>
      </c>
      <c r="J575">
        <f t="shared" si="34"/>
        <v>2</v>
      </c>
      <c r="K575">
        <v>2</v>
      </c>
      <c r="L575" s="5" t="str">
        <f t="shared" si="35"/>
        <v>$50</v>
      </c>
      <c r="M575" s="2" t="s">
        <v>64</v>
      </c>
      <c r="N575" s="2">
        <f>IF(O575&gt;=90%,5,IF(O575&gt;=80%,4,IF(O575&gt;=70%,3,IF(O575&gt;=60%,2,1))))</f>
        <v>4</v>
      </c>
      <c r="O575" s="3">
        <v>0.85</v>
      </c>
      <c r="P575" t="s">
        <v>69</v>
      </c>
      <c r="Q575" t="s">
        <v>58</v>
      </c>
      <c r="R575">
        <v>3</v>
      </c>
      <c r="S575">
        <v>2</v>
      </c>
    </row>
    <row r="576" spans="1:19" x14ac:dyDescent="0.3">
      <c r="A576" t="s">
        <v>1228</v>
      </c>
      <c r="B576" t="s">
        <v>1229</v>
      </c>
      <c r="C576" t="str">
        <f t="shared" si="36"/>
        <v>Female</v>
      </c>
      <c r="D576" t="s">
        <v>36</v>
      </c>
      <c r="E576">
        <f t="shared" si="33"/>
        <v>43</v>
      </c>
      <c r="F576">
        <v>43</v>
      </c>
      <c r="G576" t="s">
        <v>50</v>
      </c>
      <c r="H576" t="s">
        <v>51</v>
      </c>
      <c r="I576" t="s">
        <v>37</v>
      </c>
      <c r="J576">
        <f t="shared" si="34"/>
        <v>20</v>
      </c>
      <c r="K576">
        <v>20</v>
      </c>
      <c r="L576" s="5" t="str">
        <f t="shared" si="35"/>
        <v>$30</v>
      </c>
      <c r="M576" s="2" t="s">
        <v>45</v>
      </c>
      <c r="N576" s="2">
        <f>IF(O576&gt;=90%,5,IF(O576&gt;=80%,4,IF(O576&gt;=70%,3,IF(O576&gt;=60%,2,1))))</f>
        <v>3</v>
      </c>
      <c r="O576" s="3">
        <v>0.72</v>
      </c>
      <c r="P576" t="s">
        <v>19</v>
      </c>
      <c r="Q576" t="s">
        <v>27</v>
      </c>
      <c r="R576">
        <v>14</v>
      </c>
      <c r="S576">
        <v>2</v>
      </c>
    </row>
    <row r="577" spans="1:19" x14ac:dyDescent="0.3">
      <c r="A577" t="s">
        <v>1230</v>
      </c>
      <c r="B577" t="s">
        <v>1231</v>
      </c>
      <c r="C577" t="str">
        <f t="shared" si="36"/>
        <v>Male</v>
      </c>
      <c r="D577" t="s">
        <v>61</v>
      </c>
      <c r="E577">
        <f t="shared" si="33"/>
        <v>41</v>
      </c>
      <c r="F577">
        <v>41</v>
      </c>
      <c r="G577" t="s">
        <v>131</v>
      </c>
      <c r="H577" t="s">
        <v>132</v>
      </c>
      <c r="I577" t="s">
        <v>37</v>
      </c>
      <c r="J577">
        <f t="shared" si="34"/>
        <v>11</v>
      </c>
      <c r="K577">
        <v>11</v>
      </c>
      <c r="L577" s="5" t="str">
        <f t="shared" si="35"/>
        <v>$20</v>
      </c>
      <c r="M577" s="2" t="s">
        <v>117</v>
      </c>
      <c r="N577" s="2">
        <f>IF(O577&gt;=90%,5,IF(O577&gt;=80%,4,IF(O577&gt;=70%,3,IF(O577&gt;=60%,2,1))))</f>
        <v>2</v>
      </c>
      <c r="O577" s="3">
        <v>0.69</v>
      </c>
      <c r="P577" t="s">
        <v>65</v>
      </c>
      <c r="Q577" t="s">
        <v>20</v>
      </c>
      <c r="R577">
        <v>10</v>
      </c>
      <c r="S577">
        <v>4</v>
      </c>
    </row>
    <row r="578" spans="1:19" x14ac:dyDescent="0.3">
      <c r="A578" t="s">
        <v>1232</v>
      </c>
      <c r="B578" t="s">
        <v>1233</v>
      </c>
      <c r="C578" t="str">
        <f t="shared" si="36"/>
        <v>Male</v>
      </c>
      <c r="D578" t="s">
        <v>30</v>
      </c>
      <c r="E578">
        <f t="shared" ref="E578:E641" si="37">IF(F578="",MEDIAN($F$2:$F$698),F578)</f>
        <v>41</v>
      </c>
      <c r="F578">
        <v>41</v>
      </c>
      <c r="G578" t="s">
        <v>68</v>
      </c>
      <c r="H578" t="s">
        <v>25</v>
      </c>
      <c r="I578" t="s">
        <v>87</v>
      </c>
      <c r="J578">
        <f t="shared" ref="J578:J641" si="38">IF(K578="", AVERAGEIF($I$2:$I$698,I578,$K$2:$K$698),K578)</f>
        <v>0</v>
      </c>
      <c r="K578">
        <v>0</v>
      </c>
      <c r="L578" s="5" t="str">
        <f t="shared" si="35"/>
        <v>$20</v>
      </c>
      <c r="M578" s="2" t="s">
        <v>117</v>
      </c>
      <c r="N578" s="2">
        <f>IF(O578&gt;=90%,5,IF(O578&gt;=80%,4,IF(O578&gt;=70%,3,IF(O578&gt;=60%,2,1))))</f>
        <v>5</v>
      </c>
      <c r="O578" s="3">
        <v>0.9</v>
      </c>
      <c r="P578" t="s">
        <v>69</v>
      </c>
      <c r="Q578" t="s">
        <v>20</v>
      </c>
      <c r="R578">
        <v>4</v>
      </c>
      <c r="S578">
        <v>1</v>
      </c>
    </row>
    <row r="579" spans="1:19" x14ac:dyDescent="0.3">
      <c r="A579" t="s">
        <v>1234</v>
      </c>
      <c r="B579" t="s">
        <v>1235</v>
      </c>
      <c r="C579" t="str">
        <f t="shared" si="36"/>
        <v>Female</v>
      </c>
      <c r="D579" t="s">
        <v>36</v>
      </c>
      <c r="E579">
        <f t="shared" si="37"/>
        <v>40</v>
      </c>
      <c r="F579">
        <v>40</v>
      </c>
      <c r="G579" t="s">
        <v>68</v>
      </c>
      <c r="H579" t="s">
        <v>25</v>
      </c>
      <c r="I579" t="s">
        <v>26</v>
      </c>
      <c r="J579">
        <f t="shared" si="38"/>
        <v>20</v>
      </c>
      <c r="K579">
        <v>20</v>
      </c>
      <c r="L579" s="5">
        <f t="shared" ref="L579:L642" si="39">IF(M579="", AVERAGE(M579:M1275), M579)</f>
        <v>20</v>
      </c>
      <c r="M579" s="2">
        <v>20</v>
      </c>
      <c r="N579" s="2">
        <f>IF(O579&gt;=90%,5,IF(O579&gt;=80%,4,IF(O579&gt;=70%,3,IF(O579&gt;=60%,2,1))))</f>
        <v>5</v>
      </c>
      <c r="O579" s="3">
        <v>0.92</v>
      </c>
      <c r="P579" t="s">
        <v>46</v>
      </c>
      <c r="Q579" t="s">
        <v>33</v>
      </c>
      <c r="R579">
        <v>14</v>
      </c>
      <c r="S579">
        <v>10</v>
      </c>
    </row>
    <row r="580" spans="1:19" x14ac:dyDescent="0.3">
      <c r="A580" t="s">
        <v>1236</v>
      </c>
      <c r="B580" t="s">
        <v>1237</v>
      </c>
      <c r="C580" t="str">
        <f t="shared" si="36"/>
        <v>Male</v>
      </c>
      <c r="D580" t="s">
        <v>95</v>
      </c>
      <c r="E580">
        <f t="shared" si="37"/>
        <v>45</v>
      </c>
      <c r="F580">
        <v>45</v>
      </c>
      <c r="G580" t="s">
        <v>31</v>
      </c>
      <c r="H580" t="s">
        <v>31</v>
      </c>
      <c r="I580" t="s">
        <v>87</v>
      </c>
      <c r="J580">
        <f t="shared" si="38"/>
        <v>3</v>
      </c>
      <c r="K580">
        <v>3</v>
      </c>
      <c r="L580" s="5" t="str">
        <f t="shared" si="39"/>
        <v>$20</v>
      </c>
      <c r="M580" s="2" t="s">
        <v>117</v>
      </c>
      <c r="N580" s="2">
        <f>IF(O580&gt;=90%,5,IF(O580&gt;=80%,4,IF(O580&gt;=70%,3,IF(O580&gt;=60%,2,1))))</f>
        <v>5</v>
      </c>
      <c r="O580" s="3">
        <v>0.91</v>
      </c>
      <c r="P580" t="s">
        <v>69</v>
      </c>
      <c r="Q580" t="s">
        <v>58</v>
      </c>
      <c r="R580">
        <v>5</v>
      </c>
      <c r="S580">
        <v>1</v>
      </c>
    </row>
    <row r="581" spans="1:19" x14ac:dyDescent="0.3">
      <c r="A581" t="s">
        <v>1238</v>
      </c>
      <c r="B581" t="s">
        <v>1239</v>
      </c>
      <c r="C581" t="str">
        <f t="shared" si="36"/>
        <v>Male</v>
      </c>
      <c r="D581" t="s">
        <v>61</v>
      </c>
      <c r="E581">
        <f t="shared" si="37"/>
        <v>47</v>
      </c>
      <c r="F581">
        <v>47</v>
      </c>
      <c r="G581" t="s">
        <v>135</v>
      </c>
      <c r="H581" t="s">
        <v>136</v>
      </c>
      <c r="I581" t="s">
        <v>87</v>
      </c>
      <c r="J581">
        <f t="shared" si="38"/>
        <v>28</v>
      </c>
      <c r="K581">
        <v>28</v>
      </c>
      <c r="L581" s="5" t="str">
        <f t="shared" si="39"/>
        <v>$50</v>
      </c>
      <c r="M581" s="2" t="s">
        <v>64</v>
      </c>
      <c r="N581" s="2">
        <f>IF(O581&gt;=90%,5,IF(O581&gt;=80%,4,IF(O581&gt;=70%,3,IF(O581&gt;=60%,2,1))))</f>
        <v>1</v>
      </c>
      <c r="O581" s="3">
        <v>0.5</v>
      </c>
      <c r="P581" t="s">
        <v>46</v>
      </c>
      <c r="Q581" t="s">
        <v>20</v>
      </c>
      <c r="R581">
        <v>18</v>
      </c>
      <c r="S581">
        <v>13</v>
      </c>
    </row>
    <row r="582" spans="1:19" x14ac:dyDescent="0.3">
      <c r="A582" t="s">
        <v>1240</v>
      </c>
      <c r="B582" t="s">
        <v>1241</v>
      </c>
      <c r="C582" t="str">
        <f t="shared" si="36"/>
        <v>Male</v>
      </c>
      <c r="D582" t="s">
        <v>49</v>
      </c>
      <c r="E582">
        <f t="shared" si="37"/>
        <v>34</v>
      </c>
      <c r="F582">
        <v>34</v>
      </c>
      <c r="G582" t="s">
        <v>91</v>
      </c>
      <c r="H582" t="s">
        <v>92</v>
      </c>
      <c r="I582" t="s">
        <v>52</v>
      </c>
      <c r="J582">
        <f t="shared" si="38"/>
        <v>0</v>
      </c>
      <c r="K582">
        <v>0</v>
      </c>
      <c r="L582" s="5">
        <f t="shared" si="39"/>
        <v>40</v>
      </c>
      <c r="M582" s="2">
        <v>40</v>
      </c>
      <c r="N582" s="2">
        <f>IF(O582&gt;=90%,5,IF(O582&gt;=80%,4,IF(O582&gt;=70%,3,IF(O582&gt;=60%,2,1))))</f>
        <v>5</v>
      </c>
      <c r="O582" s="3">
        <v>0.98</v>
      </c>
      <c r="P582" t="s">
        <v>65</v>
      </c>
      <c r="Q582" t="s">
        <v>58</v>
      </c>
      <c r="R582">
        <v>1</v>
      </c>
      <c r="S582">
        <v>3</v>
      </c>
    </row>
    <row r="583" spans="1:19" x14ac:dyDescent="0.3">
      <c r="A583" t="s">
        <v>1242</v>
      </c>
      <c r="B583" t="s">
        <v>1243</v>
      </c>
      <c r="C583" t="str">
        <f t="shared" si="36"/>
        <v>Male</v>
      </c>
      <c r="D583" t="s">
        <v>90</v>
      </c>
      <c r="E583">
        <f t="shared" si="37"/>
        <v>47</v>
      </c>
      <c r="F583">
        <v>47</v>
      </c>
      <c r="G583" t="s">
        <v>57</v>
      </c>
      <c r="H583" t="s">
        <v>25</v>
      </c>
      <c r="I583" t="s">
        <v>74</v>
      </c>
      <c r="J583">
        <f t="shared" si="38"/>
        <v>4</v>
      </c>
      <c r="K583">
        <v>4</v>
      </c>
      <c r="L583" s="5" t="str">
        <f t="shared" si="39"/>
        <v>$20</v>
      </c>
      <c r="M583" s="2" t="s">
        <v>117</v>
      </c>
      <c r="N583" s="2">
        <f>IF(O583&gt;=90%,5,IF(O583&gt;=80%,4,IF(O583&gt;=70%,3,IF(O583&gt;=60%,2,1))))</f>
        <v>4</v>
      </c>
      <c r="O583" s="3">
        <v>0.82</v>
      </c>
      <c r="P583" t="s">
        <v>19</v>
      </c>
      <c r="Q583" t="s">
        <v>58</v>
      </c>
      <c r="R583">
        <v>5</v>
      </c>
      <c r="S583">
        <v>2</v>
      </c>
    </row>
    <row r="584" spans="1:19" x14ac:dyDescent="0.3">
      <c r="A584" t="s">
        <v>1244</v>
      </c>
      <c r="B584" t="s">
        <v>1245</v>
      </c>
      <c r="C584" t="str">
        <f t="shared" si="36"/>
        <v>Male</v>
      </c>
      <c r="D584" t="s">
        <v>90</v>
      </c>
      <c r="E584">
        <f t="shared" si="37"/>
        <v>32</v>
      </c>
      <c r="F584">
        <v>32</v>
      </c>
      <c r="G584" t="s">
        <v>172</v>
      </c>
      <c r="H584" t="s">
        <v>73</v>
      </c>
      <c r="I584" t="s">
        <v>74</v>
      </c>
      <c r="J584">
        <f t="shared" si="38"/>
        <v>9</v>
      </c>
      <c r="K584">
        <v>9</v>
      </c>
      <c r="L584" s="5" t="str">
        <f t="shared" si="39"/>
        <v>$40</v>
      </c>
      <c r="M584" s="2" t="s">
        <v>38</v>
      </c>
      <c r="N584" s="2">
        <f>IF(O584&gt;=90%,5,IF(O584&gt;=80%,4,IF(O584&gt;=70%,3,IF(O584&gt;=60%,2,1))))</f>
        <v>4</v>
      </c>
      <c r="O584" s="3">
        <v>0.83</v>
      </c>
      <c r="P584" t="s">
        <v>19</v>
      </c>
      <c r="Q584" t="s">
        <v>33</v>
      </c>
      <c r="R584">
        <v>10</v>
      </c>
      <c r="S584">
        <v>4</v>
      </c>
    </row>
    <row r="585" spans="1:19" x14ac:dyDescent="0.3">
      <c r="A585" t="s">
        <v>1246</v>
      </c>
      <c r="B585" t="s">
        <v>1247</v>
      </c>
      <c r="C585" t="str">
        <f t="shared" si="36"/>
        <v>Male</v>
      </c>
      <c r="D585" t="s">
        <v>90</v>
      </c>
      <c r="E585">
        <f t="shared" si="37"/>
        <v>28</v>
      </c>
      <c r="F585">
        <v>28</v>
      </c>
      <c r="G585" t="s">
        <v>68</v>
      </c>
      <c r="H585" t="s">
        <v>25</v>
      </c>
      <c r="I585" t="s">
        <v>26</v>
      </c>
      <c r="J585">
        <f t="shared" si="38"/>
        <v>2</v>
      </c>
      <c r="K585">
        <v>2</v>
      </c>
      <c r="L585" s="5" t="str">
        <f t="shared" si="39"/>
        <v>$100</v>
      </c>
      <c r="M585" s="2" t="s">
        <v>222</v>
      </c>
      <c r="N585" s="2">
        <f>IF(O585&gt;=90%,5,IF(O585&gt;=80%,4,IF(O585&gt;=70%,3,IF(O585&gt;=60%,2,1))))</f>
        <v>1</v>
      </c>
      <c r="O585" s="3">
        <v>0.5</v>
      </c>
      <c r="P585" t="s">
        <v>65</v>
      </c>
      <c r="Q585" t="s">
        <v>20</v>
      </c>
      <c r="R585">
        <v>5</v>
      </c>
      <c r="S585">
        <v>2</v>
      </c>
    </row>
    <row r="586" spans="1:19" x14ac:dyDescent="0.3">
      <c r="A586" t="s">
        <v>1248</v>
      </c>
      <c r="B586" t="s">
        <v>1249</v>
      </c>
      <c r="C586" t="str">
        <f t="shared" si="36"/>
        <v>Male</v>
      </c>
      <c r="D586" t="s">
        <v>49</v>
      </c>
      <c r="E586">
        <f t="shared" si="37"/>
        <v>32</v>
      </c>
      <c r="F586">
        <v>32</v>
      </c>
      <c r="G586" t="s">
        <v>24</v>
      </c>
      <c r="H586" t="s">
        <v>25</v>
      </c>
      <c r="I586" t="s">
        <v>87</v>
      </c>
      <c r="J586">
        <f t="shared" si="38"/>
        <v>1</v>
      </c>
      <c r="K586">
        <v>1</v>
      </c>
      <c r="L586" s="5">
        <f t="shared" si="39"/>
        <v>100</v>
      </c>
      <c r="M586" s="2">
        <v>100</v>
      </c>
      <c r="N586" s="2">
        <f>IF(O586&gt;=90%,5,IF(O586&gt;=80%,4,IF(O586&gt;=70%,3,IF(O586&gt;=60%,2,1))))</f>
        <v>1</v>
      </c>
      <c r="O586" s="3">
        <v>0.5</v>
      </c>
      <c r="P586" t="s">
        <v>19</v>
      </c>
      <c r="Q586" t="s">
        <v>33</v>
      </c>
      <c r="R586">
        <v>3</v>
      </c>
      <c r="S586">
        <v>1</v>
      </c>
    </row>
    <row r="587" spans="1:19" x14ac:dyDescent="0.3">
      <c r="A587" t="s">
        <v>1250</v>
      </c>
      <c r="B587" t="s">
        <v>1251</v>
      </c>
      <c r="C587" t="str">
        <f t="shared" si="36"/>
        <v>Female</v>
      </c>
      <c r="D587" t="s">
        <v>36</v>
      </c>
      <c r="E587">
        <f t="shared" si="37"/>
        <v>49</v>
      </c>
      <c r="F587">
        <v>49</v>
      </c>
      <c r="G587" t="s">
        <v>42</v>
      </c>
      <c r="H587" t="s">
        <v>43</v>
      </c>
      <c r="I587" t="s">
        <v>44</v>
      </c>
      <c r="J587">
        <f t="shared" si="38"/>
        <v>2</v>
      </c>
      <c r="K587">
        <v>2</v>
      </c>
      <c r="L587" s="5" t="str">
        <f t="shared" si="39"/>
        <v>$100</v>
      </c>
      <c r="M587" s="2" t="s">
        <v>222</v>
      </c>
      <c r="N587" s="2">
        <f>IF(O587&gt;=90%,5,IF(O587&gt;=80%,4,IF(O587&gt;=70%,3,IF(O587&gt;=60%,2,1))))</f>
        <v>4</v>
      </c>
      <c r="O587" s="3">
        <v>0.85</v>
      </c>
      <c r="P587" t="s">
        <v>19</v>
      </c>
      <c r="Q587" t="s">
        <v>33</v>
      </c>
      <c r="R587">
        <v>5</v>
      </c>
      <c r="S587">
        <v>1</v>
      </c>
    </row>
    <row r="588" spans="1:19" x14ac:dyDescent="0.3">
      <c r="A588" t="s">
        <v>1252</v>
      </c>
      <c r="B588" t="s">
        <v>1253</v>
      </c>
      <c r="C588" t="str">
        <f t="shared" si="36"/>
        <v>Female</v>
      </c>
      <c r="D588" t="s">
        <v>15</v>
      </c>
      <c r="E588">
        <f t="shared" si="37"/>
        <v>36</v>
      </c>
      <c r="F588">
        <v>36</v>
      </c>
      <c r="G588" t="s">
        <v>72</v>
      </c>
      <c r="H588" t="s">
        <v>73</v>
      </c>
      <c r="I588" t="s">
        <v>26</v>
      </c>
      <c r="J588">
        <f t="shared" si="38"/>
        <v>16</v>
      </c>
      <c r="K588">
        <v>16</v>
      </c>
      <c r="L588" s="5" t="str">
        <f t="shared" si="39"/>
        <v>$20</v>
      </c>
      <c r="M588" s="2" t="s">
        <v>117</v>
      </c>
      <c r="N588" s="2">
        <f>IF(O588&gt;=90%,5,IF(O588&gt;=80%,4,IF(O588&gt;=70%,3,IF(O588&gt;=60%,2,1))))</f>
        <v>1</v>
      </c>
      <c r="O588" s="3">
        <v>0.5</v>
      </c>
      <c r="P588" t="s">
        <v>46</v>
      </c>
      <c r="Q588" t="s">
        <v>20</v>
      </c>
      <c r="R588">
        <v>18</v>
      </c>
      <c r="S588">
        <v>2</v>
      </c>
    </row>
    <row r="589" spans="1:19" x14ac:dyDescent="0.3">
      <c r="A589" t="s">
        <v>1254</v>
      </c>
      <c r="B589" t="s">
        <v>1255</v>
      </c>
      <c r="C589" t="str">
        <f t="shared" si="36"/>
        <v>Male</v>
      </c>
      <c r="D589" t="s">
        <v>90</v>
      </c>
      <c r="E589">
        <f t="shared" si="37"/>
        <v>59</v>
      </c>
      <c r="F589">
        <v>59</v>
      </c>
      <c r="G589" t="s">
        <v>172</v>
      </c>
      <c r="H589" t="s">
        <v>73</v>
      </c>
      <c r="I589" t="s">
        <v>18</v>
      </c>
      <c r="J589">
        <f t="shared" si="38"/>
        <v>22</v>
      </c>
      <c r="K589">
        <v>22</v>
      </c>
      <c r="L589" s="5" t="str">
        <f t="shared" si="39"/>
        <v>$20</v>
      </c>
      <c r="M589" s="2" t="s">
        <v>117</v>
      </c>
      <c r="N589" s="2">
        <f>IF(O589&gt;=90%,5,IF(O589&gt;=80%,4,IF(O589&gt;=70%,3,IF(O589&gt;=60%,2,1))))</f>
        <v>2</v>
      </c>
      <c r="O589" s="3">
        <v>0.63</v>
      </c>
      <c r="P589" t="s">
        <v>65</v>
      </c>
      <c r="Q589" t="s">
        <v>20</v>
      </c>
      <c r="R589">
        <v>16</v>
      </c>
      <c r="S589">
        <v>6</v>
      </c>
    </row>
    <row r="590" spans="1:19" x14ac:dyDescent="0.3">
      <c r="A590" t="s">
        <v>1256</v>
      </c>
      <c r="B590" t="s">
        <v>1257</v>
      </c>
      <c r="C590" t="str">
        <f t="shared" si="36"/>
        <v>Female</v>
      </c>
      <c r="D590" t="s">
        <v>39</v>
      </c>
      <c r="E590">
        <f t="shared" si="37"/>
        <v>52</v>
      </c>
      <c r="F590">
        <v>52</v>
      </c>
      <c r="G590" t="s">
        <v>124</v>
      </c>
      <c r="H590" t="s">
        <v>25</v>
      </c>
      <c r="I590" t="s">
        <v>78</v>
      </c>
      <c r="J590">
        <f t="shared" si="38"/>
        <v>22</v>
      </c>
      <c r="K590">
        <v>22</v>
      </c>
      <c r="L590" s="5" t="str">
        <f t="shared" si="39"/>
        <v>$20</v>
      </c>
      <c r="M590" s="2" t="s">
        <v>117</v>
      </c>
      <c r="N590" s="2">
        <f>IF(O590&gt;=90%,5,IF(O590&gt;=80%,4,IF(O590&gt;=70%,3,IF(O590&gt;=60%,2,1))))</f>
        <v>1</v>
      </c>
      <c r="O590" s="3">
        <v>0.5</v>
      </c>
      <c r="P590" t="s">
        <v>69</v>
      </c>
      <c r="Q590" t="s">
        <v>27</v>
      </c>
      <c r="R590">
        <v>14</v>
      </c>
      <c r="S590">
        <v>10</v>
      </c>
    </row>
    <row r="591" spans="1:19" x14ac:dyDescent="0.3">
      <c r="A591" t="s">
        <v>1258</v>
      </c>
      <c r="B591" t="s">
        <v>1259</v>
      </c>
      <c r="C591" t="str">
        <f t="shared" si="36"/>
        <v>Female</v>
      </c>
      <c r="D591" t="s">
        <v>39</v>
      </c>
      <c r="E591">
        <f t="shared" si="37"/>
        <v>24</v>
      </c>
      <c r="F591">
        <v>24</v>
      </c>
      <c r="G591" t="s">
        <v>168</v>
      </c>
      <c r="H591" t="s">
        <v>169</v>
      </c>
      <c r="I591" t="s">
        <v>18</v>
      </c>
      <c r="J591">
        <f t="shared" si="38"/>
        <v>5</v>
      </c>
      <c r="K591">
        <v>5</v>
      </c>
      <c r="L591" s="5">
        <f t="shared" si="39"/>
        <v>40</v>
      </c>
      <c r="M591" s="2">
        <v>40</v>
      </c>
      <c r="N591" s="2">
        <f>IF(O591&gt;=90%,5,IF(O591&gt;=80%,4,IF(O591&gt;=70%,3,IF(O591&gt;=60%,2,1))))</f>
        <v>4</v>
      </c>
      <c r="O591" s="3">
        <v>0.86</v>
      </c>
      <c r="P591" t="s">
        <v>46</v>
      </c>
      <c r="Q591" t="s">
        <v>27</v>
      </c>
      <c r="R591">
        <v>4</v>
      </c>
      <c r="S591">
        <v>2</v>
      </c>
    </row>
    <row r="592" spans="1:19" x14ac:dyDescent="0.3">
      <c r="A592" t="s">
        <v>1260</v>
      </c>
      <c r="B592" t="s">
        <v>1261</v>
      </c>
      <c r="C592" t="str">
        <f t="shared" si="36"/>
        <v>Female</v>
      </c>
      <c r="D592" t="s">
        <v>23</v>
      </c>
      <c r="E592">
        <f t="shared" si="37"/>
        <v>26</v>
      </c>
      <c r="F592">
        <v>26</v>
      </c>
      <c r="G592" t="s">
        <v>24</v>
      </c>
      <c r="H592" t="s">
        <v>25</v>
      </c>
      <c r="I592" t="s">
        <v>32</v>
      </c>
      <c r="J592">
        <f t="shared" si="38"/>
        <v>2</v>
      </c>
      <c r="K592">
        <v>2</v>
      </c>
      <c r="L592" s="5" t="str">
        <f t="shared" si="39"/>
        <v>$75</v>
      </c>
      <c r="M592" s="2" t="s">
        <v>163</v>
      </c>
      <c r="N592" s="2">
        <f>IF(O592&gt;=90%,5,IF(O592&gt;=80%,4,IF(O592&gt;=70%,3,IF(O592&gt;=60%,2,1))))</f>
        <v>2</v>
      </c>
      <c r="O592" s="3">
        <v>0.6</v>
      </c>
      <c r="P592" t="s">
        <v>65</v>
      </c>
      <c r="Q592" t="s">
        <v>58</v>
      </c>
      <c r="R592">
        <v>5</v>
      </c>
      <c r="S592">
        <v>1</v>
      </c>
    </row>
    <row r="593" spans="1:19" x14ac:dyDescent="0.3">
      <c r="A593" t="s">
        <v>1262</v>
      </c>
      <c r="B593" t="s">
        <v>1263</v>
      </c>
      <c r="C593" t="str">
        <f t="shared" si="36"/>
        <v>Male</v>
      </c>
      <c r="D593" t="s">
        <v>90</v>
      </c>
      <c r="E593">
        <f t="shared" si="37"/>
        <v>55</v>
      </c>
      <c r="F593">
        <v>55</v>
      </c>
      <c r="G593" t="s">
        <v>124</v>
      </c>
      <c r="H593" t="s">
        <v>25</v>
      </c>
      <c r="I593" t="s">
        <v>78</v>
      </c>
      <c r="J593">
        <f t="shared" si="38"/>
        <v>24</v>
      </c>
      <c r="K593">
        <v>24</v>
      </c>
      <c r="L593" s="5">
        <f t="shared" si="39"/>
        <v>40</v>
      </c>
      <c r="M593" s="2">
        <v>40</v>
      </c>
      <c r="N593" s="2">
        <f>IF(O593&gt;=90%,5,IF(O593&gt;=80%,4,IF(O593&gt;=70%,3,IF(O593&gt;=60%,2,1))))</f>
        <v>4</v>
      </c>
      <c r="O593" s="3">
        <v>0.88</v>
      </c>
      <c r="P593" t="s">
        <v>46</v>
      </c>
      <c r="Q593" t="s">
        <v>20</v>
      </c>
      <c r="R593">
        <v>15</v>
      </c>
      <c r="S593">
        <v>3</v>
      </c>
    </row>
    <row r="594" spans="1:19" x14ac:dyDescent="0.3">
      <c r="A594" t="s">
        <v>1264</v>
      </c>
      <c r="B594" t="s">
        <v>1265</v>
      </c>
      <c r="C594" t="str">
        <f t="shared" si="36"/>
        <v>Female</v>
      </c>
      <c r="D594" t="s">
        <v>23</v>
      </c>
      <c r="E594">
        <f t="shared" si="37"/>
        <v>56</v>
      </c>
      <c r="F594">
        <v>56</v>
      </c>
      <c r="G594" t="s">
        <v>16</v>
      </c>
      <c r="H594" t="s">
        <v>17</v>
      </c>
      <c r="I594" t="s">
        <v>26</v>
      </c>
      <c r="J594">
        <f t="shared" si="38"/>
        <v>37</v>
      </c>
      <c r="K594">
        <v>37</v>
      </c>
      <c r="L594" s="5">
        <f t="shared" si="39"/>
        <v>40</v>
      </c>
      <c r="M594" s="2">
        <v>40</v>
      </c>
      <c r="N594" s="2">
        <f>IF(O594&gt;=90%,5,IF(O594&gt;=80%,4,IF(O594&gt;=70%,3,IF(O594&gt;=60%,2,1))))</f>
        <v>3</v>
      </c>
      <c r="O594" s="3">
        <v>0.7</v>
      </c>
      <c r="P594" t="s">
        <v>69</v>
      </c>
      <c r="Q594" t="s">
        <v>27</v>
      </c>
      <c r="R594">
        <v>11</v>
      </c>
      <c r="S594">
        <v>9</v>
      </c>
    </row>
    <row r="595" spans="1:19" x14ac:dyDescent="0.3">
      <c r="A595" t="s">
        <v>1266</v>
      </c>
      <c r="B595" t="s">
        <v>1267</v>
      </c>
      <c r="C595" t="str">
        <f t="shared" si="36"/>
        <v>Male</v>
      </c>
      <c r="D595" t="s">
        <v>49</v>
      </c>
      <c r="E595">
        <f t="shared" si="37"/>
        <v>36</v>
      </c>
      <c r="F595">
        <v>36</v>
      </c>
      <c r="G595" t="s">
        <v>131</v>
      </c>
      <c r="H595" t="s">
        <v>132</v>
      </c>
      <c r="I595" t="s">
        <v>32</v>
      </c>
      <c r="J595">
        <f t="shared" si="38"/>
        <v>3</v>
      </c>
      <c r="K595">
        <v>3</v>
      </c>
      <c r="L595" s="5" t="str">
        <f t="shared" si="39"/>
        <v>$50</v>
      </c>
      <c r="M595" s="2" t="s">
        <v>64</v>
      </c>
      <c r="N595" s="2">
        <f>IF(O595&gt;=90%,5,IF(O595&gt;=80%,4,IF(O595&gt;=70%,3,IF(O595&gt;=60%,2,1))))</f>
        <v>3</v>
      </c>
      <c r="O595" s="3">
        <v>0.77</v>
      </c>
      <c r="P595" t="s">
        <v>69</v>
      </c>
      <c r="Q595" t="s">
        <v>58</v>
      </c>
      <c r="R595">
        <v>2</v>
      </c>
      <c r="S595">
        <v>4</v>
      </c>
    </row>
    <row r="596" spans="1:19" x14ac:dyDescent="0.3">
      <c r="A596" t="s">
        <v>1268</v>
      </c>
      <c r="B596" t="s">
        <v>1269</v>
      </c>
      <c r="C596" t="str">
        <f t="shared" si="36"/>
        <v>Male</v>
      </c>
      <c r="D596" t="s">
        <v>90</v>
      </c>
      <c r="E596">
        <f t="shared" si="37"/>
        <v>48</v>
      </c>
      <c r="F596">
        <v>48</v>
      </c>
      <c r="G596" t="s">
        <v>72</v>
      </c>
      <c r="H596" t="s">
        <v>73</v>
      </c>
      <c r="I596" t="s">
        <v>37</v>
      </c>
      <c r="J596">
        <f t="shared" si="38"/>
        <v>18</v>
      </c>
      <c r="K596">
        <v>18</v>
      </c>
      <c r="L596" s="5">
        <f t="shared" si="39"/>
        <v>75</v>
      </c>
      <c r="M596" s="2">
        <v>75</v>
      </c>
      <c r="N596" s="2">
        <f>IF(O596&gt;=90%,5,IF(O596&gt;=80%,4,IF(O596&gt;=70%,3,IF(O596&gt;=60%,2,1))))</f>
        <v>4</v>
      </c>
      <c r="O596" s="3">
        <v>0.8</v>
      </c>
      <c r="P596" t="s">
        <v>65</v>
      </c>
      <c r="Q596" t="s">
        <v>58</v>
      </c>
      <c r="R596">
        <v>20</v>
      </c>
      <c r="S596">
        <v>5</v>
      </c>
    </row>
    <row r="597" spans="1:19" x14ac:dyDescent="0.3">
      <c r="A597" t="s">
        <v>1270</v>
      </c>
      <c r="B597" t="s">
        <v>1271</v>
      </c>
      <c r="C597" t="str">
        <f t="shared" si="36"/>
        <v>Male</v>
      </c>
      <c r="D597" t="s">
        <v>95</v>
      </c>
      <c r="E597">
        <f t="shared" si="37"/>
        <v>55</v>
      </c>
      <c r="F597">
        <v>55</v>
      </c>
      <c r="G597" t="s">
        <v>135</v>
      </c>
      <c r="H597" t="s">
        <v>136</v>
      </c>
      <c r="I597" t="s">
        <v>110</v>
      </c>
      <c r="J597">
        <f t="shared" si="38"/>
        <v>6</v>
      </c>
      <c r="K597">
        <v>6</v>
      </c>
      <c r="L597" s="5" t="str">
        <f t="shared" si="39"/>
        <v>$40</v>
      </c>
      <c r="M597" s="2" t="s">
        <v>38</v>
      </c>
      <c r="N597" s="2">
        <f>IF(O597&gt;=90%,5,IF(O597&gt;=80%,4,IF(O597&gt;=70%,3,IF(O597&gt;=60%,2,1))))</f>
        <v>1</v>
      </c>
      <c r="O597" s="3">
        <v>0.5</v>
      </c>
      <c r="P597" t="s">
        <v>69</v>
      </c>
      <c r="Q597" t="s">
        <v>58</v>
      </c>
      <c r="R597">
        <v>13</v>
      </c>
      <c r="S597">
        <v>3</v>
      </c>
    </row>
    <row r="598" spans="1:19" x14ac:dyDescent="0.3">
      <c r="A598" t="s">
        <v>1272</v>
      </c>
      <c r="B598" t="s">
        <v>1273</v>
      </c>
      <c r="C598" t="str">
        <f t="shared" si="36"/>
        <v>Female</v>
      </c>
      <c r="D598" t="s">
        <v>39</v>
      </c>
      <c r="E598">
        <f t="shared" si="37"/>
        <v>56</v>
      </c>
      <c r="F598">
        <v>56</v>
      </c>
      <c r="G598" t="s">
        <v>183</v>
      </c>
      <c r="H598" t="s">
        <v>73</v>
      </c>
      <c r="I598" t="s">
        <v>87</v>
      </c>
      <c r="J598">
        <f t="shared" si="38"/>
        <v>17</v>
      </c>
      <c r="K598">
        <v>17</v>
      </c>
      <c r="L598" s="5">
        <f t="shared" si="39"/>
        <v>61.410256410256409</v>
      </c>
      <c r="N598" s="2">
        <f>IF(O598&gt;=90%,5,IF(O598&gt;=80%,4,IF(O598&gt;=70%,3,IF(O598&gt;=60%,2,1))))</f>
        <v>4</v>
      </c>
      <c r="O598" s="3">
        <v>0.87</v>
      </c>
      <c r="P598" t="s">
        <v>46</v>
      </c>
      <c r="Q598" t="s">
        <v>27</v>
      </c>
      <c r="R598">
        <v>12</v>
      </c>
      <c r="S598">
        <v>5</v>
      </c>
    </row>
    <row r="599" spans="1:19" x14ac:dyDescent="0.3">
      <c r="A599" t="s">
        <v>1274</v>
      </c>
      <c r="B599" t="s">
        <v>1275</v>
      </c>
      <c r="C599" t="str">
        <f t="shared" si="36"/>
        <v>Female</v>
      </c>
      <c r="D599" t="s">
        <v>77</v>
      </c>
      <c r="E599">
        <f t="shared" si="37"/>
        <v>28</v>
      </c>
      <c r="F599">
        <v>28</v>
      </c>
      <c r="G599" t="s">
        <v>124</v>
      </c>
      <c r="H599" t="s">
        <v>25</v>
      </c>
      <c r="I599" t="s">
        <v>18</v>
      </c>
      <c r="J599">
        <f t="shared" si="38"/>
        <v>1</v>
      </c>
      <c r="K599">
        <v>1</v>
      </c>
      <c r="L599" s="5">
        <f t="shared" si="39"/>
        <v>75</v>
      </c>
      <c r="M599" s="2">
        <v>75</v>
      </c>
      <c r="N599" s="2">
        <f>IF(O599&gt;=90%,5,IF(O599&gt;=80%,4,IF(O599&gt;=70%,3,IF(O599&gt;=60%,2,1))))</f>
        <v>5</v>
      </c>
      <c r="O599" s="3">
        <v>0.93</v>
      </c>
      <c r="P599" t="s">
        <v>69</v>
      </c>
      <c r="Q599" t="s">
        <v>20</v>
      </c>
      <c r="R599">
        <v>1</v>
      </c>
      <c r="S599">
        <v>2</v>
      </c>
    </row>
    <row r="600" spans="1:19" x14ac:dyDescent="0.3">
      <c r="A600" t="s">
        <v>1276</v>
      </c>
      <c r="B600" t="s">
        <v>1277</v>
      </c>
      <c r="C600" t="str">
        <f t="shared" si="36"/>
        <v>Male</v>
      </c>
      <c r="D600" t="s">
        <v>30</v>
      </c>
      <c r="E600">
        <f t="shared" si="37"/>
        <v>60</v>
      </c>
      <c r="F600">
        <v>60</v>
      </c>
      <c r="G600" t="s">
        <v>57</v>
      </c>
      <c r="H600" t="s">
        <v>25</v>
      </c>
      <c r="I600" t="s">
        <v>44</v>
      </c>
      <c r="J600">
        <f t="shared" si="38"/>
        <v>39</v>
      </c>
      <c r="K600">
        <v>39</v>
      </c>
      <c r="L600" s="5" t="str">
        <f t="shared" si="39"/>
        <v>$100</v>
      </c>
      <c r="M600" s="2" t="s">
        <v>222</v>
      </c>
      <c r="N600" s="2">
        <f>IF(O600&gt;=90%,5,IF(O600&gt;=80%,4,IF(O600&gt;=70%,3,IF(O600&gt;=60%,2,1))))</f>
        <v>4</v>
      </c>
      <c r="O600" s="3">
        <v>0.88</v>
      </c>
      <c r="P600" t="s">
        <v>46</v>
      </c>
      <c r="Q600" t="s">
        <v>33</v>
      </c>
      <c r="R600">
        <v>19</v>
      </c>
      <c r="S600">
        <v>4</v>
      </c>
    </row>
    <row r="601" spans="1:19" x14ac:dyDescent="0.3">
      <c r="A601" t="s">
        <v>1278</v>
      </c>
      <c r="B601" t="s">
        <v>1279</v>
      </c>
      <c r="C601" t="str">
        <f t="shared" si="36"/>
        <v>Male</v>
      </c>
      <c r="D601" t="s">
        <v>30</v>
      </c>
      <c r="E601">
        <f t="shared" si="37"/>
        <v>34</v>
      </c>
      <c r="F601">
        <v>34</v>
      </c>
      <c r="G601" t="s">
        <v>108</v>
      </c>
      <c r="H601" t="s">
        <v>109</v>
      </c>
      <c r="I601" t="s">
        <v>18</v>
      </c>
      <c r="J601">
        <f t="shared" si="38"/>
        <v>15</v>
      </c>
      <c r="K601">
        <v>15</v>
      </c>
      <c r="L601" s="5">
        <f t="shared" si="39"/>
        <v>20</v>
      </c>
      <c r="M601" s="2">
        <v>20</v>
      </c>
      <c r="N601" s="2">
        <f>IF(O601&gt;=90%,5,IF(O601&gt;=80%,4,IF(O601&gt;=70%,3,IF(O601&gt;=60%,2,1))))</f>
        <v>5</v>
      </c>
      <c r="O601" s="3">
        <v>1</v>
      </c>
      <c r="P601" t="s">
        <v>46</v>
      </c>
      <c r="Q601" t="s">
        <v>58</v>
      </c>
      <c r="R601">
        <v>13</v>
      </c>
      <c r="S601">
        <v>3</v>
      </c>
    </row>
    <row r="602" spans="1:19" x14ac:dyDescent="0.3">
      <c r="A602" t="s">
        <v>1280</v>
      </c>
      <c r="B602" t="s">
        <v>1281</v>
      </c>
      <c r="C602" t="str">
        <f t="shared" si="36"/>
        <v>Female</v>
      </c>
      <c r="D602" t="s">
        <v>39</v>
      </c>
      <c r="E602">
        <f t="shared" si="37"/>
        <v>38</v>
      </c>
      <c r="F602">
        <v>38</v>
      </c>
      <c r="G602" t="s">
        <v>50</v>
      </c>
      <c r="H602" t="s">
        <v>51</v>
      </c>
      <c r="I602" t="s">
        <v>44</v>
      </c>
      <c r="J602">
        <f t="shared" si="38"/>
        <v>13</v>
      </c>
      <c r="K602">
        <v>13</v>
      </c>
      <c r="L602" s="5" t="str">
        <f t="shared" si="39"/>
        <v>$40</v>
      </c>
      <c r="M602" s="2" t="s">
        <v>38</v>
      </c>
      <c r="N602" s="2">
        <f>IF(O602&gt;=90%,5,IF(O602&gt;=80%,4,IF(O602&gt;=70%,3,IF(O602&gt;=60%,2,1))))</f>
        <v>2</v>
      </c>
      <c r="O602" s="3">
        <v>0.61</v>
      </c>
      <c r="P602" t="s">
        <v>69</v>
      </c>
      <c r="Q602" t="s">
        <v>27</v>
      </c>
      <c r="R602">
        <v>13</v>
      </c>
      <c r="S602">
        <v>2</v>
      </c>
    </row>
    <row r="603" spans="1:19" x14ac:dyDescent="0.3">
      <c r="A603" t="s">
        <v>1282</v>
      </c>
      <c r="B603" t="s">
        <v>1283</v>
      </c>
      <c r="C603" t="str">
        <f t="shared" si="36"/>
        <v>Female</v>
      </c>
      <c r="D603" t="s">
        <v>23</v>
      </c>
      <c r="E603">
        <f t="shared" si="37"/>
        <v>51</v>
      </c>
      <c r="F603">
        <v>51</v>
      </c>
      <c r="G603" t="s">
        <v>108</v>
      </c>
      <c r="H603" t="s">
        <v>109</v>
      </c>
      <c r="I603" t="s">
        <v>37</v>
      </c>
      <c r="J603">
        <f t="shared" si="38"/>
        <v>17</v>
      </c>
      <c r="K603">
        <v>17</v>
      </c>
      <c r="L603" s="5">
        <f t="shared" si="39"/>
        <v>100</v>
      </c>
      <c r="M603" s="2">
        <v>100</v>
      </c>
      <c r="N603" s="2">
        <f>IF(O603&gt;=90%,5,IF(O603&gt;=80%,4,IF(O603&gt;=70%,3,IF(O603&gt;=60%,2,1))))</f>
        <v>3</v>
      </c>
      <c r="O603" s="3">
        <v>0.79</v>
      </c>
      <c r="P603" t="s">
        <v>65</v>
      </c>
      <c r="Q603" t="s">
        <v>27</v>
      </c>
      <c r="R603">
        <v>13</v>
      </c>
      <c r="S603">
        <v>1</v>
      </c>
    </row>
    <row r="604" spans="1:19" x14ac:dyDescent="0.3">
      <c r="A604" t="s">
        <v>1284</v>
      </c>
      <c r="B604" t="s">
        <v>1285</v>
      </c>
      <c r="C604" t="str">
        <f t="shared" si="36"/>
        <v>Female</v>
      </c>
      <c r="D604" t="s">
        <v>15</v>
      </c>
      <c r="E604">
        <f t="shared" si="37"/>
        <v>21</v>
      </c>
      <c r="F604">
        <v>21</v>
      </c>
      <c r="G604" t="s">
        <v>83</v>
      </c>
      <c r="H604" t="s">
        <v>84</v>
      </c>
      <c r="I604" t="s">
        <v>26</v>
      </c>
      <c r="J604">
        <f t="shared" si="38"/>
        <v>1</v>
      </c>
      <c r="K604">
        <v>1</v>
      </c>
      <c r="L604" s="5">
        <f t="shared" si="39"/>
        <v>30</v>
      </c>
      <c r="M604" s="2">
        <v>30</v>
      </c>
      <c r="N604" s="2">
        <f>IF(O604&gt;=90%,5,IF(O604&gt;=80%,4,IF(O604&gt;=70%,3,IF(O604&gt;=60%,2,1))))</f>
        <v>3</v>
      </c>
      <c r="O604" s="3">
        <v>0.73</v>
      </c>
      <c r="P604" t="s">
        <v>19</v>
      </c>
      <c r="Q604" t="s">
        <v>33</v>
      </c>
      <c r="R604">
        <v>1</v>
      </c>
      <c r="S604">
        <v>1</v>
      </c>
    </row>
    <row r="605" spans="1:19" x14ac:dyDescent="0.3">
      <c r="A605" t="s">
        <v>1286</v>
      </c>
      <c r="B605" t="s">
        <v>1287</v>
      </c>
      <c r="C605" t="str">
        <f t="shared" si="36"/>
        <v>Male</v>
      </c>
      <c r="D605" t="s">
        <v>90</v>
      </c>
      <c r="E605">
        <f t="shared" si="37"/>
        <v>35</v>
      </c>
      <c r="F605">
        <v>35</v>
      </c>
      <c r="G605" t="s">
        <v>16</v>
      </c>
      <c r="H605" t="s">
        <v>17</v>
      </c>
      <c r="I605" t="s">
        <v>74</v>
      </c>
      <c r="J605">
        <f t="shared" si="38"/>
        <v>16</v>
      </c>
      <c r="K605">
        <v>16</v>
      </c>
      <c r="L605" s="5">
        <f t="shared" si="39"/>
        <v>62</v>
      </c>
      <c r="N605" s="2">
        <f>IF(O605&gt;=90%,5,IF(O605&gt;=80%,4,IF(O605&gt;=70%,3,IF(O605&gt;=60%,2,1))))</f>
        <v>2</v>
      </c>
      <c r="O605" s="3">
        <v>0.64</v>
      </c>
      <c r="P605" t="s">
        <v>69</v>
      </c>
      <c r="Q605" t="s">
        <v>33</v>
      </c>
      <c r="R605">
        <v>12</v>
      </c>
      <c r="S605">
        <v>18</v>
      </c>
    </row>
    <row r="606" spans="1:19" x14ac:dyDescent="0.3">
      <c r="A606" t="s">
        <v>1288</v>
      </c>
      <c r="B606" t="s">
        <v>1289</v>
      </c>
      <c r="C606" t="str">
        <f t="shared" si="36"/>
        <v>Male</v>
      </c>
      <c r="D606" t="s">
        <v>90</v>
      </c>
      <c r="E606">
        <f t="shared" si="37"/>
        <v>27</v>
      </c>
      <c r="F606">
        <v>27</v>
      </c>
      <c r="G606" t="s">
        <v>104</v>
      </c>
      <c r="H606" t="s">
        <v>105</v>
      </c>
      <c r="I606" t="s">
        <v>37</v>
      </c>
      <c r="J606">
        <f t="shared" si="38"/>
        <v>9</v>
      </c>
      <c r="K606">
        <v>9</v>
      </c>
      <c r="L606" s="5" t="str">
        <f t="shared" si="39"/>
        <v>$100</v>
      </c>
      <c r="M606" s="2" t="s">
        <v>222</v>
      </c>
      <c r="N606" s="2">
        <f>IF(O606&gt;=90%,5,IF(O606&gt;=80%,4,IF(O606&gt;=70%,3,IF(O606&gt;=60%,2,1))))</f>
        <v>1</v>
      </c>
      <c r="O606" s="3">
        <v>0.5</v>
      </c>
      <c r="P606" t="s">
        <v>46</v>
      </c>
      <c r="Q606" t="s">
        <v>27</v>
      </c>
      <c r="R606">
        <v>13</v>
      </c>
      <c r="S606">
        <v>6</v>
      </c>
    </row>
    <row r="607" spans="1:19" x14ac:dyDescent="0.3">
      <c r="A607" t="s">
        <v>1290</v>
      </c>
      <c r="B607" t="s">
        <v>1291</v>
      </c>
      <c r="C607" t="str">
        <f t="shared" si="36"/>
        <v>Female</v>
      </c>
      <c r="D607" t="s">
        <v>23</v>
      </c>
      <c r="E607">
        <f t="shared" si="37"/>
        <v>42</v>
      </c>
      <c r="F607">
        <v>42</v>
      </c>
      <c r="G607" t="s">
        <v>62</v>
      </c>
      <c r="H607" t="s">
        <v>63</v>
      </c>
      <c r="I607" t="s">
        <v>26</v>
      </c>
      <c r="J607">
        <f t="shared" si="38"/>
        <v>20</v>
      </c>
      <c r="K607">
        <v>20</v>
      </c>
      <c r="L607" s="5" t="str">
        <f t="shared" si="39"/>
        <v>$50</v>
      </c>
      <c r="M607" s="2" t="s">
        <v>64</v>
      </c>
      <c r="N607" s="2">
        <f>IF(O607&gt;=90%,5,IF(O607&gt;=80%,4,IF(O607&gt;=70%,3,IF(O607&gt;=60%,2,1))))</f>
        <v>5</v>
      </c>
      <c r="O607" s="3">
        <v>0.93</v>
      </c>
      <c r="P607" t="s">
        <v>46</v>
      </c>
      <c r="Q607" t="s">
        <v>20</v>
      </c>
      <c r="R607">
        <v>10</v>
      </c>
      <c r="S607">
        <v>14</v>
      </c>
    </row>
    <row r="608" spans="1:19" x14ac:dyDescent="0.3">
      <c r="A608" t="s">
        <v>1292</v>
      </c>
      <c r="B608" t="s">
        <v>1293</v>
      </c>
      <c r="C608" t="str">
        <f t="shared" si="36"/>
        <v>Female</v>
      </c>
      <c r="D608" t="s">
        <v>36</v>
      </c>
      <c r="E608">
        <f t="shared" si="37"/>
        <v>52</v>
      </c>
      <c r="F608">
        <v>52</v>
      </c>
      <c r="G608" t="s">
        <v>124</v>
      </c>
      <c r="H608" t="s">
        <v>25</v>
      </c>
      <c r="I608" t="s">
        <v>18</v>
      </c>
      <c r="J608">
        <f t="shared" si="38"/>
        <v>29</v>
      </c>
      <c r="K608">
        <v>29</v>
      </c>
      <c r="L608" s="5">
        <f t="shared" si="39"/>
        <v>30</v>
      </c>
      <c r="M608" s="2">
        <v>30</v>
      </c>
      <c r="N608" s="2">
        <f>IF(O608&gt;=90%,5,IF(O608&gt;=80%,4,IF(O608&gt;=70%,3,IF(O608&gt;=60%,2,1))))</f>
        <v>2</v>
      </c>
      <c r="O608" s="3">
        <v>0.68</v>
      </c>
      <c r="P608" t="s">
        <v>69</v>
      </c>
      <c r="Q608" t="s">
        <v>33</v>
      </c>
      <c r="R608">
        <v>14</v>
      </c>
      <c r="S608">
        <v>7</v>
      </c>
    </row>
    <row r="609" spans="1:19" x14ac:dyDescent="0.3">
      <c r="A609" t="s">
        <v>1294</v>
      </c>
      <c r="B609" t="s">
        <v>1295</v>
      </c>
      <c r="C609" t="str">
        <f t="shared" si="36"/>
        <v>Male</v>
      </c>
      <c r="D609" t="s">
        <v>30</v>
      </c>
      <c r="E609">
        <f t="shared" si="37"/>
        <v>53</v>
      </c>
      <c r="F609">
        <v>53</v>
      </c>
      <c r="G609" t="s">
        <v>108</v>
      </c>
      <c r="H609" t="s">
        <v>109</v>
      </c>
      <c r="I609" t="s">
        <v>37</v>
      </c>
      <c r="J609">
        <f t="shared" si="38"/>
        <v>21</v>
      </c>
      <c r="K609">
        <v>21</v>
      </c>
      <c r="L609" s="5">
        <f t="shared" si="39"/>
        <v>40</v>
      </c>
      <c r="M609" s="2">
        <v>40</v>
      </c>
      <c r="N609" s="2">
        <f>IF(O609&gt;=90%,5,IF(O609&gt;=80%,4,IF(O609&gt;=70%,3,IF(O609&gt;=60%,2,1))))</f>
        <v>2</v>
      </c>
      <c r="O609" s="3">
        <v>0.62</v>
      </c>
      <c r="P609" t="s">
        <v>65</v>
      </c>
      <c r="Q609" t="s">
        <v>27</v>
      </c>
      <c r="R609">
        <v>19</v>
      </c>
      <c r="S609">
        <v>15</v>
      </c>
    </row>
    <row r="610" spans="1:19" x14ac:dyDescent="0.3">
      <c r="A610" t="s">
        <v>1296</v>
      </c>
      <c r="B610" t="s">
        <v>1297</v>
      </c>
      <c r="C610" t="str">
        <f t="shared" si="36"/>
        <v>Female</v>
      </c>
      <c r="D610" t="s">
        <v>23</v>
      </c>
      <c r="E610">
        <f t="shared" si="37"/>
        <v>54</v>
      </c>
      <c r="F610">
        <v>54</v>
      </c>
      <c r="G610" t="s">
        <v>16</v>
      </c>
      <c r="H610" t="s">
        <v>17</v>
      </c>
      <c r="I610" t="s">
        <v>26</v>
      </c>
      <c r="J610">
        <f t="shared" si="38"/>
        <v>28</v>
      </c>
      <c r="K610">
        <v>28</v>
      </c>
      <c r="L610" s="5" t="str">
        <f t="shared" si="39"/>
        <v>$40</v>
      </c>
      <c r="M610" s="2" t="s">
        <v>38</v>
      </c>
      <c r="N610" s="2">
        <f>IF(O610&gt;=90%,5,IF(O610&gt;=80%,4,IF(O610&gt;=70%,3,IF(O610&gt;=60%,2,1))))</f>
        <v>1</v>
      </c>
      <c r="O610" s="3">
        <v>0.5</v>
      </c>
      <c r="P610" t="s">
        <v>65</v>
      </c>
      <c r="Q610" t="s">
        <v>33</v>
      </c>
      <c r="R610">
        <v>13</v>
      </c>
      <c r="S610">
        <v>2</v>
      </c>
    </row>
    <row r="611" spans="1:19" x14ac:dyDescent="0.3">
      <c r="A611" t="s">
        <v>1298</v>
      </c>
      <c r="B611" t="s">
        <v>1299</v>
      </c>
      <c r="C611" t="str">
        <f t="shared" si="36"/>
        <v>Male</v>
      </c>
      <c r="D611" t="s">
        <v>61</v>
      </c>
      <c r="E611">
        <f t="shared" si="37"/>
        <v>51</v>
      </c>
      <c r="F611">
        <v>51</v>
      </c>
      <c r="G611" t="s">
        <v>83</v>
      </c>
      <c r="H611" t="s">
        <v>84</v>
      </c>
      <c r="I611" t="s">
        <v>32</v>
      </c>
      <c r="J611">
        <f t="shared" si="38"/>
        <v>5</v>
      </c>
      <c r="K611">
        <v>5</v>
      </c>
      <c r="L611" s="5">
        <f t="shared" si="39"/>
        <v>50</v>
      </c>
      <c r="M611" s="2">
        <v>50</v>
      </c>
      <c r="N611" s="2">
        <f>IF(O611&gt;=90%,5,IF(O611&gt;=80%,4,IF(O611&gt;=70%,3,IF(O611&gt;=60%,2,1))))</f>
        <v>4</v>
      </c>
      <c r="O611" s="3">
        <v>0.82</v>
      </c>
      <c r="P611" t="s">
        <v>46</v>
      </c>
      <c r="Q611" t="s">
        <v>20</v>
      </c>
      <c r="R611">
        <v>4</v>
      </c>
      <c r="S611">
        <v>2</v>
      </c>
    </row>
    <row r="612" spans="1:19" x14ac:dyDescent="0.3">
      <c r="A612" t="s">
        <v>1300</v>
      </c>
      <c r="B612" t="s">
        <v>1301</v>
      </c>
      <c r="C612" t="str">
        <f t="shared" si="36"/>
        <v>Female</v>
      </c>
      <c r="D612" t="s">
        <v>15</v>
      </c>
      <c r="E612">
        <f t="shared" si="37"/>
        <v>30</v>
      </c>
      <c r="F612">
        <v>30</v>
      </c>
      <c r="G612" t="s">
        <v>108</v>
      </c>
      <c r="H612" t="s">
        <v>109</v>
      </c>
      <c r="I612" t="s">
        <v>37</v>
      </c>
      <c r="J612">
        <f t="shared" si="38"/>
        <v>0</v>
      </c>
      <c r="K612">
        <v>0</v>
      </c>
      <c r="L612" s="5">
        <f t="shared" si="39"/>
        <v>64.0625</v>
      </c>
      <c r="N612" s="2">
        <f>IF(O612&gt;=90%,5,IF(O612&gt;=80%,4,IF(O612&gt;=70%,3,IF(O612&gt;=60%,2,1))))</f>
        <v>1</v>
      </c>
      <c r="O612" s="3">
        <v>0.5</v>
      </c>
      <c r="P612" t="s">
        <v>46</v>
      </c>
      <c r="Q612" t="s">
        <v>58</v>
      </c>
      <c r="R612">
        <v>1</v>
      </c>
      <c r="S612">
        <v>5</v>
      </c>
    </row>
    <row r="613" spans="1:19" x14ac:dyDescent="0.3">
      <c r="A613" t="s">
        <v>1302</v>
      </c>
      <c r="B613" t="s">
        <v>1303</v>
      </c>
      <c r="C613" t="str">
        <f t="shared" si="36"/>
        <v>Female</v>
      </c>
      <c r="D613" t="s">
        <v>77</v>
      </c>
      <c r="E613">
        <f t="shared" si="37"/>
        <v>45</v>
      </c>
      <c r="F613">
        <v>45</v>
      </c>
      <c r="G613" t="s">
        <v>42</v>
      </c>
      <c r="H613" t="s">
        <v>43</v>
      </c>
      <c r="I613" t="s">
        <v>110</v>
      </c>
      <c r="J613">
        <f t="shared" si="38"/>
        <v>27</v>
      </c>
      <c r="K613">
        <v>27</v>
      </c>
      <c r="L613" s="5" t="str">
        <f t="shared" si="39"/>
        <v>$75</v>
      </c>
      <c r="M613" s="2" t="s">
        <v>163</v>
      </c>
      <c r="N613" s="2">
        <f>IF(O613&gt;=90%,5,IF(O613&gt;=80%,4,IF(O613&gt;=70%,3,IF(O613&gt;=60%,2,1))))</f>
        <v>4</v>
      </c>
      <c r="O613" s="3">
        <v>0.85</v>
      </c>
      <c r="P613" t="s">
        <v>65</v>
      </c>
      <c r="Q613" t="s">
        <v>33</v>
      </c>
      <c r="R613">
        <v>20</v>
      </c>
      <c r="S613">
        <v>2</v>
      </c>
    </row>
    <row r="614" spans="1:19" x14ac:dyDescent="0.3">
      <c r="A614" t="s">
        <v>1304</v>
      </c>
      <c r="B614" t="s">
        <v>1305</v>
      </c>
      <c r="C614" t="str">
        <f t="shared" si="36"/>
        <v>Male</v>
      </c>
      <c r="D614" t="s">
        <v>30</v>
      </c>
      <c r="E614">
        <f t="shared" si="37"/>
        <v>57</v>
      </c>
      <c r="F614">
        <v>57</v>
      </c>
      <c r="G614" t="s">
        <v>50</v>
      </c>
      <c r="H614" t="s">
        <v>51</v>
      </c>
      <c r="I614" t="s">
        <v>32</v>
      </c>
      <c r="J614">
        <f t="shared" si="38"/>
        <v>26</v>
      </c>
      <c r="K614">
        <v>26</v>
      </c>
      <c r="L614" s="5" t="str">
        <f t="shared" si="39"/>
        <v>$100</v>
      </c>
      <c r="M614" s="2" t="s">
        <v>222</v>
      </c>
      <c r="N614" s="2">
        <f>IF(O614&gt;=90%,5,IF(O614&gt;=80%,4,IF(O614&gt;=70%,3,IF(O614&gt;=60%,2,1))))</f>
        <v>3</v>
      </c>
      <c r="O614" s="3">
        <v>0.78</v>
      </c>
      <c r="P614" t="s">
        <v>19</v>
      </c>
      <c r="Q614" t="s">
        <v>20</v>
      </c>
      <c r="R614">
        <v>13</v>
      </c>
      <c r="S614">
        <v>11</v>
      </c>
    </row>
    <row r="615" spans="1:19" x14ac:dyDescent="0.3">
      <c r="A615" t="s">
        <v>1306</v>
      </c>
      <c r="B615" t="s">
        <v>1307</v>
      </c>
      <c r="C615" t="str">
        <f t="shared" si="36"/>
        <v>Male</v>
      </c>
      <c r="D615" t="s">
        <v>95</v>
      </c>
      <c r="E615">
        <f t="shared" si="37"/>
        <v>38</v>
      </c>
      <c r="F615">
        <v>38</v>
      </c>
      <c r="G615" t="s">
        <v>62</v>
      </c>
      <c r="H615" t="s">
        <v>63</v>
      </c>
      <c r="I615" t="s">
        <v>18</v>
      </c>
      <c r="J615">
        <f t="shared" si="38"/>
        <v>19</v>
      </c>
      <c r="K615">
        <v>19</v>
      </c>
      <c r="L615" s="5">
        <f t="shared" si="39"/>
        <v>40</v>
      </c>
      <c r="M615" s="2">
        <v>40</v>
      </c>
      <c r="N615" s="2">
        <f>IF(O615&gt;=90%,5,IF(O615&gt;=80%,4,IF(O615&gt;=70%,3,IF(O615&gt;=60%,2,1))))</f>
        <v>4</v>
      </c>
      <c r="O615" s="3">
        <v>0.86</v>
      </c>
      <c r="P615" t="s">
        <v>69</v>
      </c>
      <c r="Q615" t="s">
        <v>27</v>
      </c>
      <c r="R615">
        <v>17</v>
      </c>
      <c r="S615">
        <v>5</v>
      </c>
    </row>
    <row r="616" spans="1:19" x14ac:dyDescent="0.3">
      <c r="A616" t="s">
        <v>1308</v>
      </c>
      <c r="B616" t="s">
        <v>1309</v>
      </c>
      <c r="C616" t="str">
        <f t="shared" si="36"/>
        <v>Female</v>
      </c>
      <c r="D616" t="s">
        <v>23</v>
      </c>
      <c r="E616">
        <f t="shared" si="37"/>
        <v>42</v>
      </c>
      <c r="F616">
        <v>42</v>
      </c>
      <c r="G616" t="s">
        <v>120</v>
      </c>
      <c r="H616" t="s">
        <v>121</v>
      </c>
      <c r="I616" t="s">
        <v>87</v>
      </c>
      <c r="J616">
        <f t="shared" si="38"/>
        <v>24</v>
      </c>
      <c r="K616">
        <v>24</v>
      </c>
      <c r="L616" s="5" t="str">
        <f t="shared" si="39"/>
        <v>$40</v>
      </c>
      <c r="M616" s="2" t="s">
        <v>38</v>
      </c>
      <c r="N616" s="2">
        <f>IF(O616&gt;=90%,5,IF(O616&gt;=80%,4,IF(O616&gt;=70%,3,IF(O616&gt;=60%,2,1))))</f>
        <v>4</v>
      </c>
      <c r="O616" s="3">
        <v>0.88</v>
      </c>
      <c r="P616" t="s">
        <v>46</v>
      </c>
      <c r="Q616" t="s">
        <v>33</v>
      </c>
      <c r="R616">
        <v>12</v>
      </c>
      <c r="S616">
        <v>3</v>
      </c>
    </row>
    <row r="617" spans="1:19" x14ac:dyDescent="0.3">
      <c r="A617" t="s">
        <v>1310</v>
      </c>
      <c r="B617" t="s">
        <v>1311</v>
      </c>
      <c r="C617" t="str">
        <f t="shared" si="36"/>
        <v>Female</v>
      </c>
      <c r="D617" t="s">
        <v>77</v>
      </c>
      <c r="E617">
        <f t="shared" si="37"/>
        <v>30</v>
      </c>
      <c r="F617">
        <v>30</v>
      </c>
      <c r="G617" t="s">
        <v>147</v>
      </c>
      <c r="H617" t="s">
        <v>148</v>
      </c>
      <c r="I617" t="s">
        <v>87</v>
      </c>
      <c r="J617">
        <f t="shared" si="38"/>
        <v>7</v>
      </c>
      <c r="K617">
        <v>7</v>
      </c>
      <c r="L617" s="5">
        <f t="shared" si="39"/>
        <v>30</v>
      </c>
      <c r="M617" s="2">
        <v>30</v>
      </c>
      <c r="N617" s="2">
        <f>IF(O617&gt;=90%,5,IF(O617&gt;=80%,4,IF(O617&gt;=70%,3,IF(O617&gt;=60%,2,1))))</f>
        <v>2</v>
      </c>
      <c r="O617" s="3">
        <v>0.68</v>
      </c>
      <c r="P617" t="s">
        <v>46</v>
      </c>
      <c r="Q617" t="s">
        <v>33</v>
      </c>
      <c r="R617">
        <v>8</v>
      </c>
      <c r="S617">
        <v>14</v>
      </c>
    </row>
    <row r="618" spans="1:19" x14ac:dyDescent="0.3">
      <c r="A618" t="s">
        <v>1312</v>
      </c>
      <c r="B618" t="s">
        <v>1313</v>
      </c>
      <c r="C618" t="str">
        <f t="shared" si="36"/>
        <v>Female</v>
      </c>
      <c r="D618" t="s">
        <v>39</v>
      </c>
      <c r="E618">
        <f t="shared" si="37"/>
        <v>43</v>
      </c>
      <c r="F618">
        <v>43</v>
      </c>
      <c r="G618" t="s">
        <v>24</v>
      </c>
      <c r="H618" t="s">
        <v>25</v>
      </c>
      <c r="I618" t="s">
        <v>37</v>
      </c>
      <c r="J618">
        <f t="shared" si="38"/>
        <v>13</v>
      </c>
      <c r="K618">
        <v>13</v>
      </c>
      <c r="L618" s="5" t="str">
        <f t="shared" si="39"/>
        <v>$100</v>
      </c>
      <c r="M618" s="2" t="s">
        <v>222</v>
      </c>
      <c r="N618" s="2">
        <f>IF(O618&gt;=90%,5,IF(O618&gt;=80%,4,IF(O618&gt;=70%,3,IF(O618&gt;=60%,2,1))))</f>
        <v>5</v>
      </c>
      <c r="O618" s="3">
        <v>0.97</v>
      </c>
      <c r="P618" t="s">
        <v>65</v>
      </c>
      <c r="Q618" t="s">
        <v>27</v>
      </c>
      <c r="R618">
        <v>7</v>
      </c>
      <c r="S618">
        <v>4</v>
      </c>
    </row>
    <row r="619" spans="1:19" x14ac:dyDescent="0.3">
      <c r="A619" t="s">
        <v>1314</v>
      </c>
      <c r="B619" t="s">
        <v>1315</v>
      </c>
      <c r="C619" t="str">
        <f t="shared" si="36"/>
        <v>Male</v>
      </c>
      <c r="D619" t="s">
        <v>95</v>
      </c>
      <c r="E619">
        <f t="shared" si="37"/>
        <v>22</v>
      </c>
      <c r="F619">
        <v>22</v>
      </c>
      <c r="G619" t="s">
        <v>135</v>
      </c>
      <c r="H619" t="s">
        <v>136</v>
      </c>
      <c r="I619" t="s">
        <v>74</v>
      </c>
      <c r="J619">
        <f t="shared" si="38"/>
        <v>2</v>
      </c>
      <c r="K619">
        <v>2</v>
      </c>
      <c r="L619" s="5" t="str">
        <f t="shared" si="39"/>
        <v>$75</v>
      </c>
      <c r="M619" s="2" t="s">
        <v>163</v>
      </c>
      <c r="N619" s="2">
        <f>IF(O619&gt;=90%,5,IF(O619&gt;=80%,4,IF(O619&gt;=70%,3,IF(O619&gt;=60%,2,1))))</f>
        <v>5</v>
      </c>
      <c r="O619" s="3">
        <v>0.91</v>
      </c>
      <c r="P619" t="s">
        <v>69</v>
      </c>
      <c r="Q619" t="s">
        <v>58</v>
      </c>
      <c r="R619">
        <v>5</v>
      </c>
      <c r="S619">
        <v>1</v>
      </c>
    </row>
    <row r="620" spans="1:19" x14ac:dyDescent="0.3">
      <c r="A620" t="s">
        <v>1316</v>
      </c>
      <c r="B620" t="s">
        <v>1317</v>
      </c>
      <c r="C620" t="str">
        <f t="shared" si="36"/>
        <v>Male</v>
      </c>
      <c r="D620" t="s">
        <v>90</v>
      </c>
      <c r="E620">
        <f t="shared" si="37"/>
        <v>57</v>
      </c>
      <c r="F620">
        <v>57</v>
      </c>
      <c r="G620" t="s">
        <v>172</v>
      </c>
      <c r="H620" t="s">
        <v>73</v>
      </c>
      <c r="I620" t="s">
        <v>110</v>
      </c>
      <c r="J620">
        <f t="shared" si="38"/>
        <v>37</v>
      </c>
      <c r="K620">
        <v>37</v>
      </c>
      <c r="L620" s="5">
        <f t="shared" si="39"/>
        <v>30</v>
      </c>
      <c r="M620" s="2">
        <v>30</v>
      </c>
      <c r="N620" s="2">
        <f>IF(O620&gt;=90%,5,IF(O620&gt;=80%,4,IF(O620&gt;=70%,3,IF(O620&gt;=60%,2,1))))</f>
        <v>1</v>
      </c>
      <c r="O620" s="3">
        <v>0.5</v>
      </c>
      <c r="P620" t="s">
        <v>65</v>
      </c>
      <c r="Q620" t="s">
        <v>27</v>
      </c>
      <c r="R620">
        <v>10</v>
      </c>
      <c r="S620">
        <v>7</v>
      </c>
    </row>
    <row r="621" spans="1:19" x14ac:dyDescent="0.3">
      <c r="A621" t="s">
        <v>1318</v>
      </c>
      <c r="B621" t="s">
        <v>1319</v>
      </c>
      <c r="C621" t="str">
        <f t="shared" si="36"/>
        <v>Male</v>
      </c>
      <c r="D621" t="s">
        <v>61</v>
      </c>
      <c r="E621">
        <f t="shared" si="37"/>
        <v>44</v>
      </c>
      <c r="F621">
        <v>44</v>
      </c>
      <c r="G621" t="s">
        <v>68</v>
      </c>
      <c r="H621" t="s">
        <v>25</v>
      </c>
      <c r="I621" t="s">
        <v>32</v>
      </c>
      <c r="J621">
        <f t="shared" si="38"/>
        <v>1</v>
      </c>
      <c r="K621">
        <v>1</v>
      </c>
      <c r="L621" s="5">
        <f t="shared" si="39"/>
        <v>67.241379310344826</v>
      </c>
      <c r="N621" s="2">
        <f>IF(O621&gt;=90%,5,IF(O621&gt;=80%,4,IF(O621&gt;=70%,3,IF(O621&gt;=60%,2,1))))</f>
        <v>5</v>
      </c>
      <c r="O621" s="3">
        <v>0.97</v>
      </c>
      <c r="P621" t="s">
        <v>69</v>
      </c>
      <c r="Q621" t="s">
        <v>33</v>
      </c>
      <c r="R621">
        <v>1</v>
      </c>
      <c r="S621">
        <v>1</v>
      </c>
    </row>
    <row r="622" spans="1:19" x14ac:dyDescent="0.3">
      <c r="A622" t="s">
        <v>1320</v>
      </c>
      <c r="B622" t="s">
        <v>1321</v>
      </c>
      <c r="C622" t="str">
        <f t="shared" si="36"/>
        <v>Female</v>
      </c>
      <c r="D622" t="s">
        <v>39</v>
      </c>
      <c r="E622">
        <f t="shared" si="37"/>
        <v>46</v>
      </c>
      <c r="F622">
        <v>46</v>
      </c>
      <c r="G622" t="s">
        <v>168</v>
      </c>
      <c r="H622" t="s">
        <v>169</v>
      </c>
      <c r="I622" t="s">
        <v>87</v>
      </c>
      <c r="J622">
        <f t="shared" si="38"/>
        <v>5</v>
      </c>
      <c r="K622">
        <v>5</v>
      </c>
      <c r="L622" s="5" t="str">
        <f t="shared" si="39"/>
        <v>$30</v>
      </c>
      <c r="M622" s="2" t="s">
        <v>45</v>
      </c>
      <c r="N622" s="2">
        <f>IF(O622&gt;=90%,5,IF(O622&gt;=80%,4,IF(O622&gt;=70%,3,IF(O622&gt;=60%,2,1))))</f>
        <v>2</v>
      </c>
      <c r="O622" s="3">
        <v>0.64</v>
      </c>
      <c r="P622" t="s">
        <v>69</v>
      </c>
      <c r="Q622" t="s">
        <v>27</v>
      </c>
      <c r="R622">
        <v>3</v>
      </c>
      <c r="S622">
        <v>1</v>
      </c>
    </row>
    <row r="623" spans="1:19" x14ac:dyDescent="0.3">
      <c r="A623" t="s">
        <v>1322</v>
      </c>
      <c r="B623" t="s">
        <v>1323</v>
      </c>
      <c r="C623" t="str">
        <f t="shared" si="36"/>
        <v>Male</v>
      </c>
      <c r="D623" t="s">
        <v>95</v>
      </c>
      <c r="E623">
        <f t="shared" si="37"/>
        <v>41</v>
      </c>
      <c r="G623" t="s">
        <v>183</v>
      </c>
      <c r="H623" t="s">
        <v>73</v>
      </c>
      <c r="I623" t="s">
        <v>18</v>
      </c>
      <c r="J623">
        <f t="shared" si="38"/>
        <v>1</v>
      </c>
      <c r="K623">
        <v>1</v>
      </c>
      <c r="L623" s="5" t="str">
        <f t="shared" si="39"/>
        <v>$50</v>
      </c>
      <c r="M623" s="2" t="s">
        <v>64</v>
      </c>
      <c r="N623" s="2">
        <f>IF(O623&gt;=90%,5,IF(O623&gt;=80%,4,IF(O623&gt;=70%,3,IF(O623&gt;=60%,2,1))))</f>
        <v>4</v>
      </c>
      <c r="O623" s="3">
        <v>0.87</v>
      </c>
      <c r="P623" t="s">
        <v>69</v>
      </c>
      <c r="Q623" t="s">
        <v>20</v>
      </c>
      <c r="R623">
        <v>3</v>
      </c>
      <c r="S623">
        <v>1</v>
      </c>
    </row>
    <row r="624" spans="1:19" x14ac:dyDescent="0.3">
      <c r="A624" t="s">
        <v>1324</v>
      </c>
      <c r="B624" t="s">
        <v>1325</v>
      </c>
      <c r="C624" t="str">
        <f t="shared" si="36"/>
        <v>Female</v>
      </c>
      <c r="D624" t="s">
        <v>77</v>
      </c>
      <c r="E624">
        <f t="shared" si="37"/>
        <v>34</v>
      </c>
      <c r="F624">
        <v>34</v>
      </c>
      <c r="G624" t="s">
        <v>24</v>
      </c>
      <c r="H624" t="s">
        <v>25</v>
      </c>
      <c r="I624" t="s">
        <v>52</v>
      </c>
      <c r="J624">
        <f t="shared" si="38"/>
        <v>2</v>
      </c>
      <c r="K624">
        <v>2</v>
      </c>
      <c r="L624" s="5">
        <f t="shared" si="39"/>
        <v>100</v>
      </c>
      <c r="M624" s="2">
        <v>100</v>
      </c>
      <c r="N624" s="2">
        <f>IF(O624&gt;=90%,5,IF(O624&gt;=80%,4,IF(O624&gt;=70%,3,IF(O624&gt;=60%,2,1))))</f>
        <v>4</v>
      </c>
      <c r="O624" s="3">
        <v>0.86</v>
      </c>
      <c r="P624" t="s">
        <v>46</v>
      </c>
      <c r="Q624" t="s">
        <v>27</v>
      </c>
      <c r="R624">
        <v>5</v>
      </c>
      <c r="S624">
        <v>1</v>
      </c>
    </row>
    <row r="625" spans="1:19" x14ac:dyDescent="0.3">
      <c r="A625" t="s">
        <v>1326</v>
      </c>
      <c r="B625" t="s">
        <v>1327</v>
      </c>
      <c r="C625" t="str">
        <f t="shared" si="36"/>
        <v>Female</v>
      </c>
      <c r="D625" t="s">
        <v>36</v>
      </c>
      <c r="E625">
        <f t="shared" si="37"/>
        <v>46</v>
      </c>
      <c r="F625">
        <v>46</v>
      </c>
      <c r="G625" t="s">
        <v>16</v>
      </c>
      <c r="H625" t="s">
        <v>17</v>
      </c>
      <c r="I625" t="s">
        <v>26</v>
      </c>
      <c r="J625" s="4">
        <f t="shared" si="38"/>
        <v>11.507692307692308</v>
      </c>
      <c r="L625" s="5" t="str">
        <f t="shared" si="39"/>
        <v>$100</v>
      </c>
      <c r="M625" s="2" t="s">
        <v>222</v>
      </c>
      <c r="N625" s="2">
        <f>IF(O625&gt;=90%,5,IF(O625&gt;=80%,4,IF(O625&gt;=70%,3,IF(O625&gt;=60%,2,1))))</f>
        <v>5</v>
      </c>
      <c r="O625" s="3">
        <v>0.97</v>
      </c>
      <c r="P625" t="s">
        <v>19</v>
      </c>
      <c r="Q625" t="s">
        <v>33</v>
      </c>
      <c r="R625">
        <v>2</v>
      </c>
      <c r="S625">
        <v>3</v>
      </c>
    </row>
    <row r="626" spans="1:19" x14ac:dyDescent="0.3">
      <c r="A626" t="s">
        <v>1328</v>
      </c>
      <c r="B626" t="s">
        <v>1329</v>
      </c>
      <c r="C626" t="str">
        <f t="shared" si="36"/>
        <v>Female</v>
      </c>
      <c r="D626" t="s">
        <v>15</v>
      </c>
      <c r="E626">
        <f t="shared" si="37"/>
        <v>22</v>
      </c>
      <c r="F626">
        <v>22</v>
      </c>
      <c r="G626" t="s">
        <v>131</v>
      </c>
      <c r="H626" t="s">
        <v>132</v>
      </c>
      <c r="I626" t="s">
        <v>18</v>
      </c>
      <c r="J626">
        <f t="shared" si="38"/>
        <v>0</v>
      </c>
      <c r="K626">
        <v>0</v>
      </c>
      <c r="L626" s="5" t="str">
        <f t="shared" si="39"/>
        <v>$30</v>
      </c>
      <c r="M626" s="2" t="s">
        <v>45</v>
      </c>
      <c r="N626" s="2">
        <f>IF(O626&gt;=90%,5,IF(O626&gt;=80%,4,IF(O626&gt;=70%,3,IF(O626&gt;=60%,2,1))))</f>
        <v>3</v>
      </c>
      <c r="O626" s="3">
        <v>0.73</v>
      </c>
      <c r="P626" t="s">
        <v>65</v>
      </c>
      <c r="Q626" t="s">
        <v>27</v>
      </c>
      <c r="R626">
        <v>3</v>
      </c>
      <c r="S626">
        <v>2</v>
      </c>
    </row>
    <row r="627" spans="1:19" x14ac:dyDescent="0.3">
      <c r="A627" t="s">
        <v>1330</v>
      </c>
      <c r="B627" t="s">
        <v>1331</v>
      </c>
      <c r="C627" t="str">
        <f t="shared" si="36"/>
        <v>Female</v>
      </c>
      <c r="D627" t="s">
        <v>39</v>
      </c>
      <c r="E627">
        <f t="shared" si="37"/>
        <v>23</v>
      </c>
      <c r="F627">
        <v>23</v>
      </c>
      <c r="G627" t="s">
        <v>147</v>
      </c>
      <c r="H627" t="s">
        <v>148</v>
      </c>
      <c r="I627" t="s">
        <v>44</v>
      </c>
      <c r="J627">
        <f t="shared" si="38"/>
        <v>0</v>
      </c>
      <c r="K627">
        <v>0</v>
      </c>
      <c r="L627" s="5" t="str">
        <f t="shared" si="39"/>
        <v>$75</v>
      </c>
      <c r="M627" s="2" t="s">
        <v>163</v>
      </c>
      <c r="N627" s="2">
        <f>IF(O627&gt;=90%,5,IF(O627&gt;=80%,4,IF(O627&gt;=70%,3,IF(O627&gt;=60%,2,1))))</f>
        <v>2</v>
      </c>
      <c r="O627" s="3">
        <v>0.6</v>
      </c>
      <c r="P627" t="s">
        <v>19</v>
      </c>
      <c r="Q627" t="s">
        <v>58</v>
      </c>
      <c r="R627">
        <v>4</v>
      </c>
      <c r="S627">
        <v>1</v>
      </c>
    </row>
    <row r="628" spans="1:19" x14ac:dyDescent="0.3">
      <c r="A628" t="s">
        <v>1332</v>
      </c>
      <c r="B628" t="s">
        <v>1333</v>
      </c>
      <c r="C628" t="str">
        <f t="shared" si="36"/>
        <v>Female</v>
      </c>
      <c r="D628" t="s">
        <v>36</v>
      </c>
      <c r="E628">
        <f t="shared" si="37"/>
        <v>60</v>
      </c>
      <c r="F628">
        <v>60</v>
      </c>
      <c r="G628" t="s">
        <v>62</v>
      </c>
      <c r="H628" t="s">
        <v>63</v>
      </c>
      <c r="I628" t="s">
        <v>37</v>
      </c>
      <c r="J628">
        <f t="shared" si="38"/>
        <v>41</v>
      </c>
      <c r="K628">
        <v>41</v>
      </c>
      <c r="L628" s="5" t="str">
        <f t="shared" si="39"/>
        <v>$40</v>
      </c>
      <c r="M628" s="2" t="s">
        <v>38</v>
      </c>
      <c r="N628" s="2">
        <f>IF(O628&gt;=90%,5,IF(O628&gt;=80%,4,IF(O628&gt;=70%,3,IF(O628&gt;=60%,2,1))))</f>
        <v>2</v>
      </c>
      <c r="O628" s="3">
        <v>0.66</v>
      </c>
      <c r="P628" t="s">
        <v>65</v>
      </c>
      <c r="Q628" t="s">
        <v>27</v>
      </c>
      <c r="R628">
        <v>20</v>
      </c>
      <c r="S628">
        <v>19</v>
      </c>
    </row>
    <row r="629" spans="1:19" x14ac:dyDescent="0.3">
      <c r="A629" t="s">
        <v>1334</v>
      </c>
      <c r="B629" t="s">
        <v>1335</v>
      </c>
      <c r="C629" t="str">
        <f t="shared" si="36"/>
        <v>Male</v>
      </c>
      <c r="D629" t="s">
        <v>49</v>
      </c>
      <c r="E629">
        <f t="shared" si="37"/>
        <v>20</v>
      </c>
      <c r="F629">
        <v>20</v>
      </c>
      <c r="G629" t="s">
        <v>124</v>
      </c>
      <c r="H629" t="s">
        <v>25</v>
      </c>
      <c r="I629" t="s">
        <v>87</v>
      </c>
      <c r="J629" s="4">
        <f t="shared" si="38"/>
        <v>11.191780821917808</v>
      </c>
      <c r="L629" s="5" t="str">
        <f t="shared" si="39"/>
        <v>$75</v>
      </c>
      <c r="M629" s="2" t="s">
        <v>163</v>
      </c>
      <c r="N629" s="2">
        <f>IF(O629&gt;=90%,5,IF(O629&gt;=80%,4,IF(O629&gt;=70%,3,IF(O629&gt;=60%,2,1))))</f>
        <v>5</v>
      </c>
      <c r="O629" s="3">
        <v>0.9</v>
      </c>
      <c r="P629" t="s">
        <v>69</v>
      </c>
      <c r="Q629" t="s">
        <v>58</v>
      </c>
      <c r="R629">
        <v>1</v>
      </c>
      <c r="S629">
        <v>2</v>
      </c>
    </row>
    <row r="630" spans="1:19" x14ac:dyDescent="0.3">
      <c r="A630" t="s">
        <v>1336</v>
      </c>
      <c r="B630" t="s">
        <v>1337</v>
      </c>
      <c r="C630" t="str">
        <f t="shared" si="36"/>
        <v>Female</v>
      </c>
      <c r="D630" t="s">
        <v>15</v>
      </c>
      <c r="E630">
        <f t="shared" si="37"/>
        <v>41</v>
      </c>
      <c r="F630">
        <v>41</v>
      </c>
      <c r="G630" t="s">
        <v>108</v>
      </c>
      <c r="H630" t="s">
        <v>109</v>
      </c>
      <c r="I630" t="s">
        <v>74</v>
      </c>
      <c r="J630">
        <f t="shared" si="38"/>
        <v>23</v>
      </c>
      <c r="K630">
        <v>23</v>
      </c>
      <c r="L630" s="5" t="str">
        <f t="shared" si="39"/>
        <v>$75</v>
      </c>
      <c r="M630" s="2" t="s">
        <v>163</v>
      </c>
      <c r="N630" s="2">
        <f>IF(O630&gt;=90%,5,IF(O630&gt;=80%,4,IF(O630&gt;=70%,3,IF(O630&gt;=60%,2,1))))</f>
        <v>1</v>
      </c>
      <c r="O630" s="3">
        <v>0.5</v>
      </c>
      <c r="P630" t="s">
        <v>46</v>
      </c>
      <c r="Q630" t="s">
        <v>20</v>
      </c>
      <c r="R630">
        <v>11</v>
      </c>
      <c r="S630">
        <v>4</v>
      </c>
    </row>
    <row r="631" spans="1:19" x14ac:dyDescent="0.3">
      <c r="A631" t="s">
        <v>1338</v>
      </c>
      <c r="B631" t="s">
        <v>1339</v>
      </c>
      <c r="C631" t="str">
        <f t="shared" si="36"/>
        <v>Male</v>
      </c>
      <c r="D631" t="s">
        <v>49</v>
      </c>
      <c r="E631">
        <f t="shared" si="37"/>
        <v>24</v>
      </c>
      <c r="F631">
        <v>24</v>
      </c>
      <c r="G631" t="s">
        <v>131</v>
      </c>
      <c r="H631" t="s">
        <v>132</v>
      </c>
      <c r="I631" t="s">
        <v>26</v>
      </c>
      <c r="J631">
        <f t="shared" si="38"/>
        <v>0</v>
      </c>
      <c r="K631">
        <v>0</v>
      </c>
      <c r="L631" s="5">
        <f t="shared" si="39"/>
        <v>100</v>
      </c>
      <c r="M631" s="2">
        <v>100</v>
      </c>
      <c r="N631" s="2">
        <f>IF(O631&gt;=90%,5,IF(O631&gt;=80%,4,IF(O631&gt;=70%,3,IF(O631&gt;=60%,2,1))))</f>
        <v>1</v>
      </c>
      <c r="O631" s="3">
        <v>0.5</v>
      </c>
      <c r="P631" t="s">
        <v>19</v>
      </c>
      <c r="Q631" t="s">
        <v>58</v>
      </c>
      <c r="R631">
        <v>5</v>
      </c>
      <c r="S631">
        <v>1</v>
      </c>
    </row>
    <row r="632" spans="1:19" x14ac:dyDescent="0.3">
      <c r="A632" t="s">
        <v>1340</v>
      </c>
      <c r="B632" t="s">
        <v>1341</v>
      </c>
      <c r="C632" t="str">
        <f t="shared" si="36"/>
        <v>Male</v>
      </c>
      <c r="D632" t="s">
        <v>49</v>
      </c>
      <c r="E632">
        <f t="shared" si="37"/>
        <v>44</v>
      </c>
      <c r="F632">
        <v>44</v>
      </c>
      <c r="G632" t="s">
        <v>42</v>
      </c>
      <c r="H632" t="s">
        <v>43</v>
      </c>
      <c r="I632" t="s">
        <v>110</v>
      </c>
      <c r="J632">
        <f t="shared" si="38"/>
        <v>4</v>
      </c>
      <c r="K632">
        <v>4</v>
      </c>
      <c r="L632" s="5">
        <f t="shared" si="39"/>
        <v>64.81481481481481</v>
      </c>
      <c r="N632" s="2">
        <f>IF(O632&gt;=90%,5,IF(O632&gt;=80%,4,IF(O632&gt;=70%,3,IF(O632&gt;=60%,2,1))))</f>
        <v>3</v>
      </c>
      <c r="O632" s="3">
        <v>0.77</v>
      </c>
      <c r="P632" t="s">
        <v>46</v>
      </c>
      <c r="Q632" t="s">
        <v>27</v>
      </c>
      <c r="R632">
        <v>3</v>
      </c>
      <c r="S632">
        <v>3</v>
      </c>
    </row>
    <row r="633" spans="1:19" x14ac:dyDescent="0.3">
      <c r="A633" t="s">
        <v>1342</v>
      </c>
      <c r="B633" t="s">
        <v>1343</v>
      </c>
      <c r="C633" t="str">
        <f t="shared" si="36"/>
        <v>Male</v>
      </c>
      <c r="D633" t="s">
        <v>61</v>
      </c>
      <c r="E633">
        <f t="shared" si="37"/>
        <v>52</v>
      </c>
      <c r="F633">
        <v>52</v>
      </c>
      <c r="G633" t="s">
        <v>168</v>
      </c>
      <c r="H633" t="s">
        <v>169</v>
      </c>
      <c r="I633" t="s">
        <v>74</v>
      </c>
      <c r="J633">
        <f t="shared" si="38"/>
        <v>4</v>
      </c>
      <c r="K633">
        <v>4</v>
      </c>
      <c r="L633" s="5">
        <f t="shared" si="39"/>
        <v>75</v>
      </c>
      <c r="M633" s="2">
        <v>75</v>
      </c>
      <c r="N633" s="2">
        <f>IF(O633&gt;=90%,5,IF(O633&gt;=80%,4,IF(O633&gt;=70%,3,IF(O633&gt;=60%,2,1))))</f>
        <v>3</v>
      </c>
      <c r="O633" s="3">
        <v>0.79</v>
      </c>
      <c r="P633" t="s">
        <v>65</v>
      </c>
      <c r="Q633" t="s">
        <v>33</v>
      </c>
      <c r="R633">
        <v>1</v>
      </c>
      <c r="S633">
        <v>2</v>
      </c>
    </row>
    <row r="634" spans="1:19" x14ac:dyDescent="0.3">
      <c r="A634" t="s">
        <v>1344</v>
      </c>
      <c r="B634" t="s">
        <v>1345</v>
      </c>
      <c r="C634" t="str">
        <f t="shared" si="36"/>
        <v>Male</v>
      </c>
      <c r="D634" t="s">
        <v>90</v>
      </c>
      <c r="E634">
        <f t="shared" si="37"/>
        <v>35</v>
      </c>
      <c r="F634">
        <v>35</v>
      </c>
      <c r="G634" t="s">
        <v>183</v>
      </c>
      <c r="H634" t="s">
        <v>73</v>
      </c>
      <c r="I634" t="s">
        <v>110</v>
      </c>
      <c r="J634">
        <f t="shared" si="38"/>
        <v>13</v>
      </c>
      <c r="K634">
        <v>13</v>
      </c>
      <c r="L634" s="5">
        <f t="shared" si="39"/>
        <v>40</v>
      </c>
      <c r="M634" s="2">
        <v>40</v>
      </c>
      <c r="N634" s="2">
        <f>IF(O634&gt;=90%,5,IF(O634&gt;=80%,4,IF(O634&gt;=70%,3,IF(O634&gt;=60%,2,1))))</f>
        <v>4</v>
      </c>
      <c r="O634" s="3">
        <v>0.83</v>
      </c>
      <c r="P634" t="s">
        <v>46</v>
      </c>
      <c r="Q634" t="s">
        <v>58</v>
      </c>
      <c r="R634">
        <v>14</v>
      </c>
      <c r="S634">
        <v>4</v>
      </c>
    </row>
    <row r="635" spans="1:19" x14ac:dyDescent="0.3">
      <c r="A635" t="s">
        <v>1346</v>
      </c>
      <c r="B635" t="s">
        <v>1347</v>
      </c>
      <c r="C635" t="str">
        <f t="shared" si="36"/>
        <v>Female</v>
      </c>
      <c r="D635" t="s">
        <v>77</v>
      </c>
      <c r="E635">
        <f t="shared" si="37"/>
        <v>24</v>
      </c>
      <c r="F635">
        <v>24</v>
      </c>
      <c r="G635" t="s">
        <v>42</v>
      </c>
      <c r="H635" t="s">
        <v>43</v>
      </c>
      <c r="I635" t="s">
        <v>87</v>
      </c>
      <c r="J635">
        <f t="shared" si="38"/>
        <v>2</v>
      </c>
      <c r="K635">
        <v>2</v>
      </c>
      <c r="L635" s="5" t="str">
        <f t="shared" si="39"/>
        <v>$50</v>
      </c>
      <c r="M635" s="2" t="s">
        <v>64</v>
      </c>
      <c r="N635" s="2">
        <f>IF(O635&gt;=90%,5,IF(O635&gt;=80%,4,IF(O635&gt;=70%,3,IF(O635&gt;=60%,2,1))))</f>
        <v>2</v>
      </c>
      <c r="O635" s="3">
        <v>0.64</v>
      </c>
      <c r="P635" t="s">
        <v>46</v>
      </c>
      <c r="Q635" t="s">
        <v>20</v>
      </c>
      <c r="R635">
        <v>4</v>
      </c>
      <c r="S635">
        <v>2</v>
      </c>
    </row>
    <row r="636" spans="1:19" x14ac:dyDescent="0.3">
      <c r="A636" t="s">
        <v>1348</v>
      </c>
      <c r="B636" t="s">
        <v>1349</v>
      </c>
      <c r="C636" t="str">
        <f t="shared" si="36"/>
        <v>Female</v>
      </c>
      <c r="D636" t="s">
        <v>23</v>
      </c>
      <c r="E636">
        <f t="shared" si="37"/>
        <v>46</v>
      </c>
      <c r="F636">
        <v>46</v>
      </c>
      <c r="G636" t="s">
        <v>24</v>
      </c>
      <c r="H636" t="s">
        <v>25</v>
      </c>
      <c r="I636" t="s">
        <v>78</v>
      </c>
      <c r="J636">
        <f t="shared" si="38"/>
        <v>25</v>
      </c>
      <c r="K636">
        <v>25</v>
      </c>
      <c r="L636" s="5" t="str">
        <f t="shared" si="39"/>
        <v>$100</v>
      </c>
      <c r="M636" s="2" t="s">
        <v>222</v>
      </c>
      <c r="N636" s="2">
        <f>IF(O636&gt;=90%,5,IF(O636&gt;=80%,4,IF(O636&gt;=70%,3,IF(O636&gt;=60%,2,1))))</f>
        <v>4</v>
      </c>
      <c r="O636" s="3">
        <v>0.8</v>
      </c>
      <c r="P636" t="s">
        <v>19</v>
      </c>
      <c r="Q636" t="s">
        <v>58</v>
      </c>
      <c r="R636">
        <v>18</v>
      </c>
      <c r="S636">
        <v>5</v>
      </c>
    </row>
    <row r="637" spans="1:19" x14ac:dyDescent="0.3">
      <c r="A637" t="s">
        <v>1350</v>
      </c>
      <c r="B637" t="s">
        <v>1351</v>
      </c>
      <c r="C637" t="str">
        <f t="shared" si="36"/>
        <v>Male</v>
      </c>
      <c r="D637" t="s">
        <v>90</v>
      </c>
      <c r="E637">
        <f t="shared" si="37"/>
        <v>57</v>
      </c>
      <c r="F637">
        <v>57</v>
      </c>
      <c r="G637" t="s">
        <v>172</v>
      </c>
      <c r="H637" t="s">
        <v>73</v>
      </c>
      <c r="I637" t="s">
        <v>26</v>
      </c>
      <c r="J637">
        <f t="shared" si="38"/>
        <v>18</v>
      </c>
      <c r="K637">
        <v>18</v>
      </c>
      <c r="L637" s="5" t="str">
        <f t="shared" si="39"/>
        <v>$30</v>
      </c>
      <c r="M637" s="2" t="s">
        <v>45</v>
      </c>
      <c r="N637" s="2">
        <f>IF(O637&gt;=90%,5,IF(O637&gt;=80%,4,IF(O637&gt;=70%,3,IF(O637&gt;=60%,2,1))))</f>
        <v>5</v>
      </c>
      <c r="O637" s="3">
        <v>0.9</v>
      </c>
      <c r="P637" t="s">
        <v>69</v>
      </c>
      <c r="Q637" t="s">
        <v>58</v>
      </c>
      <c r="R637">
        <v>13</v>
      </c>
      <c r="S637">
        <v>6</v>
      </c>
    </row>
    <row r="638" spans="1:19" x14ac:dyDescent="0.3">
      <c r="A638" t="s">
        <v>1352</v>
      </c>
      <c r="B638" t="s">
        <v>1353</v>
      </c>
      <c r="C638" t="str">
        <f t="shared" si="36"/>
        <v>Female</v>
      </c>
      <c r="D638" t="s">
        <v>36</v>
      </c>
      <c r="E638">
        <f t="shared" si="37"/>
        <v>49</v>
      </c>
      <c r="F638">
        <v>49</v>
      </c>
      <c r="G638" t="s">
        <v>172</v>
      </c>
      <c r="H638" t="s">
        <v>73</v>
      </c>
      <c r="I638" t="s">
        <v>37</v>
      </c>
      <c r="J638">
        <f t="shared" si="38"/>
        <v>24</v>
      </c>
      <c r="K638">
        <v>24</v>
      </c>
      <c r="L638" s="5" t="str">
        <f t="shared" si="39"/>
        <v>$50</v>
      </c>
      <c r="M638" s="2" t="s">
        <v>64</v>
      </c>
      <c r="N638" s="2">
        <f>IF(O638&gt;=90%,5,IF(O638&gt;=80%,4,IF(O638&gt;=70%,3,IF(O638&gt;=60%,2,1))))</f>
        <v>5</v>
      </c>
      <c r="O638" s="3">
        <v>0.94</v>
      </c>
      <c r="P638" t="s">
        <v>46</v>
      </c>
      <c r="Q638" t="s">
        <v>58</v>
      </c>
      <c r="R638">
        <v>14</v>
      </c>
      <c r="S638">
        <v>8</v>
      </c>
    </row>
    <row r="639" spans="1:19" x14ac:dyDescent="0.3">
      <c r="A639" t="s">
        <v>1354</v>
      </c>
      <c r="B639" t="s">
        <v>1355</v>
      </c>
      <c r="C639" t="str">
        <f t="shared" ref="C639:C698" si="40">IF(LEFT(LOWER(TRIM(D639)),1)="f","Female","Male")</f>
        <v>Male</v>
      </c>
      <c r="D639" t="s">
        <v>61</v>
      </c>
      <c r="E639">
        <f t="shared" si="37"/>
        <v>41</v>
      </c>
      <c r="F639">
        <v>41</v>
      </c>
      <c r="G639" t="s">
        <v>83</v>
      </c>
      <c r="H639" t="s">
        <v>84</v>
      </c>
      <c r="I639" t="s">
        <v>44</v>
      </c>
      <c r="J639">
        <f t="shared" si="38"/>
        <v>7</v>
      </c>
      <c r="K639">
        <v>7</v>
      </c>
      <c r="L639" s="5">
        <f t="shared" si="39"/>
        <v>40</v>
      </c>
      <c r="M639" s="2">
        <v>40</v>
      </c>
      <c r="N639" s="2">
        <f>IF(O639&gt;=90%,5,IF(O639&gt;=80%,4,IF(O639&gt;=70%,3,IF(O639&gt;=60%,2,1))))</f>
        <v>3</v>
      </c>
      <c r="O639" s="3">
        <v>0.7</v>
      </c>
      <c r="P639" t="s">
        <v>69</v>
      </c>
      <c r="Q639" t="s">
        <v>20</v>
      </c>
      <c r="R639">
        <v>14</v>
      </c>
      <c r="S639">
        <v>6</v>
      </c>
    </row>
    <row r="640" spans="1:19" x14ac:dyDescent="0.3">
      <c r="A640" t="s">
        <v>1356</v>
      </c>
      <c r="B640" t="s">
        <v>1357</v>
      </c>
      <c r="C640" t="str">
        <f t="shared" si="40"/>
        <v>Male</v>
      </c>
      <c r="D640" t="s">
        <v>30</v>
      </c>
      <c r="E640">
        <f t="shared" si="37"/>
        <v>22</v>
      </c>
      <c r="F640">
        <v>22</v>
      </c>
      <c r="G640" t="s">
        <v>172</v>
      </c>
      <c r="H640" t="s">
        <v>73</v>
      </c>
      <c r="I640" t="s">
        <v>110</v>
      </c>
      <c r="J640">
        <f t="shared" si="38"/>
        <v>1</v>
      </c>
      <c r="K640">
        <v>1</v>
      </c>
      <c r="L640" s="5" t="str">
        <f t="shared" si="39"/>
        <v>$20</v>
      </c>
      <c r="M640" s="2" t="s">
        <v>117</v>
      </c>
      <c r="N640" s="2">
        <f>IF(O640&gt;=90%,5,IF(O640&gt;=80%,4,IF(O640&gt;=70%,3,IF(O640&gt;=60%,2,1))))</f>
        <v>3</v>
      </c>
      <c r="O640" s="3">
        <v>0.75</v>
      </c>
      <c r="P640" t="s">
        <v>65</v>
      </c>
      <c r="Q640" t="s">
        <v>27</v>
      </c>
      <c r="R640">
        <v>1</v>
      </c>
      <c r="S640">
        <v>1</v>
      </c>
    </row>
    <row r="641" spans="1:19" x14ac:dyDescent="0.3">
      <c r="A641" t="s">
        <v>1358</v>
      </c>
      <c r="B641" t="s">
        <v>1359</v>
      </c>
      <c r="C641" t="str">
        <f t="shared" si="40"/>
        <v>Male</v>
      </c>
      <c r="D641" t="s">
        <v>30</v>
      </c>
      <c r="E641">
        <f t="shared" si="37"/>
        <v>50</v>
      </c>
      <c r="F641">
        <v>50</v>
      </c>
      <c r="G641" t="s">
        <v>24</v>
      </c>
      <c r="H641" t="s">
        <v>25</v>
      </c>
      <c r="I641" t="s">
        <v>18</v>
      </c>
      <c r="J641">
        <f t="shared" si="38"/>
        <v>17</v>
      </c>
      <c r="K641">
        <v>17</v>
      </c>
      <c r="L641" s="5">
        <f t="shared" si="39"/>
        <v>75</v>
      </c>
      <c r="M641" s="2">
        <v>75</v>
      </c>
      <c r="N641" s="2">
        <f>IF(O641&gt;=90%,5,IF(O641&gt;=80%,4,IF(O641&gt;=70%,3,IF(O641&gt;=60%,2,1))))</f>
        <v>2</v>
      </c>
      <c r="O641" s="3">
        <v>0.69</v>
      </c>
      <c r="P641" t="s">
        <v>46</v>
      </c>
      <c r="Q641" t="s">
        <v>58</v>
      </c>
      <c r="R641">
        <v>15</v>
      </c>
      <c r="S641">
        <v>9</v>
      </c>
    </row>
    <row r="642" spans="1:19" x14ac:dyDescent="0.3">
      <c r="A642" t="s">
        <v>1360</v>
      </c>
      <c r="B642" t="s">
        <v>1361</v>
      </c>
      <c r="C642" t="str">
        <f t="shared" si="40"/>
        <v>Male</v>
      </c>
      <c r="D642" t="s">
        <v>30</v>
      </c>
      <c r="E642">
        <f t="shared" ref="E642:E698" si="41">IF(F642="",MEDIAN($F$2:$F$698),F642)</f>
        <v>57</v>
      </c>
      <c r="F642">
        <v>57</v>
      </c>
      <c r="G642" t="s">
        <v>31</v>
      </c>
      <c r="H642" t="s">
        <v>31</v>
      </c>
      <c r="I642" t="s">
        <v>32</v>
      </c>
      <c r="J642">
        <f t="shared" ref="J642:J698" si="42">IF(K642="", AVERAGEIF($I$2:$I$698,I642,$K$2:$K$698),K642)</f>
        <v>4</v>
      </c>
      <c r="K642">
        <v>4</v>
      </c>
      <c r="L642" s="5" t="str">
        <f t="shared" si="39"/>
        <v>$30</v>
      </c>
      <c r="M642" s="2" t="s">
        <v>45</v>
      </c>
      <c r="N642" s="2">
        <f>IF(O642&gt;=90%,5,IF(O642&gt;=80%,4,IF(O642&gt;=70%,3,IF(O642&gt;=60%,2,1))))</f>
        <v>1</v>
      </c>
      <c r="O642" s="3">
        <v>0.5</v>
      </c>
      <c r="P642" t="s">
        <v>19</v>
      </c>
      <c r="Q642" t="s">
        <v>58</v>
      </c>
      <c r="R642">
        <v>5</v>
      </c>
      <c r="S642">
        <v>2</v>
      </c>
    </row>
    <row r="643" spans="1:19" x14ac:dyDescent="0.3">
      <c r="A643" t="s">
        <v>1362</v>
      </c>
      <c r="B643" t="s">
        <v>1363</v>
      </c>
      <c r="C643" t="str">
        <f t="shared" si="40"/>
        <v>Female</v>
      </c>
      <c r="D643" t="s">
        <v>23</v>
      </c>
      <c r="E643">
        <f t="shared" si="41"/>
        <v>47</v>
      </c>
      <c r="F643">
        <v>47</v>
      </c>
      <c r="G643" t="s">
        <v>172</v>
      </c>
      <c r="H643" t="s">
        <v>73</v>
      </c>
      <c r="I643" t="s">
        <v>44</v>
      </c>
      <c r="J643">
        <f t="shared" si="42"/>
        <v>29</v>
      </c>
      <c r="K643">
        <v>29</v>
      </c>
      <c r="L643" s="5" t="str">
        <f t="shared" ref="L643:L698" si="43">IF(M643="", AVERAGE(M643:M1339), M643)</f>
        <v>$50</v>
      </c>
      <c r="M643" s="2" t="s">
        <v>64</v>
      </c>
      <c r="N643" s="2">
        <f>IF(O643&gt;=90%,5,IF(O643&gt;=80%,4,IF(O643&gt;=70%,3,IF(O643&gt;=60%,2,1))))</f>
        <v>3</v>
      </c>
      <c r="O643" s="3">
        <v>0.79</v>
      </c>
      <c r="P643" t="s">
        <v>65</v>
      </c>
      <c r="Q643" t="s">
        <v>33</v>
      </c>
      <c r="R643">
        <v>14</v>
      </c>
      <c r="S643">
        <v>5</v>
      </c>
    </row>
    <row r="644" spans="1:19" x14ac:dyDescent="0.3">
      <c r="A644" t="s">
        <v>1364</v>
      </c>
      <c r="B644" t="s">
        <v>1365</v>
      </c>
      <c r="C644" t="str">
        <f t="shared" si="40"/>
        <v>Male</v>
      </c>
      <c r="D644" t="s">
        <v>90</v>
      </c>
      <c r="E644">
        <f t="shared" si="41"/>
        <v>24</v>
      </c>
      <c r="F644">
        <v>24</v>
      </c>
      <c r="G644" t="s">
        <v>147</v>
      </c>
      <c r="H644" t="s">
        <v>148</v>
      </c>
      <c r="I644" t="s">
        <v>52</v>
      </c>
      <c r="J644">
        <f t="shared" si="42"/>
        <v>2</v>
      </c>
      <c r="K644">
        <v>2</v>
      </c>
      <c r="L644" s="5" t="str">
        <f t="shared" si="43"/>
        <v>$100</v>
      </c>
      <c r="M644" s="2" t="s">
        <v>222</v>
      </c>
      <c r="N644" s="2">
        <f>IF(O644&gt;=90%,5,IF(O644&gt;=80%,4,IF(O644&gt;=70%,3,IF(O644&gt;=60%,2,1))))</f>
        <v>3</v>
      </c>
      <c r="O644" s="3">
        <v>0.71</v>
      </c>
      <c r="P644" t="s">
        <v>65</v>
      </c>
      <c r="Q644" t="s">
        <v>20</v>
      </c>
      <c r="R644">
        <v>5</v>
      </c>
      <c r="S644">
        <v>1</v>
      </c>
    </row>
    <row r="645" spans="1:19" x14ac:dyDescent="0.3">
      <c r="A645" t="s">
        <v>1366</v>
      </c>
      <c r="B645" t="s">
        <v>1367</v>
      </c>
      <c r="C645" t="str">
        <f t="shared" si="40"/>
        <v>Male</v>
      </c>
      <c r="D645" t="s">
        <v>30</v>
      </c>
      <c r="E645">
        <f t="shared" si="41"/>
        <v>41</v>
      </c>
      <c r="G645" t="s">
        <v>91</v>
      </c>
      <c r="H645" t="s">
        <v>92</v>
      </c>
      <c r="I645" t="s">
        <v>78</v>
      </c>
      <c r="J645">
        <f t="shared" si="42"/>
        <v>9</v>
      </c>
      <c r="K645">
        <v>9</v>
      </c>
      <c r="L645" s="5">
        <f t="shared" si="43"/>
        <v>100</v>
      </c>
      <c r="M645" s="2">
        <v>100</v>
      </c>
      <c r="N645" s="2">
        <f>IF(O645&gt;=90%,5,IF(O645&gt;=80%,4,IF(O645&gt;=70%,3,IF(O645&gt;=60%,2,1))))</f>
        <v>3</v>
      </c>
      <c r="O645" s="3">
        <v>0.72</v>
      </c>
      <c r="P645" t="s">
        <v>19</v>
      </c>
      <c r="Q645" t="s">
        <v>58</v>
      </c>
      <c r="R645">
        <v>12</v>
      </c>
      <c r="S645">
        <v>10</v>
      </c>
    </row>
    <row r="646" spans="1:19" x14ac:dyDescent="0.3">
      <c r="A646" t="s">
        <v>1368</v>
      </c>
      <c r="B646" t="s">
        <v>1369</v>
      </c>
      <c r="C646" t="str">
        <f t="shared" si="40"/>
        <v>Female</v>
      </c>
      <c r="D646" t="s">
        <v>23</v>
      </c>
      <c r="E646">
        <f t="shared" si="41"/>
        <v>50</v>
      </c>
      <c r="F646">
        <v>50</v>
      </c>
      <c r="G646" t="s">
        <v>31</v>
      </c>
      <c r="H646" t="s">
        <v>31</v>
      </c>
      <c r="I646" t="s">
        <v>87</v>
      </c>
      <c r="J646">
        <f t="shared" si="42"/>
        <v>10</v>
      </c>
      <c r="K646">
        <v>10</v>
      </c>
      <c r="L646" s="5" t="str">
        <f t="shared" si="43"/>
        <v>$100</v>
      </c>
      <c r="M646" s="2" t="s">
        <v>222</v>
      </c>
      <c r="N646" s="2">
        <f>IF(O646&gt;=90%,5,IF(O646&gt;=80%,4,IF(O646&gt;=70%,3,IF(O646&gt;=60%,2,1))))</f>
        <v>5</v>
      </c>
      <c r="O646" s="3">
        <v>0.93</v>
      </c>
      <c r="P646" t="s">
        <v>46</v>
      </c>
      <c r="Q646" t="s">
        <v>20</v>
      </c>
      <c r="R646">
        <v>8</v>
      </c>
      <c r="S646">
        <v>5</v>
      </c>
    </row>
    <row r="647" spans="1:19" x14ac:dyDescent="0.3">
      <c r="A647" t="s">
        <v>1370</v>
      </c>
      <c r="B647" t="s">
        <v>1371</v>
      </c>
      <c r="C647" t="str">
        <f t="shared" si="40"/>
        <v>Male</v>
      </c>
      <c r="D647" t="s">
        <v>90</v>
      </c>
      <c r="E647">
        <f t="shared" si="41"/>
        <v>46</v>
      </c>
      <c r="F647">
        <v>46</v>
      </c>
      <c r="G647" t="s">
        <v>104</v>
      </c>
      <c r="H647" t="s">
        <v>105</v>
      </c>
      <c r="I647" t="s">
        <v>110</v>
      </c>
      <c r="J647">
        <f t="shared" si="42"/>
        <v>20</v>
      </c>
      <c r="K647">
        <v>20</v>
      </c>
      <c r="L647" s="5">
        <f t="shared" si="43"/>
        <v>64.545454545454547</v>
      </c>
      <c r="N647" s="2">
        <f>IF(O647&gt;=90%,5,IF(O647&gt;=80%,4,IF(O647&gt;=70%,3,IF(O647&gt;=60%,2,1))))</f>
        <v>4</v>
      </c>
      <c r="O647" s="3">
        <v>0.82</v>
      </c>
      <c r="P647" t="s">
        <v>46</v>
      </c>
      <c r="Q647" t="s">
        <v>58</v>
      </c>
      <c r="R647">
        <v>10</v>
      </c>
      <c r="S647">
        <v>9</v>
      </c>
    </row>
    <row r="648" spans="1:19" x14ac:dyDescent="0.3">
      <c r="A648" t="s">
        <v>1372</v>
      </c>
      <c r="B648" t="s">
        <v>1373</v>
      </c>
      <c r="C648" t="str">
        <f t="shared" si="40"/>
        <v>Male</v>
      </c>
      <c r="D648" t="s">
        <v>30</v>
      </c>
      <c r="E648">
        <f t="shared" si="41"/>
        <v>51</v>
      </c>
      <c r="F648">
        <v>51</v>
      </c>
      <c r="G648" t="s">
        <v>24</v>
      </c>
      <c r="H648" t="s">
        <v>25</v>
      </c>
      <c r="I648" t="s">
        <v>78</v>
      </c>
      <c r="J648">
        <f t="shared" si="42"/>
        <v>9</v>
      </c>
      <c r="K648">
        <v>9</v>
      </c>
      <c r="L648" s="5" t="str">
        <f t="shared" si="43"/>
        <v>$40</v>
      </c>
      <c r="M648" s="2" t="s">
        <v>38</v>
      </c>
      <c r="N648" s="2">
        <f>IF(O648&gt;=90%,5,IF(O648&gt;=80%,4,IF(O648&gt;=70%,3,IF(O648&gt;=60%,2,1))))</f>
        <v>2</v>
      </c>
      <c r="O648" s="3">
        <v>0.6</v>
      </c>
      <c r="P648" t="s">
        <v>65</v>
      </c>
      <c r="Q648" t="s">
        <v>27</v>
      </c>
      <c r="R648">
        <v>12</v>
      </c>
      <c r="S648">
        <v>5</v>
      </c>
    </row>
    <row r="649" spans="1:19" x14ac:dyDescent="0.3">
      <c r="A649" t="s">
        <v>1374</v>
      </c>
      <c r="B649" t="s">
        <v>1375</v>
      </c>
      <c r="C649" t="str">
        <f t="shared" si="40"/>
        <v>Male</v>
      </c>
      <c r="D649" t="s">
        <v>61</v>
      </c>
      <c r="E649">
        <f t="shared" si="41"/>
        <v>51</v>
      </c>
      <c r="F649">
        <v>51</v>
      </c>
      <c r="G649" t="s">
        <v>68</v>
      </c>
      <c r="H649" t="s">
        <v>25</v>
      </c>
      <c r="I649" t="s">
        <v>44</v>
      </c>
      <c r="J649">
        <f t="shared" si="42"/>
        <v>12</v>
      </c>
      <c r="K649">
        <v>12</v>
      </c>
      <c r="L649" s="5">
        <f t="shared" si="43"/>
        <v>20</v>
      </c>
      <c r="M649" s="2">
        <v>20</v>
      </c>
      <c r="N649" s="2">
        <f>IF(O649&gt;=90%,5,IF(O649&gt;=80%,4,IF(O649&gt;=70%,3,IF(O649&gt;=60%,2,1))))</f>
        <v>5</v>
      </c>
      <c r="O649" s="3">
        <v>0.93</v>
      </c>
      <c r="P649" t="s">
        <v>46</v>
      </c>
      <c r="Q649" t="s">
        <v>27</v>
      </c>
      <c r="R649">
        <v>15</v>
      </c>
      <c r="S649">
        <v>3</v>
      </c>
    </row>
    <row r="650" spans="1:19" x14ac:dyDescent="0.3">
      <c r="A650" t="s">
        <v>1376</v>
      </c>
      <c r="B650" t="s">
        <v>1377</v>
      </c>
      <c r="C650" t="str">
        <f t="shared" si="40"/>
        <v>Male</v>
      </c>
      <c r="D650" t="s">
        <v>49</v>
      </c>
      <c r="E650">
        <f t="shared" si="41"/>
        <v>27</v>
      </c>
      <c r="F650">
        <v>27</v>
      </c>
      <c r="G650" t="s">
        <v>68</v>
      </c>
      <c r="H650" t="s">
        <v>25</v>
      </c>
      <c r="I650" t="s">
        <v>44</v>
      </c>
      <c r="J650">
        <f t="shared" si="42"/>
        <v>3</v>
      </c>
      <c r="K650">
        <v>3</v>
      </c>
      <c r="L650" s="5" t="str">
        <f t="shared" si="43"/>
        <v>$50</v>
      </c>
      <c r="M650" s="2" t="s">
        <v>64</v>
      </c>
      <c r="N650" s="2">
        <f>IF(O650&gt;=90%,5,IF(O650&gt;=80%,4,IF(O650&gt;=70%,3,IF(O650&gt;=60%,2,1))))</f>
        <v>1</v>
      </c>
      <c r="O650" s="3">
        <v>0.5</v>
      </c>
      <c r="P650" t="s">
        <v>69</v>
      </c>
      <c r="Q650" t="s">
        <v>58</v>
      </c>
      <c r="R650">
        <v>1</v>
      </c>
      <c r="S650">
        <v>3</v>
      </c>
    </row>
    <row r="651" spans="1:19" x14ac:dyDescent="0.3">
      <c r="A651" t="s">
        <v>1378</v>
      </c>
      <c r="B651" t="s">
        <v>1379</v>
      </c>
      <c r="C651" t="str">
        <f t="shared" si="40"/>
        <v>Male</v>
      </c>
      <c r="D651" t="s">
        <v>61</v>
      </c>
      <c r="E651">
        <f t="shared" si="41"/>
        <v>42</v>
      </c>
      <c r="F651">
        <v>42</v>
      </c>
      <c r="G651" t="s">
        <v>183</v>
      </c>
      <c r="H651" t="s">
        <v>73</v>
      </c>
      <c r="I651" t="s">
        <v>37</v>
      </c>
      <c r="J651">
        <f t="shared" si="42"/>
        <v>13</v>
      </c>
      <c r="K651">
        <v>13</v>
      </c>
      <c r="L651" s="5">
        <f t="shared" si="43"/>
        <v>30</v>
      </c>
      <c r="M651" s="2">
        <v>30</v>
      </c>
      <c r="N651" s="2">
        <f>IF(O651&gt;=90%,5,IF(O651&gt;=80%,4,IF(O651&gt;=70%,3,IF(O651&gt;=60%,2,1))))</f>
        <v>3</v>
      </c>
      <c r="O651" s="3">
        <v>0.74</v>
      </c>
      <c r="P651" t="s">
        <v>19</v>
      </c>
      <c r="Q651" t="s">
        <v>27</v>
      </c>
      <c r="R651">
        <v>12</v>
      </c>
      <c r="S651">
        <v>8</v>
      </c>
    </row>
    <row r="652" spans="1:19" x14ac:dyDescent="0.3">
      <c r="A652" t="s">
        <v>1380</v>
      </c>
      <c r="B652" t="s">
        <v>1381</v>
      </c>
      <c r="C652" t="str">
        <f t="shared" si="40"/>
        <v>Male</v>
      </c>
      <c r="D652" t="s">
        <v>61</v>
      </c>
      <c r="E652">
        <f t="shared" si="41"/>
        <v>25</v>
      </c>
      <c r="F652">
        <v>25</v>
      </c>
      <c r="G652" t="s">
        <v>31</v>
      </c>
      <c r="H652" t="s">
        <v>31</v>
      </c>
      <c r="I652" t="s">
        <v>74</v>
      </c>
      <c r="J652">
        <f t="shared" si="42"/>
        <v>4</v>
      </c>
      <c r="K652">
        <v>4</v>
      </c>
      <c r="L652" s="5" t="str">
        <f t="shared" si="43"/>
        <v>$40</v>
      </c>
      <c r="M652" s="2" t="s">
        <v>38</v>
      </c>
      <c r="N652" s="2">
        <f>IF(O652&gt;=90%,5,IF(O652&gt;=80%,4,IF(O652&gt;=70%,3,IF(O652&gt;=60%,2,1))))</f>
        <v>3</v>
      </c>
      <c r="O652" s="3">
        <v>0.73</v>
      </c>
      <c r="P652" t="s">
        <v>69</v>
      </c>
      <c r="Q652" t="s">
        <v>58</v>
      </c>
      <c r="R652">
        <v>1</v>
      </c>
      <c r="S652">
        <v>1</v>
      </c>
    </row>
    <row r="653" spans="1:19" x14ac:dyDescent="0.3">
      <c r="A653" t="s">
        <v>1382</v>
      </c>
      <c r="B653" t="s">
        <v>1383</v>
      </c>
      <c r="C653" t="str">
        <f t="shared" si="40"/>
        <v>Female</v>
      </c>
      <c r="D653" t="s">
        <v>77</v>
      </c>
      <c r="E653">
        <f t="shared" si="41"/>
        <v>32</v>
      </c>
      <c r="F653">
        <v>32</v>
      </c>
      <c r="G653" t="s">
        <v>31</v>
      </c>
      <c r="H653" t="s">
        <v>31</v>
      </c>
      <c r="I653" t="s">
        <v>52</v>
      </c>
      <c r="J653">
        <f t="shared" si="42"/>
        <v>9</v>
      </c>
      <c r="K653">
        <v>9</v>
      </c>
      <c r="L653" s="5">
        <f t="shared" si="43"/>
        <v>75</v>
      </c>
      <c r="M653" s="2">
        <v>75</v>
      </c>
      <c r="N653" s="2">
        <f>IF(O653&gt;=90%,5,IF(O653&gt;=80%,4,IF(O653&gt;=70%,3,IF(O653&gt;=60%,2,1))))</f>
        <v>5</v>
      </c>
      <c r="O653" s="3">
        <v>0.96</v>
      </c>
      <c r="P653" t="s">
        <v>46</v>
      </c>
      <c r="Q653" t="s">
        <v>27</v>
      </c>
      <c r="R653">
        <v>11</v>
      </c>
      <c r="S653">
        <v>5</v>
      </c>
    </row>
    <row r="654" spans="1:19" x14ac:dyDescent="0.3">
      <c r="A654" t="s">
        <v>1384</v>
      </c>
      <c r="B654" t="s">
        <v>1385</v>
      </c>
      <c r="C654" t="str">
        <f t="shared" si="40"/>
        <v>Female</v>
      </c>
      <c r="D654" t="s">
        <v>39</v>
      </c>
      <c r="E654">
        <f t="shared" si="41"/>
        <v>59</v>
      </c>
      <c r="F654">
        <v>59</v>
      </c>
      <c r="G654" t="s">
        <v>124</v>
      </c>
      <c r="H654" t="s">
        <v>25</v>
      </c>
      <c r="I654" t="s">
        <v>32</v>
      </c>
      <c r="J654">
        <f t="shared" si="42"/>
        <v>14</v>
      </c>
      <c r="K654">
        <v>14</v>
      </c>
      <c r="L654" s="5">
        <f t="shared" si="43"/>
        <v>30</v>
      </c>
      <c r="M654" s="2">
        <v>30</v>
      </c>
      <c r="N654" s="2">
        <f>IF(O654&gt;=90%,5,IF(O654&gt;=80%,4,IF(O654&gt;=70%,3,IF(O654&gt;=60%,2,1))))</f>
        <v>2</v>
      </c>
      <c r="O654" s="3">
        <v>0.66</v>
      </c>
      <c r="P654" t="s">
        <v>65</v>
      </c>
      <c r="Q654" t="s">
        <v>33</v>
      </c>
      <c r="R654">
        <v>8</v>
      </c>
      <c r="S654">
        <v>8</v>
      </c>
    </row>
    <row r="655" spans="1:19" x14ac:dyDescent="0.3">
      <c r="A655" t="s">
        <v>1386</v>
      </c>
      <c r="B655" t="s">
        <v>1387</v>
      </c>
      <c r="C655" t="str">
        <f t="shared" si="40"/>
        <v>Female</v>
      </c>
      <c r="D655" t="s">
        <v>23</v>
      </c>
      <c r="E655">
        <f t="shared" si="41"/>
        <v>59</v>
      </c>
      <c r="F655">
        <v>59</v>
      </c>
      <c r="G655" t="s">
        <v>131</v>
      </c>
      <c r="H655" t="s">
        <v>132</v>
      </c>
      <c r="I655" t="s">
        <v>78</v>
      </c>
      <c r="J655">
        <f t="shared" si="42"/>
        <v>37</v>
      </c>
      <c r="K655">
        <v>37</v>
      </c>
      <c r="L655" s="5">
        <f t="shared" si="43"/>
        <v>30</v>
      </c>
      <c r="M655" s="2">
        <v>30</v>
      </c>
      <c r="N655" s="2">
        <f>IF(O655&gt;=90%,5,IF(O655&gt;=80%,4,IF(O655&gt;=70%,3,IF(O655&gt;=60%,2,1))))</f>
        <v>2</v>
      </c>
      <c r="O655" s="3">
        <v>0.62</v>
      </c>
      <c r="P655" t="s">
        <v>19</v>
      </c>
      <c r="Q655" t="s">
        <v>33</v>
      </c>
      <c r="R655">
        <v>20</v>
      </c>
      <c r="S655">
        <v>2</v>
      </c>
    </row>
    <row r="656" spans="1:19" x14ac:dyDescent="0.3">
      <c r="A656" t="s">
        <v>1388</v>
      </c>
      <c r="B656" t="s">
        <v>1389</v>
      </c>
      <c r="C656" t="str">
        <f t="shared" si="40"/>
        <v>Male</v>
      </c>
      <c r="D656" t="s">
        <v>95</v>
      </c>
      <c r="E656">
        <f t="shared" si="41"/>
        <v>29</v>
      </c>
      <c r="F656">
        <v>29</v>
      </c>
      <c r="G656" t="s">
        <v>31</v>
      </c>
      <c r="H656" t="s">
        <v>31</v>
      </c>
      <c r="I656" t="s">
        <v>32</v>
      </c>
      <c r="J656">
        <f t="shared" si="42"/>
        <v>2</v>
      </c>
      <c r="K656">
        <v>2</v>
      </c>
      <c r="L656" s="5" t="str">
        <f t="shared" si="43"/>
        <v>$75</v>
      </c>
      <c r="M656" s="2" t="s">
        <v>163</v>
      </c>
      <c r="N656" s="2">
        <f>IF(O656&gt;=90%,5,IF(O656&gt;=80%,4,IF(O656&gt;=70%,3,IF(O656&gt;=60%,2,1))))</f>
        <v>4</v>
      </c>
      <c r="O656" s="3">
        <v>0.85</v>
      </c>
      <c r="P656" t="s">
        <v>46</v>
      </c>
      <c r="Q656" t="s">
        <v>33</v>
      </c>
      <c r="R656">
        <v>5</v>
      </c>
      <c r="S656">
        <v>1</v>
      </c>
    </row>
    <row r="657" spans="1:19" x14ac:dyDescent="0.3">
      <c r="A657" t="s">
        <v>1390</v>
      </c>
      <c r="B657" t="s">
        <v>1391</v>
      </c>
      <c r="C657" t="str">
        <f t="shared" si="40"/>
        <v>Male</v>
      </c>
      <c r="D657" t="s">
        <v>61</v>
      </c>
      <c r="E657">
        <f t="shared" si="41"/>
        <v>58</v>
      </c>
      <c r="F657">
        <v>58</v>
      </c>
      <c r="G657" t="s">
        <v>168</v>
      </c>
      <c r="H657" t="s">
        <v>169</v>
      </c>
      <c r="I657" t="s">
        <v>44</v>
      </c>
      <c r="J657">
        <f t="shared" si="42"/>
        <v>11</v>
      </c>
      <c r="K657">
        <v>11</v>
      </c>
      <c r="L657" s="5">
        <f t="shared" si="43"/>
        <v>100</v>
      </c>
      <c r="M657" s="2">
        <v>100</v>
      </c>
      <c r="N657" s="2">
        <f>IF(O657&gt;=90%,5,IF(O657&gt;=80%,4,IF(O657&gt;=70%,3,IF(O657&gt;=60%,2,1))))</f>
        <v>2</v>
      </c>
      <c r="O657" s="3">
        <v>0.66</v>
      </c>
      <c r="P657" t="s">
        <v>46</v>
      </c>
      <c r="Q657" t="s">
        <v>20</v>
      </c>
      <c r="R657">
        <v>6</v>
      </c>
      <c r="S657">
        <v>3</v>
      </c>
    </row>
    <row r="658" spans="1:19" x14ac:dyDescent="0.3">
      <c r="A658" t="s">
        <v>1392</v>
      </c>
      <c r="B658" t="s">
        <v>1393</v>
      </c>
      <c r="C658" t="str">
        <f t="shared" si="40"/>
        <v>Female</v>
      </c>
      <c r="D658" t="s">
        <v>15</v>
      </c>
      <c r="E658">
        <f t="shared" si="41"/>
        <v>56</v>
      </c>
      <c r="F658">
        <v>56</v>
      </c>
      <c r="G658" t="s">
        <v>124</v>
      </c>
      <c r="H658" t="s">
        <v>25</v>
      </c>
      <c r="I658" t="s">
        <v>78</v>
      </c>
      <c r="J658">
        <f t="shared" si="42"/>
        <v>19</v>
      </c>
      <c r="K658">
        <v>19</v>
      </c>
      <c r="L658" s="5">
        <f t="shared" si="43"/>
        <v>20</v>
      </c>
      <c r="M658" s="2">
        <v>20</v>
      </c>
      <c r="N658" s="2">
        <f>IF(O658&gt;=90%,5,IF(O658&gt;=80%,4,IF(O658&gt;=70%,3,IF(O658&gt;=60%,2,1))))</f>
        <v>4</v>
      </c>
      <c r="O658" s="3">
        <v>0.87</v>
      </c>
      <c r="P658" t="s">
        <v>65</v>
      </c>
      <c r="Q658" t="s">
        <v>20</v>
      </c>
      <c r="R658">
        <v>16</v>
      </c>
      <c r="S658">
        <v>5</v>
      </c>
    </row>
    <row r="659" spans="1:19" x14ac:dyDescent="0.3">
      <c r="A659" t="s">
        <v>1394</v>
      </c>
      <c r="B659" t="s">
        <v>1395</v>
      </c>
      <c r="C659" t="str">
        <f t="shared" si="40"/>
        <v>Female</v>
      </c>
      <c r="D659" t="s">
        <v>36</v>
      </c>
      <c r="E659">
        <f t="shared" si="41"/>
        <v>36</v>
      </c>
      <c r="F659">
        <v>36</v>
      </c>
      <c r="G659" t="s">
        <v>57</v>
      </c>
      <c r="H659" t="s">
        <v>25</v>
      </c>
      <c r="I659" t="s">
        <v>110</v>
      </c>
      <c r="J659">
        <f t="shared" si="42"/>
        <v>9</v>
      </c>
      <c r="K659">
        <v>9</v>
      </c>
      <c r="L659" s="5">
        <f t="shared" si="43"/>
        <v>20</v>
      </c>
      <c r="M659" s="2">
        <v>20</v>
      </c>
      <c r="N659" s="2">
        <f>IF(O659&gt;=90%,5,IF(O659&gt;=80%,4,IF(O659&gt;=70%,3,IF(O659&gt;=60%,2,1))))</f>
        <v>2</v>
      </c>
      <c r="O659" s="3">
        <v>0.68</v>
      </c>
      <c r="P659" t="s">
        <v>65</v>
      </c>
      <c r="Q659" t="s">
        <v>33</v>
      </c>
      <c r="R659">
        <v>9</v>
      </c>
      <c r="S659">
        <v>10</v>
      </c>
    </row>
    <row r="660" spans="1:19" x14ac:dyDescent="0.3">
      <c r="A660" t="s">
        <v>1396</v>
      </c>
      <c r="B660" t="s">
        <v>1397</v>
      </c>
      <c r="C660" t="str">
        <f t="shared" si="40"/>
        <v>Female</v>
      </c>
      <c r="D660" t="s">
        <v>77</v>
      </c>
      <c r="E660">
        <f t="shared" si="41"/>
        <v>52</v>
      </c>
      <c r="F660">
        <v>52</v>
      </c>
      <c r="G660" t="s">
        <v>124</v>
      </c>
      <c r="H660" t="s">
        <v>25</v>
      </c>
      <c r="I660" t="s">
        <v>74</v>
      </c>
      <c r="J660">
        <f t="shared" si="42"/>
        <v>16</v>
      </c>
      <c r="K660">
        <v>16</v>
      </c>
      <c r="L660" s="5">
        <f t="shared" si="43"/>
        <v>100</v>
      </c>
      <c r="M660" s="2">
        <v>100</v>
      </c>
      <c r="N660" s="2">
        <f>IF(O660&gt;=90%,5,IF(O660&gt;=80%,4,IF(O660&gt;=70%,3,IF(O660&gt;=60%,2,1))))</f>
        <v>1</v>
      </c>
      <c r="O660" s="3">
        <v>0.5</v>
      </c>
      <c r="P660" t="s">
        <v>69</v>
      </c>
      <c r="Q660" t="s">
        <v>20</v>
      </c>
      <c r="R660">
        <v>10</v>
      </c>
      <c r="S660">
        <v>11</v>
      </c>
    </row>
    <row r="661" spans="1:19" x14ac:dyDescent="0.3">
      <c r="A661" t="s">
        <v>1398</v>
      </c>
      <c r="B661" t="s">
        <v>1399</v>
      </c>
      <c r="C661" t="str">
        <f t="shared" si="40"/>
        <v>Female</v>
      </c>
      <c r="D661" t="s">
        <v>77</v>
      </c>
      <c r="E661">
        <f t="shared" si="41"/>
        <v>42</v>
      </c>
      <c r="F661">
        <v>42</v>
      </c>
      <c r="G661" t="s">
        <v>42</v>
      </c>
      <c r="H661" t="s">
        <v>43</v>
      </c>
      <c r="I661" t="s">
        <v>26</v>
      </c>
      <c r="J661">
        <f t="shared" si="42"/>
        <v>8</v>
      </c>
      <c r="K661">
        <v>8</v>
      </c>
      <c r="L661" s="5" t="str">
        <f t="shared" si="43"/>
        <v>$50</v>
      </c>
      <c r="M661" s="2" t="s">
        <v>64</v>
      </c>
      <c r="N661" s="2">
        <f>IF(O661&gt;=90%,5,IF(O661&gt;=80%,4,IF(O661&gt;=70%,3,IF(O661&gt;=60%,2,1))))</f>
        <v>1</v>
      </c>
      <c r="O661" s="3">
        <v>0.5</v>
      </c>
      <c r="P661" t="s">
        <v>19</v>
      </c>
      <c r="Q661" t="s">
        <v>27</v>
      </c>
      <c r="R661">
        <v>6</v>
      </c>
      <c r="S661">
        <v>11</v>
      </c>
    </row>
    <row r="662" spans="1:19" x14ac:dyDescent="0.3">
      <c r="A662" t="s">
        <v>1400</v>
      </c>
      <c r="B662" t="s">
        <v>1401</v>
      </c>
      <c r="C662" t="str">
        <f t="shared" si="40"/>
        <v>Female</v>
      </c>
      <c r="D662" t="s">
        <v>23</v>
      </c>
      <c r="E662">
        <f t="shared" si="41"/>
        <v>59</v>
      </c>
      <c r="F662">
        <v>59</v>
      </c>
      <c r="G662" t="s">
        <v>91</v>
      </c>
      <c r="H662" t="s">
        <v>92</v>
      </c>
      <c r="I662" t="s">
        <v>26</v>
      </c>
      <c r="J662">
        <f t="shared" si="42"/>
        <v>34</v>
      </c>
      <c r="K662">
        <v>34</v>
      </c>
      <c r="L662" s="5">
        <f t="shared" si="43"/>
        <v>100</v>
      </c>
      <c r="M662" s="2">
        <v>100</v>
      </c>
      <c r="N662" s="2">
        <f>IF(O662&gt;=90%,5,IF(O662&gt;=80%,4,IF(O662&gt;=70%,3,IF(O662&gt;=60%,2,1))))</f>
        <v>3</v>
      </c>
      <c r="O662" s="3">
        <v>0.79</v>
      </c>
      <c r="P662" t="s">
        <v>19</v>
      </c>
      <c r="Q662" t="s">
        <v>58</v>
      </c>
      <c r="R662">
        <v>18</v>
      </c>
      <c r="S662">
        <v>8</v>
      </c>
    </row>
    <row r="663" spans="1:19" x14ac:dyDescent="0.3">
      <c r="A663" t="s">
        <v>1402</v>
      </c>
      <c r="B663" t="s">
        <v>1403</v>
      </c>
      <c r="C663" t="str">
        <f t="shared" si="40"/>
        <v>Male</v>
      </c>
      <c r="D663" t="s">
        <v>30</v>
      </c>
      <c r="E663">
        <f t="shared" si="41"/>
        <v>33</v>
      </c>
      <c r="F663">
        <v>33</v>
      </c>
      <c r="G663" t="s">
        <v>42</v>
      </c>
      <c r="H663" t="s">
        <v>43</v>
      </c>
      <c r="I663" t="s">
        <v>26</v>
      </c>
      <c r="J663">
        <f t="shared" si="42"/>
        <v>5</v>
      </c>
      <c r="K663">
        <v>5</v>
      </c>
      <c r="L663" s="5" t="str">
        <f t="shared" si="43"/>
        <v>$50</v>
      </c>
      <c r="M663" s="2" t="s">
        <v>64</v>
      </c>
      <c r="N663" s="2">
        <f>IF(O663&gt;=90%,5,IF(O663&gt;=80%,4,IF(O663&gt;=70%,3,IF(O663&gt;=60%,2,1))))</f>
        <v>4</v>
      </c>
      <c r="O663" s="3">
        <v>0.88</v>
      </c>
      <c r="P663" t="s">
        <v>65</v>
      </c>
      <c r="Q663" t="s">
        <v>58</v>
      </c>
      <c r="R663">
        <v>4</v>
      </c>
      <c r="S663">
        <v>2</v>
      </c>
    </row>
    <row r="664" spans="1:19" x14ac:dyDescent="0.3">
      <c r="A664" t="s">
        <v>1404</v>
      </c>
      <c r="B664" t="s">
        <v>1405</v>
      </c>
      <c r="C664" t="str">
        <f t="shared" si="40"/>
        <v>Female</v>
      </c>
      <c r="D664" t="s">
        <v>36</v>
      </c>
      <c r="E664">
        <f t="shared" si="41"/>
        <v>55</v>
      </c>
      <c r="F664">
        <v>55</v>
      </c>
      <c r="G664" t="s">
        <v>124</v>
      </c>
      <c r="H664" t="s">
        <v>25</v>
      </c>
      <c r="I664" t="s">
        <v>37</v>
      </c>
      <c r="J664">
        <f t="shared" si="42"/>
        <v>14</v>
      </c>
      <c r="K664">
        <v>14</v>
      </c>
      <c r="L664" s="5" t="str">
        <f t="shared" si="43"/>
        <v>$50</v>
      </c>
      <c r="M664" s="2" t="s">
        <v>64</v>
      </c>
      <c r="N664" s="2">
        <f>IF(O664&gt;=90%,5,IF(O664&gt;=80%,4,IF(O664&gt;=70%,3,IF(O664&gt;=60%,2,1))))</f>
        <v>4</v>
      </c>
      <c r="O664" s="3">
        <v>0.81</v>
      </c>
      <c r="P664" t="s">
        <v>69</v>
      </c>
      <c r="Q664" t="s">
        <v>58</v>
      </c>
      <c r="R664">
        <v>9</v>
      </c>
      <c r="S664">
        <v>7</v>
      </c>
    </row>
    <row r="665" spans="1:19" x14ac:dyDescent="0.3">
      <c r="A665" t="s">
        <v>1406</v>
      </c>
      <c r="B665" t="s">
        <v>1407</v>
      </c>
      <c r="C665" t="str">
        <f t="shared" si="40"/>
        <v>Male</v>
      </c>
      <c r="D665" t="s">
        <v>30</v>
      </c>
      <c r="E665">
        <f t="shared" si="41"/>
        <v>47</v>
      </c>
      <c r="F665">
        <v>47</v>
      </c>
      <c r="G665" t="s">
        <v>108</v>
      </c>
      <c r="H665" t="s">
        <v>109</v>
      </c>
      <c r="I665" t="s">
        <v>74</v>
      </c>
      <c r="J665">
        <f t="shared" si="42"/>
        <v>17</v>
      </c>
      <c r="K665">
        <v>17</v>
      </c>
      <c r="L665" s="5">
        <f t="shared" si="43"/>
        <v>50</v>
      </c>
      <c r="M665" s="2">
        <v>50</v>
      </c>
      <c r="N665" s="2">
        <f>IF(O665&gt;=90%,5,IF(O665&gt;=80%,4,IF(O665&gt;=70%,3,IF(O665&gt;=60%,2,1))))</f>
        <v>1</v>
      </c>
      <c r="O665" s="3">
        <v>0.5</v>
      </c>
      <c r="P665" t="s">
        <v>19</v>
      </c>
      <c r="Q665" t="s">
        <v>33</v>
      </c>
      <c r="R665">
        <v>14</v>
      </c>
      <c r="S665">
        <v>5</v>
      </c>
    </row>
    <row r="666" spans="1:19" x14ac:dyDescent="0.3">
      <c r="A666" t="s">
        <v>1408</v>
      </c>
      <c r="B666" t="s">
        <v>1409</v>
      </c>
      <c r="C666" t="str">
        <f t="shared" si="40"/>
        <v>Female</v>
      </c>
      <c r="D666" t="s">
        <v>23</v>
      </c>
      <c r="E666">
        <f t="shared" si="41"/>
        <v>29</v>
      </c>
      <c r="F666">
        <v>29</v>
      </c>
      <c r="G666" t="s">
        <v>172</v>
      </c>
      <c r="H666" t="s">
        <v>73</v>
      </c>
      <c r="I666" t="s">
        <v>44</v>
      </c>
      <c r="J666">
        <f t="shared" si="42"/>
        <v>10</v>
      </c>
      <c r="K666">
        <v>10</v>
      </c>
      <c r="L666" s="5">
        <f t="shared" si="43"/>
        <v>76.818181818181813</v>
      </c>
      <c r="N666" s="2">
        <f>IF(O666&gt;=90%,5,IF(O666&gt;=80%,4,IF(O666&gt;=70%,3,IF(O666&gt;=60%,2,1))))</f>
        <v>2</v>
      </c>
      <c r="O666" s="3">
        <v>0.67</v>
      </c>
      <c r="P666" t="s">
        <v>65</v>
      </c>
      <c r="Q666" t="s">
        <v>20</v>
      </c>
      <c r="R666">
        <v>15</v>
      </c>
      <c r="S666">
        <v>5</v>
      </c>
    </row>
    <row r="667" spans="1:19" x14ac:dyDescent="0.3">
      <c r="A667" t="s">
        <v>1410</v>
      </c>
      <c r="B667" t="s">
        <v>1411</v>
      </c>
      <c r="C667" t="str">
        <f t="shared" si="40"/>
        <v>Female</v>
      </c>
      <c r="D667" t="s">
        <v>77</v>
      </c>
      <c r="E667">
        <f t="shared" si="41"/>
        <v>30</v>
      </c>
      <c r="F667">
        <v>30</v>
      </c>
      <c r="G667" t="s">
        <v>68</v>
      </c>
      <c r="H667" t="s">
        <v>25</v>
      </c>
      <c r="I667" t="s">
        <v>87</v>
      </c>
      <c r="J667">
        <f t="shared" si="42"/>
        <v>8</v>
      </c>
      <c r="K667">
        <v>8</v>
      </c>
      <c r="L667" s="5">
        <f t="shared" si="43"/>
        <v>100</v>
      </c>
      <c r="M667" s="2">
        <v>100</v>
      </c>
      <c r="N667" s="2">
        <f>IF(O667&gt;=90%,5,IF(O667&gt;=80%,4,IF(O667&gt;=70%,3,IF(O667&gt;=60%,2,1))))</f>
        <v>2</v>
      </c>
      <c r="O667" s="3">
        <v>0.62</v>
      </c>
      <c r="P667" t="s">
        <v>46</v>
      </c>
      <c r="Q667" t="s">
        <v>27</v>
      </c>
      <c r="R667">
        <v>14</v>
      </c>
      <c r="S667">
        <v>5</v>
      </c>
    </row>
    <row r="668" spans="1:19" x14ac:dyDescent="0.3">
      <c r="A668" t="s">
        <v>1412</v>
      </c>
      <c r="B668" t="s">
        <v>1413</v>
      </c>
      <c r="C668" t="str">
        <f t="shared" si="40"/>
        <v>Female</v>
      </c>
      <c r="D668" t="s">
        <v>23</v>
      </c>
      <c r="E668">
        <f t="shared" si="41"/>
        <v>25</v>
      </c>
      <c r="F668">
        <v>25</v>
      </c>
      <c r="G668" t="s">
        <v>124</v>
      </c>
      <c r="H668" t="s">
        <v>25</v>
      </c>
      <c r="I668" t="s">
        <v>87</v>
      </c>
      <c r="J668">
        <f t="shared" si="42"/>
        <v>1</v>
      </c>
      <c r="K668">
        <v>1</v>
      </c>
      <c r="L668" s="5" t="str">
        <f t="shared" si="43"/>
        <v>$30</v>
      </c>
      <c r="M668" s="2" t="s">
        <v>45</v>
      </c>
      <c r="N668" s="2">
        <f>IF(O668&gt;=90%,5,IF(O668&gt;=80%,4,IF(O668&gt;=70%,3,IF(O668&gt;=60%,2,1))))</f>
        <v>4</v>
      </c>
      <c r="O668" s="3">
        <v>0.87</v>
      </c>
      <c r="P668" t="s">
        <v>19</v>
      </c>
      <c r="Q668" t="s">
        <v>27</v>
      </c>
      <c r="R668">
        <v>3</v>
      </c>
      <c r="S668">
        <v>2</v>
      </c>
    </row>
    <row r="669" spans="1:19" x14ac:dyDescent="0.3">
      <c r="A669" t="s">
        <v>1414</v>
      </c>
      <c r="B669" t="s">
        <v>1415</v>
      </c>
      <c r="C669" t="str">
        <f t="shared" si="40"/>
        <v>Female</v>
      </c>
      <c r="D669" t="s">
        <v>39</v>
      </c>
      <c r="E669">
        <f t="shared" si="41"/>
        <v>28</v>
      </c>
      <c r="F669">
        <v>28</v>
      </c>
      <c r="G669" t="s">
        <v>135</v>
      </c>
      <c r="H669" t="s">
        <v>136</v>
      </c>
      <c r="I669" t="s">
        <v>78</v>
      </c>
      <c r="J669">
        <f t="shared" si="42"/>
        <v>10</v>
      </c>
      <c r="K669">
        <v>10</v>
      </c>
      <c r="L669" s="5">
        <f t="shared" si="43"/>
        <v>74.5</v>
      </c>
      <c r="N669" s="2">
        <f>IF(O669&gt;=90%,5,IF(O669&gt;=80%,4,IF(O669&gt;=70%,3,IF(O669&gt;=60%,2,1))))</f>
        <v>5</v>
      </c>
      <c r="O669" s="3">
        <v>0.98</v>
      </c>
      <c r="P669" t="s">
        <v>69</v>
      </c>
      <c r="Q669" t="s">
        <v>33</v>
      </c>
      <c r="R669">
        <v>12</v>
      </c>
      <c r="S669">
        <v>11</v>
      </c>
    </row>
    <row r="670" spans="1:19" x14ac:dyDescent="0.3">
      <c r="A670" t="s">
        <v>1416</v>
      </c>
      <c r="B670" t="s">
        <v>1417</v>
      </c>
      <c r="C670" t="str">
        <f t="shared" si="40"/>
        <v>Male</v>
      </c>
      <c r="D670" t="s">
        <v>30</v>
      </c>
      <c r="E670">
        <f t="shared" si="41"/>
        <v>29</v>
      </c>
      <c r="F670">
        <v>29</v>
      </c>
      <c r="G670" t="s">
        <v>108</v>
      </c>
      <c r="H670" t="s">
        <v>109</v>
      </c>
      <c r="I670" t="s">
        <v>18</v>
      </c>
      <c r="J670">
        <f t="shared" si="42"/>
        <v>0</v>
      </c>
      <c r="K670">
        <v>0</v>
      </c>
      <c r="L670" s="5" t="str">
        <f t="shared" si="43"/>
        <v>$75</v>
      </c>
      <c r="M670" s="2" t="s">
        <v>163</v>
      </c>
      <c r="N670" s="2">
        <f>IF(O670&gt;=90%,5,IF(O670&gt;=80%,4,IF(O670&gt;=70%,3,IF(O670&gt;=60%,2,1))))</f>
        <v>2</v>
      </c>
      <c r="O670" s="3">
        <v>0.64</v>
      </c>
      <c r="P670" t="s">
        <v>69</v>
      </c>
      <c r="Q670" t="s">
        <v>27</v>
      </c>
      <c r="R670">
        <v>5</v>
      </c>
      <c r="S670">
        <v>4</v>
      </c>
    </row>
    <row r="671" spans="1:19" x14ac:dyDescent="0.3">
      <c r="A671" t="s">
        <v>1418</v>
      </c>
      <c r="B671" t="s">
        <v>1419</v>
      </c>
      <c r="C671" t="str">
        <f t="shared" si="40"/>
        <v>Male</v>
      </c>
      <c r="D671" t="s">
        <v>95</v>
      </c>
      <c r="E671">
        <f t="shared" si="41"/>
        <v>30</v>
      </c>
      <c r="F671">
        <v>30</v>
      </c>
      <c r="G671" t="s">
        <v>183</v>
      </c>
      <c r="H671" t="s">
        <v>73</v>
      </c>
      <c r="I671" t="s">
        <v>32</v>
      </c>
      <c r="J671">
        <f t="shared" si="42"/>
        <v>4</v>
      </c>
      <c r="K671">
        <v>4</v>
      </c>
      <c r="L671" s="5">
        <f t="shared" si="43"/>
        <v>74.5</v>
      </c>
      <c r="N671" s="2">
        <f>IF(O671&gt;=90%,5,IF(O671&gt;=80%,4,IF(O671&gt;=70%,3,IF(O671&gt;=60%,2,1))))</f>
        <v>3</v>
      </c>
      <c r="O671" s="3">
        <v>0.71</v>
      </c>
      <c r="P671" t="s">
        <v>69</v>
      </c>
      <c r="Q671" t="s">
        <v>27</v>
      </c>
      <c r="R671">
        <v>4</v>
      </c>
      <c r="S671">
        <v>1</v>
      </c>
    </row>
    <row r="672" spans="1:19" x14ac:dyDescent="0.3">
      <c r="A672" t="s">
        <v>1420</v>
      </c>
      <c r="B672" t="s">
        <v>1421</v>
      </c>
      <c r="C672" t="str">
        <f t="shared" si="40"/>
        <v>Male</v>
      </c>
      <c r="D672" t="s">
        <v>30</v>
      </c>
      <c r="E672">
        <f t="shared" si="41"/>
        <v>47</v>
      </c>
      <c r="F672">
        <v>47</v>
      </c>
      <c r="G672" t="s">
        <v>135</v>
      </c>
      <c r="H672" t="s">
        <v>136</v>
      </c>
      <c r="I672" t="s">
        <v>44</v>
      </c>
      <c r="J672">
        <f t="shared" si="42"/>
        <v>2</v>
      </c>
      <c r="K672">
        <v>2</v>
      </c>
      <c r="L672" s="5">
        <f t="shared" si="43"/>
        <v>50</v>
      </c>
      <c r="M672" s="2">
        <v>50</v>
      </c>
      <c r="N672" s="2">
        <f>IF(O672&gt;=90%,5,IF(O672&gt;=80%,4,IF(O672&gt;=70%,3,IF(O672&gt;=60%,2,1))))</f>
        <v>5</v>
      </c>
      <c r="O672" s="3">
        <v>0.96</v>
      </c>
      <c r="P672" t="s">
        <v>46</v>
      </c>
      <c r="Q672" t="s">
        <v>27</v>
      </c>
      <c r="R672">
        <v>4</v>
      </c>
      <c r="S672">
        <v>1</v>
      </c>
    </row>
    <row r="673" spans="1:19" x14ac:dyDescent="0.3">
      <c r="A673" t="s">
        <v>1422</v>
      </c>
      <c r="B673" t="s">
        <v>1423</v>
      </c>
      <c r="C673" t="str">
        <f t="shared" si="40"/>
        <v>Male</v>
      </c>
      <c r="D673" t="s">
        <v>61</v>
      </c>
      <c r="E673">
        <f t="shared" si="41"/>
        <v>34</v>
      </c>
      <c r="F673">
        <v>34</v>
      </c>
      <c r="G673" t="s">
        <v>24</v>
      </c>
      <c r="H673" t="s">
        <v>25</v>
      </c>
      <c r="I673" t="s">
        <v>18</v>
      </c>
      <c r="J673">
        <f t="shared" si="42"/>
        <v>10</v>
      </c>
      <c r="K673">
        <v>10</v>
      </c>
      <c r="L673" s="5" t="str">
        <f t="shared" si="43"/>
        <v>$30</v>
      </c>
      <c r="M673" s="2" t="s">
        <v>45</v>
      </c>
      <c r="N673" s="2">
        <f>IF(O673&gt;=90%,5,IF(O673&gt;=80%,4,IF(O673&gt;=70%,3,IF(O673&gt;=60%,2,1))))</f>
        <v>1</v>
      </c>
      <c r="O673" s="3">
        <v>0.5</v>
      </c>
      <c r="P673" t="s">
        <v>19</v>
      </c>
      <c r="Q673" t="s">
        <v>27</v>
      </c>
      <c r="R673">
        <v>12</v>
      </c>
      <c r="S673">
        <v>13</v>
      </c>
    </row>
    <row r="674" spans="1:19" x14ac:dyDescent="0.3">
      <c r="A674" t="s">
        <v>1424</v>
      </c>
      <c r="B674" t="s">
        <v>1425</v>
      </c>
      <c r="C674" t="str">
        <f t="shared" si="40"/>
        <v>Male</v>
      </c>
      <c r="D674" t="s">
        <v>90</v>
      </c>
      <c r="E674">
        <f t="shared" si="41"/>
        <v>45</v>
      </c>
      <c r="F674">
        <v>45</v>
      </c>
      <c r="G674" t="s">
        <v>57</v>
      </c>
      <c r="H674" t="s">
        <v>25</v>
      </c>
      <c r="I674" t="s">
        <v>32</v>
      </c>
      <c r="J674">
        <f t="shared" si="42"/>
        <v>16</v>
      </c>
      <c r="K674">
        <v>16</v>
      </c>
      <c r="L674" s="5">
        <f t="shared" si="43"/>
        <v>100</v>
      </c>
      <c r="M674" s="2">
        <v>100</v>
      </c>
      <c r="N674" s="2">
        <f>IF(O674&gt;=90%,5,IF(O674&gt;=80%,4,IF(O674&gt;=70%,3,IF(O674&gt;=60%,2,1))))</f>
        <v>3</v>
      </c>
      <c r="O674" s="3">
        <v>0.78</v>
      </c>
      <c r="P674" t="s">
        <v>19</v>
      </c>
      <c r="Q674" t="s">
        <v>20</v>
      </c>
      <c r="R674">
        <v>15</v>
      </c>
      <c r="S674">
        <v>7</v>
      </c>
    </row>
    <row r="675" spans="1:19" x14ac:dyDescent="0.3">
      <c r="A675" t="s">
        <v>1426</v>
      </c>
      <c r="B675" t="s">
        <v>1427</v>
      </c>
      <c r="C675" t="str">
        <f t="shared" si="40"/>
        <v>Female</v>
      </c>
      <c r="D675" t="s">
        <v>36</v>
      </c>
      <c r="E675">
        <f t="shared" si="41"/>
        <v>56</v>
      </c>
      <c r="F675">
        <v>56</v>
      </c>
      <c r="G675" t="s">
        <v>183</v>
      </c>
      <c r="H675" t="s">
        <v>73</v>
      </c>
      <c r="I675" t="s">
        <v>78</v>
      </c>
      <c r="J675">
        <f t="shared" si="42"/>
        <v>27</v>
      </c>
      <c r="K675">
        <v>27</v>
      </c>
      <c r="L675" s="5" t="str">
        <f t="shared" si="43"/>
        <v>$20</v>
      </c>
      <c r="M675" s="2" t="s">
        <v>117</v>
      </c>
      <c r="N675" s="2">
        <f>IF(O675&gt;=90%,5,IF(O675&gt;=80%,4,IF(O675&gt;=70%,3,IF(O675&gt;=60%,2,1))))</f>
        <v>3</v>
      </c>
      <c r="O675" s="3">
        <v>0.7</v>
      </c>
      <c r="P675" t="s">
        <v>46</v>
      </c>
      <c r="Q675" t="s">
        <v>27</v>
      </c>
      <c r="R675">
        <v>19</v>
      </c>
      <c r="S675">
        <v>3</v>
      </c>
    </row>
    <row r="676" spans="1:19" x14ac:dyDescent="0.3">
      <c r="A676" t="s">
        <v>1428</v>
      </c>
      <c r="B676" t="s">
        <v>1429</v>
      </c>
      <c r="C676" t="str">
        <f t="shared" si="40"/>
        <v>Female</v>
      </c>
      <c r="D676" t="s">
        <v>39</v>
      </c>
      <c r="E676">
        <f t="shared" si="41"/>
        <v>49</v>
      </c>
      <c r="F676">
        <v>49</v>
      </c>
      <c r="G676" t="s">
        <v>168</v>
      </c>
      <c r="H676" t="s">
        <v>169</v>
      </c>
      <c r="I676" t="s">
        <v>87</v>
      </c>
      <c r="J676">
        <f t="shared" si="42"/>
        <v>20</v>
      </c>
      <c r="K676">
        <v>20</v>
      </c>
      <c r="L676" s="5">
        <f t="shared" si="43"/>
        <v>50</v>
      </c>
      <c r="M676" s="2">
        <v>50</v>
      </c>
      <c r="N676" s="2">
        <f>IF(O676&gt;=90%,5,IF(O676&gt;=80%,4,IF(O676&gt;=70%,3,IF(O676&gt;=60%,2,1))))</f>
        <v>4</v>
      </c>
      <c r="O676" s="3">
        <v>0.82</v>
      </c>
      <c r="P676" t="s">
        <v>19</v>
      </c>
      <c r="Q676" t="s">
        <v>58</v>
      </c>
      <c r="R676">
        <v>15</v>
      </c>
      <c r="S676">
        <v>11</v>
      </c>
    </row>
    <row r="677" spans="1:19" x14ac:dyDescent="0.3">
      <c r="A677" t="s">
        <v>1430</v>
      </c>
      <c r="B677" t="s">
        <v>1431</v>
      </c>
      <c r="C677" t="str">
        <f t="shared" si="40"/>
        <v>Male</v>
      </c>
      <c r="D677" t="s">
        <v>61</v>
      </c>
      <c r="E677">
        <f t="shared" si="41"/>
        <v>48</v>
      </c>
      <c r="F677">
        <v>48</v>
      </c>
      <c r="G677" t="s">
        <v>131</v>
      </c>
      <c r="H677" t="s">
        <v>132</v>
      </c>
      <c r="I677" t="s">
        <v>44</v>
      </c>
      <c r="J677">
        <f t="shared" si="42"/>
        <v>10</v>
      </c>
      <c r="K677">
        <v>10</v>
      </c>
      <c r="L677" s="5">
        <f t="shared" si="43"/>
        <v>77.857142857142861</v>
      </c>
      <c r="N677" s="2">
        <f>IF(O677&gt;=90%,5,IF(O677&gt;=80%,4,IF(O677&gt;=70%,3,IF(O677&gt;=60%,2,1))))</f>
        <v>1</v>
      </c>
      <c r="O677" s="3">
        <v>0.5</v>
      </c>
      <c r="P677" t="s">
        <v>46</v>
      </c>
      <c r="Q677" t="s">
        <v>33</v>
      </c>
      <c r="R677">
        <v>13</v>
      </c>
      <c r="S677">
        <v>4</v>
      </c>
    </row>
    <row r="678" spans="1:19" x14ac:dyDescent="0.3">
      <c r="A678" t="s">
        <v>1432</v>
      </c>
      <c r="B678" t="s">
        <v>1433</v>
      </c>
      <c r="C678" t="str">
        <f t="shared" si="40"/>
        <v>Female</v>
      </c>
      <c r="D678" t="s">
        <v>39</v>
      </c>
      <c r="E678">
        <f t="shared" si="41"/>
        <v>29</v>
      </c>
      <c r="F678">
        <v>29</v>
      </c>
      <c r="G678" t="s">
        <v>108</v>
      </c>
      <c r="H678" t="s">
        <v>109</v>
      </c>
      <c r="I678" t="s">
        <v>32</v>
      </c>
      <c r="J678">
        <f t="shared" si="42"/>
        <v>0</v>
      </c>
      <c r="K678">
        <v>0</v>
      </c>
      <c r="L678" s="5" t="str">
        <f t="shared" si="43"/>
        <v>$20</v>
      </c>
      <c r="M678" s="2" t="s">
        <v>117</v>
      </c>
      <c r="N678" s="2">
        <f>IF(O678&gt;=90%,5,IF(O678&gt;=80%,4,IF(O678&gt;=70%,3,IF(O678&gt;=60%,2,1))))</f>
        <v>5</v>
      </c>
      <c r="O678" s="3">
        <v>0.99</v>
      </c>
      <c r="P678" t="s">
        <v>46</v>
      </c>
      <c r="Q678" t="s">
        <v>20</v>
      </c>
      <c r="R678">
        <v>3</v>
      </c>
      <c r="S678">
        <v>2</v>
      </c>
    </row>
    <row r="679" spans="1:19" x14ac:dyDescent="0.3">
      <c r="A679" t="s">
        <v>1434</v>
      </c>
      <c r="B679" t="s">
        <v>1435</v>
      </c>
      <c r="C679" t="str">
        <f t="shared" si="40"/>
        <v>Female</v>
      </c>
      <c r="D679" t="s">
        <v>77</v>
      </c>
      <c r="E679">
        <f t="shared" si="41"/>
        <v>49</v>
      </c>
      <c r="F679">
        <v>49</v>
      </c>
      <c r="G679" t="s">
        <v>42</v>
      </c>
      <c r="H679" t="s">
        <v>43</v>
      </c>
      <c r="I679" t="s">
        <v>37</v>
      </c>
      <c r="J679">
        <f t="shared" si="42"/>
        <v>11</v>
      </c>
      <c r="K679">
        <v>11</v>
      </c>
      <c r="L679" s="5">
        <f t="shared" si="43"/>
        <v>75</v>
      </c>
      <c r="M679" s="2">
        <v>75</v>
      </c>
      <c r="N679" s="2">
        <f>IF(O679&gt;=90%,5,IF(O679&gt;=80%,4,IF(O679&gt;=70%,3,IF(O679&gt;=60%,2,1))))</f>
        <v>5</v>
      </c>
      <c r="O679" s="3">
        <v>0.93</v>
      </c>
      <c r="P679" t="s">
        <v>46</v>
      </c>
      <c r="Q679" t="s">
        <v>27</v>
      </c>
      <c r="R679">
        <v>13</v>
      </c>
      <c r="S679">
        <v>5</v>
      </c>
    </row>
    <row r="680" spans="1:19" x14ac:dyDescent="0.3">
      <c r="A680" t="s">
        <v>1436</v>
      </c>
      <c r="B680" t="s">
        <v>1437</v>
      </c>
      <c r="C680" t="str">
        <f t="shared" si="40"/>
        <v>Female</v>
      </c>
      <c r="D680" t="s">
        <v>23</v>
      </c>
      <c r="E680">
        <f t="shared" si="41"/>
        <v>22</v>
      </c>
      <c r="F680">
        <v>22</v>
      </c>
      <c r="G680" t="s">
        <v>168</v>
      </c>
      <c r="H680" t="s">
        <v>169</v>
      </c>
      <c r="I680" t="s">
        <v>18</v>
      </c>
      <c r="J680">
        <f t="shared" si="42"/>
        <v>1</v>
      </c>
      <c r="K680">
        <v>1</v>
      </c>
      <c r="L680" s="5">
        <f t="shared" si="43"/>
        <v>100</v>
      </c>
      <c r="M680" s="2">
        <v>100</v>
      </c>
      <c r="N680" s="2">
        <f>IF(O680&gt;=90%,5,IF(O680&gt;=80%,4,IF(O680&gt;=70%,3,IF(O680&gt;=60%,2,1))))</f>
        <v>3</v>
      </c>
      <c r="O680" s="3">
        <v>0.75</v>
      </c>
      <c r="P680" t="s">
        <v>69</v>
      </c>
      <c r="Q680" t="s">
        <v>20</v>
      </c>
      <c r="R680">
        <v>1</v>
      </c>
      <c r="S680">
        <v>1</v>
      </c>
    </row>
    <row r="681" spans="1:19" x14ac:dyDescent="0.3">
      <c r="A681" t="s">
        <v>1438</v>
      </c>
      <c r="B681" t="s">
        <v>1439</v>
      </c>
      <c r="C681" t="str">
        <f t="shared" si="40"/>
        <v>Male</v>
      </c>
      <c r="D681" t="s">
        <v>49</v>
      </c>
      <c r="E681">
        <f t="shared" si="41"/>
        <v>52</v>
      </c>
      <c r="F681">
        <v>52</v>
      </c>
      <c r="G681" t="s">
        <v>172</v>
      </c>
      <c r="H681" t="s">
        <v>73</v>
      </c>
      <c r="I681" t="s">
        <v>32</v>
      </c>
      <c r="J681">
        <f t="shared" si="42"/>
        <v>30</v>
      </c>
      <c r="K681">
        <v>30</v>
      </c>
      <c r="L681" s="5" t="str">
        <f t="shared" si="43"/>
        <v>$100</v>
      </c>
      <c r="M681" s="2" t="s">
        <v>222</v>
      </c>
      <c r="N681" s="2">
        <f>IF(O681&gt;=90%,5,IF(O681&gt;=80%,4,IF(O681&gt;=70%,3,IF(O681&gt;=60%,2,1))))</f>
        <v>2</v>
      </c>
      <c r="O681" s="3">
        <v>0.61</v>
      </c>
      <c r="P681" t="s">
        <v>19</v>
      </c>
      <c r="Q681" t="s">
        <v>27</v>
      </c>
      <c r="R681">
        <v>19</v>
      </c>
      <c r="S681">
        <v>14</v>
      </c>
    </row>
    <row r="682" spans="1:19" x14ac:dyDescent="0.3">
      <c r="A682" t="s">
        <v>1440</v>
      </c>
      <c r="B682" t="s">
        <v>1441</v>
      </c>
      <c r="C682" t="str">
        <f t="shared" si="40"/>
        <v>Male</v>
      </c>
      <c r="D682" t="s">
        <v>61</v>
      </c>
      <c r="E682">
        <f t="shared" si="41"/>
        <v>60</v>
      </c>
      <c r="F682">
        <v>60</v>
      </c>
      <c r="G682" t="s">
        <v>124</v>
      </c>
      <c r="H682" t="s">
        <v>25</v>
      </c>
      <c r="I682" t="s">
        <v>18</v>
      </c>
      <c r="J682">
        <f t="shared" si="42"/>
        <v>7</v>
      </c>
      <c r="K682">
        <v>7</v>
      </c>
      <c r="L682" s="5" t="str">
        <f t="shared" si="43"/>
        <v>$30</v>
      </c>
      <c r="M682" s="2" t="s">
        <v>45</v>
      </c>
      <c r="N682" s="2">
        <f>IF(O682&gt;=90%,5,IF(O682&gt;=80%,4,IF(O682&gt;=70%,3,IF(O682&gt;=60%,2,1))))</f>
        <v>5</v>
      </c>
      <c r="O682" s="3">
        <v>0.97</v>
      </c>
      <c r="P682" t="s">
        <v>46</v>
      </c>
      <c r="Q682" t="s">
        <v>58</v>
      </c>
      <c r="R682">
        <v>9</v>
      </c>
      <c r="S682">
        <v>8</v>
      </c>
    </row>
    <row r="683" spans="1:19" x14ac:dyDescent="0.3">
      <c r="A683" t="s">
        <v>1442</v>
      </c>
      <c r="B683" t="s">
        <v>1443</v>
      </c>
      <c r="C683" t="str">
        <f t="shared" si="40"/>
        <v>Female</v>
      </c>
      <c r="D683" t="s">
        <v>36</v>
      </c>
      <c r="E683">
        <f t="shared" si="41"/>
        <v>33</v>
      </c>
      <c r="F683">
        <v>33</v>
      </c>
      <c r="G683" t="s">
        <v>83</v>
      </c>
      <c r="H683" t="s">
        <v>84</v>
      </c>
      <c r="I683" t="s">
        <v>74</v>
      </c>
      <c r="J683">
        <f t="shared" si="42"/>
        <v>0</v>
      </c>
      <c r="K683">
        <v>0</v>
      </c>
      <c r="L683" s="5" t="str">
        <f t="shared" si="43"/>
        <v>$100</v>
      </c>
      <c r="M683" s="2" t="s">
        <v>222</v>
      </c>
      <c r="N683" s="2">
        <f>IF(O683&gt;=90%,5,IF(O683&gt;=80%,4,IF(O683&gt;=70%,3,IF(O683&gt;=60%,2,1))))</f>
        <v>5</v>
      </c>
      <c r="O683" s="3">
        <v>0.95</v>
      </c>
      <c r="P683" t="s">
        <v>19</v>
      </c>
      <c r="Q683" t="s">
        <v>33</v>
      </c>
      <c r="R683">
        <v>4</v>
      </c>
      <c r="S683">
        <v>5</v>
      </c>
    </row>
    <row r="684" spans="1:19" x14ac:dyDescent="0.3">
      <c r="A684" t="s">
        <v>1444</v>
      </c>
      <c r="B684" t="s">
        <v>1445</v>
      </c>
      <c r="C684" t="str">
        <f t="shared" si="40"/>
        <v>Male</v>
      </c>
      <c r="D684" t="s">
        <v>90</v>
      </c>
      <c r="E684">
        <f t="shared" si="41"/>
        <v>52</v>
      </c>
      <c r="F684">
        <v>52</v>
      </c>
      <c r="G684" t="s">
        <v>108</v>
      </c>
      <c r="H684" t="s">
        <v>109</v>
      </c>
      <c r="I684" t="s">
        <v>32</v>
      </c>
      <c r="J684">
        <f t="shared" si="42"/>
        <v>21</v>
      </c>
      <c r="K684">
        <v>21</v>
      </c>
      <c r="L684" s="5" t="str">
        <f t="shared" si="43"/>
        <v>$40</v>
      </c>
      <c r="M684" s="2" t="s">
        <v>38</v>
      </c>
      <c r="N684" s="2">
        <f>IF(O684&gt;=90%,5,IF(O684&gt;=80%,4,IF(O684&gt;=70%,3,IF(O684&gt;=60%,2,1))))</f>
        <v>2</v>
      </c>
      <c r="O684" s="3">
        <v>0.69</v>
      </c>
      <c r="P684" t="s">
        <v>69</v>
      </c>
      <c r="Q684" t="s">
        <v>27</v>
      </c>
      <c r="R684">
        <v>14</v>
      </c>
      <c r="S684">
        <v>9</v>
      </c>
    </row>
    <row r="685" spans="1:19" x14ac:dyDescent="0.3">
      <c r="A685" t="s">
        <v>1446</v>
      </c>
      <c r="B685" t="s">
        <v>1447</v>
      </c>
      <c r="C685" t="str">
        <f t="shared" si="40"/>
        <v>Female</v>
      </c>
      <c r="D685" t="s">
        <v>15</v>
      </c>
      <c r="E685">
        <f t="shared" si="41"/>
        <v>25</v>
      </c>
      <c r="F685">
        <v>25</v>
      </c>
      <c r="G685" t="s">
        <v>31</v>
      </c>
      <c r="H685" t="s">
        <v>31</v>
      </c>
      <c r="I685" t="s">
        <v>87</v>
      </c>
      <c r="J685">
        <f t="shared" si="42"/>
        <v>7</v>
      </c>
      <c r="K685">
        <v>7</v>
      </c>
      <c r="L685" s="5" t="str">
        <f t="shared" si="43"/>
        <v>$100</v>
      </c>
      <c r="M685" s="2" t="s">
        <v>222</v>
      </c>
      <c r="N685" s="2">
        <f>IF(O685&gt;=90%,5,IF(O685&gt;=80%,4,IF(O685&gt;=70%,3,IF(O685&gt;=60%,2,1))))</f>
        <v>2</v>
      </c>
      <c r="O685" s="3">
        <v>0.63</v>
      </c>
      <c r="P685" t="s">
        <v>46</v>
      </c>
      <c r="Q685" t="s">
        <v>27</v>
      </c>
      <c r="R685">
        <v>11</v>
      </c>
      <c r="S685">
        <v>5</v>
      </c>
    </row>
    <row r="686" spans="1:19" x14ac:dyDescent="0.3">
      <c r="A686" t="s">
        <v>1448</v>
      </c>
      <c r="B686" t="s">
        <v>1449</v>
      </c>
      <c r="C686" t="str">
        <f t="shared" si="40"/>
        <v>Male</v>
      </c>
      <c r="D686" t="s">
        <v>90</v>
      </c>
      <c r="E686">
        <f t="shared" si="41"/>
        <v>33</v>
      </c>
      <c r="F686">
        <v>33</v>
      </c>
      <c r="G686" t="s">
        <v>83</v>
      </c>
      <c r="H686" t="s">
        <v>84</v>
      </c>
      <c r="I686" t="s">
        <v>78</v>
      </c>
      <c r="J686" s="4">
        <f t="shared" si="42"/>
        <v>12.833333333333334</v>
      </c>
      <c r="L686" s="5" t="str">
        <f t="shared" si="43"/>
        <v>$30</v>
      </c>
      <c r="M686" s="2" t="s">
        <v>45</v>
      </c>
      <c r="N686" s="2">
        <f>IF(O686&gt;=90%,5,IF(O686&gt;=80%,4,IF(O686&gt;=70%,3,IF(O686&gt;=60%,2,1))))</f>
        <v>2</v>
      </c>
      <c r="O686" s="3">
        <v>0.65</v>
      </c>
      <c r="P686" t="s">
        <v>65</v>
      </c>
      <c r="Q686" t="s">
        <v>27</v>
      </c>
      <c r="R686">
        <v>1</v>
      </c>
      <c r="S686">
        <v>1</v>
      </c>
    </row>
    <row r="687" spans="1:19" x14ac:dyDescent="0.3">
      <c r="A687" t="s">
        <v>1450</v>
      </c>
      <c r="B687" t="s">
        <v>1451</v>
      </c>
      <c r="C687" t="str">
        <f t="shared" si="40"/>
        <v>Female</v>
      </c>
      <c r="D687" t="s">
        <v>15</v>
      </c>
      <c r="E687">
        <f t="shared" si="41"/>
        <v>33</v>
      </c>
      <c r="F687">
        <v>33</v>
      </c>
      <c r="G687" t="s">
        <v>168</v>
      </c>
      <c r="H687" t="s">
        <v>169</v>
      </c>
      <c r="I687" t="s">
        <v>26</v>
      </c>
      <c r="J687" s="4">
        <f t="shared" si="42"/>
        <v>11.507692307692308</v>
      </c>
      <c r="L687" s="5">
        <f t="shared" si="43"/>
        <v>74</v>
      </c>
      <c r="N687" s="2">
        <f>IF(O687&gt;=90%,5,IF(O687&gt;=80%,4,IF(O687&gt;=70%,3,IF(O687&gt;=60%,2,1))))</f>
        <v>5</v>
      </c>
      <c r="O687" s="3">
        <v>0.9</v>
      </c>
      <c r="P687" t="s">
        <v>69</v>
      </c>
      <c r="Q687" t="s">
        <v>27</v>
      </c>
      <c r="R687">
        <v>1</v>
      </c>
      <c r="S687">
        <v>1</v>
      </c>
    </row>
    <row r="688" spans="1:19" x14ac:dyDescent="0.3">
      <c r="A688" t="s">
        <v>1452</v>
      </c>
      <c r="B688" t="s">
        <v>41</v>
      </c>
      <c r="C688" t="str">
        <f t="shared" si="40"/>
        <v>Female</v>
      </c>
      <c r="D688" t="s">
        <v>77</v>
      </c>
      <c r="E688">
        <f t="shared" si="41"/>
        <v>52</v>
      </c>
      <c r="F688">
        <v>52</v>
      </c>
      <c r="G688" t="s">
        <v>124</v>
      </c>
      <c r="H688" t="s">
        <v>25</v>
      </c>
      <c r="I688" t="s">
        <v>74</v>
      </c>
      <c r="J688">
        <f t="shared" si="42"/>
        <v>25</v>
      </c>
      <c r="K688">
        <v>25</v>
      </c>
      <c r="L688" s="5">
        <f t="shared" si="43"/>
        <v>100</v>
      </c>
      <c r="M688" s="2">
        <v>100</v>
      </c>
      <c r="N688" s="2">
        <f>IF(O688&gt;=90%,5,IF(O688&gt;=80%,4,IF(O688&gt;=70%,3,IF(O688&gt;=60%,2,1))))</f>
        <v>1</v>
      </c>
      <c r="O688" s="3">
        <v>0.5</v>
      </c>
      <c r="P688" t="s">
        <v>65</v>
      </c>
      <c r="Q688" t="s">
        <v>33</v>
      </c>
      <c r="R688">
        <v>10</v>
      </c>
      <c r="S688">
        <v>8</v>
      </c>
    </row>
    <row r="689" spans="1:19" x14ac:dyDescent="0.3">
      <c r="A689" t="s">
        <v>1453</v>
      </c>
      <c r="B689" t="s">
        <v>1454</v>
      </c>
      <c r="C689" t="str">
        <f t="shared" si="40"/>
        <v>Female</v>
      </c>
      <c r="D689" t="s">
        <v>15</v>
      </c>
      <c r="E689">
        <f t="shared" si="41"/>
        <v>20</v>
      </c>
      <c r="F689">
        <v>20</v>
      </c>
      <c r="G689" t="s">
        <v>50</v>
      </c>
      <c r="H689" t="s">
        <v>51</v>
      </c>
      <c r="I689" t="s">
        <v>37</v>
      </c>
      <c r="J689">
        <f t="shared" si="42"/>
        <v>1</v>
      </c>
      <c r="K689">
        <v>1</v>
      </c>
      <c r="L689" s="5" t="str">
        <f t="shared" si="43"/>
        <v>$30</v>
      </c>
      <c r="M689" s="2" t="s">
        <v>45</v>
      </c>
      <c r="N689" s="2">
        <f>IF(O689&gt;=90%,5,IF(O689&gt;=80%,4,IF(O689&gt;=70%,3,IF(O689&gt;=60%,2,1))))</f>
        <v>4</v>
      </c>
      <c r="O689" s="3">
        <v>0.89</v>
      </c>
      <c r="P689" t="s">
        <v>19</v>
      </c>
      <c r="Q689" t="s">
        <v>33</v>
      </c>
      <c r="R689">
        <v>1</v>
      </c>
      <c r="S689">
        <v>2</v>
      </c>
    </row>
    <row r="690" spans="1:19" x14ac:dyDescent="0.3">
      <c r="A690" t="s">
        <v>1455</v>
      </c>
      <c r="B690" t="s">
        <v>1456</v>
      </c>
      <c r="C690" t="str">
        <f t="shared" si="40"/>
        <v>Female</v>
      </c>
      <c r="D690" t="s">
        <v>23</v>
      </c>
      <c r="E690">
        <f t="shared" si="41"/>
        <v>43</v>
      </c>
      <c r="F690">
        <v>43</v>
      </c>
      <c r="G690" t="s">
        <v>120</v>
      </c>
      <c r="H690" t="s">
        <v>121</v>
      </c>
      <c r="I690" t="s">
        <v>52</v>
      </c>
      <c r="J690">
        <f t="shared" si="42"/>
        <v>7</v>
      </c>
      <c r="K690">
        <v>7</v>
      </c>
      <c r="L690" s="5" t="str">
        <f t="shared" si="43"/>
        <v>$50</v>
      </c>
      <c r="M690" s="2" t="s">
        <v>64</v>
      </c>
      <c r="N690" s="2">
        <f>IF(O690&gt;=90%,5,IF(O690&gt;=80%,4,IF(O690&gt;=70%,3,IF(O690&gt;=60%,2,1))))</f>
        <v>4</v>
      </c>
      <c r="O690" s="3">
        <v>0.8</v>
      </c>
      <c r="P690" t="s">
        <v>19</v>
      </c>
      <c r="Q690" t="s">
        <v>58</v>
      </c>
      <c r="R690">
        <v>11</v>
      </c>
      <c r="S690">
        <v>3</v>
      </c>
    </row>
    <row r="691" spans="1:19" x14ac:dyDescent="0.3">
      <c r="A691" t="s">
        <v>1457</v>
      </c>
      <c r="B691" t="s">
        <v>1413</v>
      </c>
      <c r="C691" t="str">
        <f t="shared" si="40"/>
        <v>Female</v>
      </c>
      <c r="D691" t="s">
        <v>39</v>
      </c>
      <c r="E691">
        <f t="shared" si="41"/>
        <v>31</v>
      </c>
      <c r="F691">
        <v>31</v>
      </c>
      <c r="G691" t="s">
        <v>131</v>
      </c>
      <c r="H691" t="s">
        <v>132</v>
      </c>
      <c r="I691" t="s">
        <v>26</v>
      </c>
      <c r="J691" s="4">
        <f t="shared" si="42"/>
        <v>11.507692307692308</v>
      </c>
      <c r="L691" s="5">
        <f t="shared" si="43"/>
        <v>50</v>
      </c>
      <c r="M691" s="2">
        <v>50</v>
      </c>
      <c r="N691" s="2">
        <f>IF(O691&gt;=90%,5,IF(O691&gt;=80%,4,IF(O691&gt;=70%,3,IF(O691&gt;=60%,2,1))))</f>
        <v>4</v>
      </c>
      <c r="O691" s="3">
        <v>0.8</v>
      </c>
      <c r="P691" t="s">
        <v>69</v>
      </c>
      <c r="Q691" t="s">
        <v>33</v>
      </c>
      <c r="R691">
        <v>5</v>
      </c>
      <c r="S691">
        <v>2</v>
      </c>
    </row>
    <row r="692" spans="1:19" x14ac:dyDescent="0.3">
      <c r="A692" t="s">
        <v>1458</v>
      </c>
      <c r="B692" t="s">
        <v>1459</v>
      </c>
      <c r="C692" t="str">
        <f t="shared" si="40"/>
        <v>Female</v>
      </c>
      <c r="D692" t="s">
        <v>23</v>
      </c>
      <c r="E692">
        <f t="shared" si="41"/>
        <v>29</v>
      </c>
      <c r="F692">
        <v>29</v>
      </c>
      <c r="G692" t="s">
        <v>31</v>
      </c>
      <c r="H692" t="s">
        <v>31</v>
      </c>
      <c r="I692" t="s">
        <v>52</v>
      </c>
      <c r="J692">
        <f t="shared" si="42"/>
        <v>6</v>
      </c>
      <c r="K692">
        <v>6</v>
      </c>
      <c r="L692" s="5">
        <f t="shared" si="43"/>
        <v>100</v>
      </c>
      <c r="M692" s="2">
        <v>100</v>
      </c>
      <c r="N692" s="2">
        <f>IF(O692&gt;=90%,5,IF(O692&gt;=80%,4,IF(O692&gt;=70%,3,IF(O692&gt;=60%,2,1))))</f>
        <v>1</v>
      </c>
      <c r="O692" s="3">
        <v>0.5</v>
      </c>
      <c r="P692" t="s">
        <v>19</v>
      </c>
      <c r="Q692" t="s">
        <v>27</v>
      </c>
      <c r="R692">
        <v>6</v>
      </c>
      <c r="S692">
        <v>10</v>
      </c>
    </row>
    <row r="693" spans="1:19" x14ac:dyDescent="0.3">
      <c r="A693" t="s">
        <v>1460</v>
      </c>
      <c r="B693" t="s">
        <v>831</v>
      </c>
      <c r="C693" t="str">
        <f t="shared" si="40"/>
        <v>Female</v>
      </c>
      <c r="D693" t="s">
        <v>23</v>
      </c>
      <c r="E693">
        <f t="shared" si="41"/>
        <v>53</v>
      </c>
      <c r="F693">
        <v>53</v>
      </c>
      <c r="G693" t="s">
        <v>147</v>
      </c>
      <c r="H693" t="s">
        <v>148</v>
      </c>
      <c r="I693" t="s">
        <v>32</v>
      </c>
      <c r="J693">
        <f t="shared" si="42"/>
        <v>35</v>
      </c>
      <c r="K693">
        <v>35</v>
      </c>
      <c r="L693" s="5">
        <f t="shared" si="43"/>
        <v>60</v>
      </c>
      <c r="N693" s="2">
        <f>IF(O693&gt;=90%,5,IF(O693&gt;=80%,4,IF(O693&gt;=70%,3,IF(O693&gt;=60%,2,1))))</f>
        <v>2</v>
      </c>
      <c r="O693" s="3">
        <v>0.67</v>
      </c>
      <c r="P693" t="s">
        <v>65</v>
      </c>
      <c r="Q693" t="s">
        <v>58</v>
      </c>
      <c r="R693">
        <v>18</v>
      </c>
      <c r="S693">
        <v>9</v>
      </c>
    </row>
    <row r="694" spans="1:19" x14ac:dyDescent="0.3">
      <c r="A694" t="s">
        <v>1461</v>
      </c>
      <c r="B694" t="s">
        <v>1462</v>
      </c>
      <c r="C694" t="str">
        <f t="shared" si="40"/>
        <v>Male</v>
      </c>
      <c r="D694" t="s">
        <v>30</v>
      </c>
      <c r="E694">
        <f t="shared" si="41"/>
        <v>38</v>
      </c>
      <c r="F694">
        <v>38</v>
      </c>
      <c r="G694" t="s">
        <v>91</v>
      </c>
      <c r="H694" t="s">
        <v>92</v>
      </c>
      <c r="I694" t="s">
        <v>26</v>
      </c>
      <c r="J694">
        <f t="shared" si="42"/>
        <v>1</v>
      </c>
      <c r="K694">
        <v>1</v>
      </c>
      <c r="L694" s="5" t="str">
        <f t="shared" si="43"/>
        <v>$40</v>
      </c>
      <c r="M694" s="2" t="s">
        <v>38</v>
      </c>
      <c r="N694" s="2">
        <f>IF(O694&gt;=90%,5,IF(O694&gt;=80%,4,IF(O694&gt;=70%,3,IF(O694&gt;=60%,2,1))))</f>
        <v>5</v>
      </c>
      <c r="O694" s="3">
        <v>0.96</v>
      </c>
      <c r="P694" t="s">
        <v>46</v>
      </c>
      <c r="Q694" t="s">
        <v>58</v>
      </c>
      <c r="R694">
        <v>2</v>
      </c>
      <c r="S694">
        <v>2</v>
      </c>
    </row>
    <row r="695" spans="1:19" x14ac:dyDescent="0.3">
      <c r="A695" t="s">
        <v>1463</v>
      </c>
      <c r="B695" t="s">
        <v>1464</v>
      </c>
      <c r="C695" t="str">
        <f t="shared" si="40"/>
        <v>Male</v>
      </c>
      <c r="D695" t="s">
        <v>95</v>
      </c>
      <c r="E695">
        <f t="shared" si="41"/>
        <v>29</v>
      </c>
      <c r="F695">
        <v>29</v>
      </c>
      <c r="G695" t="s">
        <v>183</v>
      </c>
      <c r="H695" t="s">
        <v>73</v>
      </c>
      <c r="I695" t="s">
        <v>32</v>
      </c>
      <c r="J695" s="4">
        <f t="shared" si="42"/>
        <v>12.295081967213115</v>
      </c>
      <c r="L695" s="5">
        <f t="shared" si="43"/>
        <v>20</v>
      </c>
      <c r="M695" s="2">
        <v>20</v>
      </c>
      <c r="N695" s="2">
        <f>IF(O695&gt;=90%,5,IF(O695&gt;=80%,4,IF(O695&gt;=70%,3,IF(O695&gt;=60%,2,1))))</f>
        <v>5</v>
      </c>
      <c r="O695" s="3">
        <v>0.9</v>
      </c>
      <c r="P695" t="s">
        <v>46</v>
      </c>
      <c r="Q695" t="s">
        <v>58</v>
      </c>
      <c r="R695">
        <v>3</v>
      </c>
      <c r="S695">
        <v>3</v>
      </c>
    </row>
    <row r="696" spans="1:19" x14ac:dyDescent="0.3">
      <c r="A696" t="s">
        <v>1465</v>
      </c>
      <c r="B696" t="s">
        <v>1466</v>
      </c>
      <c r="C696" t="str">
        <f t="shared" si="40"/>
        <v>Male</v>
      </c>
      <c r="D696" t="s">
        <v>90</v>
      </c>
      <c r="E696">
        <f t="shared" si="41"/>
        <v>42</v>
      </c>
      <c r="F696">
        <v>42</v>
      </c>
      <c r="G696" t="s">
        <v>108</v>
      </c>
      <c r="H696" t="s">
        <v>109</v>
      </c>
      <c r="I696" t="s">
        <v>74</v>
      </c>
      <c r="J696">
        <f t="shared" si="42"/>
        <v>0</v>
      </c>
      <c r="K696">
        <v>0</v>
      </c>
      <c r="L696" s="5">
        <f t="shared" si="43"/>
        <v>100</v>
      </c>
      <c r="N696" s="2">
        <f>IF(O696&gt;=90%,5,IF(O696&gt;=80%,4,IF(O696&gt;=70%,3,IF(O696&gt;=60%,2,1))))</f>
        <v>2</v>
      </c>
      <c r="O696" s="3">
        <v>0.62</v>
      </c>
      <c r="P696" t="s">
        <v>46</v>
      </c>
      <c r="Q696" t="s">
        <v>27</v>
      </c>
      <c r="R696">
        <v>5</v>
      </c>
      <c r="S696">
        <v>2</v>
      </c>
    </row>
    <row r="697" spans="1:19" x14ac:dyDescent="0.3">
      <c r="A697" t="s">
        <v>1467</v>
      </c>
      <c r="B697" t="s">
        <v>1468</v>
      </c>
      <c r="C697" t="str">
        <f t="shared" si="40"/>
        <v>Female</v>
      </c>
      <c r="D697" t="s">
        <v>15</v>
      </c>
      <c r="E697">
        <f t="shared" si="41"/>
        <v>54</v>
      </c>
      <c r="F697">
        <v>54</v>
      </c>
      <c r="G697" t="s">
        <v>57</v>
      </c>
      <c r="H697" t="s">
        <v>25</v>
      </c>
      <c r="I697" t="s">
        <v>110</v>
      </c>
      <c r="J697">
        <f t="shared" si="42"/>
        <v>9</v>
      </c>
      <c r="K697">
        <v>9</v>
      </c>
      <c r="L697" s="5">
        <f t="shared" si="43"/>
        <v>100</v>
      </c>
      <c r="M697" s="2">
        <v>100</v>
      </c>
      <c r="N697" s="2">
        <f>IF(O697&gt;=90%,5,IF(O697&gt;=80%,4,IF(O697&gt;=70%,3,IF(O697&gt;=60%,2,1))))</f>
        <v>3</v>
      </c>
      <c r="O697" s="3">
        <v>0.72</v>
      </c>
      <c r="P697" t="s">
        <v>69</v>
      </c>
      <c r="Q697" t="s">
        <v>20</v>
      </c>
      <c r="R697">
        <v>13</v>
      </c>
      <c r="S697">
        <v>10</v>
      </c>
    </row>
    <row r="698" spans="1:19" x14ac:dyDescent="0.3">
      <c r="A698" t="s">
        <v>1469</v>
      </c>
      <c r="B698" t="s">
        <v>1470</v>
      </c>
      <c r="C698" t="str">
        <f t="shared" si="40"/>
        <v>Male</v>
      </c>
      <c r="D698" t="s">
        <v>61</v>
      </c>
      <c r="E698">
        <f t="shared" si="41"/>
        <v>56</v>
      </c>
      <c r="F698">
        <v>56</v>
      </c>
      <c r="G698" t="s">
        <v>168</v>
      </c>
      <c r="H698" t="s">
        <v>169</v>
      </c>
      <c r="I698" t="s">
        <v>74</v>
      </c>
      <c r="J698">
        <f t="shared" si="42"/>
        <v>18</v>
      </c>
      <c r="K698">
        <v>18</v>
      </c>
      <c r="L698" s="5" t="str">
        <f t="shared" si="43"/>
        <v>$50</v>
      </c>
      <c r="M698" s="2" t="s">
        <v>64</v>
      </c>
      <c r="N698" s="2">
        <f>IF(O698&gt;=90%,5,IF(O698&gt;=80%,4,IF(O698&gt;=70%,3,IF(O698&gt;=60%,2,1))))</f>
        <v>1</v>
      </c>
      <c r="O698" s="3">
        <v>0.5</v>
      </c>
      <c r="P698" t="s">
        <v>19</v>
      </c>
      <c r="Q698" t="s">
        <v>27</v>
      </c>
      <c r="R698">
        <v>18</v>
      </c>
      <c r="S698">
        <v>10</v>
      </c>
    </row>
    <row r="699" spans="1:19" x14ac:dyDescent="0.3">
      <c r="O699" s="3"/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09637-7679-4F5A-B982-619ACF2E8173}">
  <dimension ref="A1:O699"/>
  <sheetViews>
    <sheetView tabSelected="1" workbookViewId="0">
      <selection activeCell="J10" sqref="J10"/>
    </sheetView>
  </sheetViews>
  <sheetFormatPr defaultRowHeight="14.4" x14ac:dyDescent="0.3"/>
  <cols>
    <col min="1" max="1" width="14.33203125" customWidth="1"/>
    <col min="2" max="2" width="21.33203125" bestFit="1" customWidth="1"/>
    <col min="3" max="3" width="9.44140625" customWidth="1"/>
    <col min="5" max="5" width="10.6640625" customWidth="1"/>
    <col min="6" max="6" width="11" customWidth="1"/>
    <col min="7" max="7" width="13.77734375" customWidth="1"/>
    <col min="8" max="8" width="18.33203125" customWidth="1"/>
    <col min="9" max="9" width="12.6640625" customWidth="1"/>
    <col min="10" max="10" width="9.6640625" customWidth="1"/>
    <col min="11" max="11" width="18.44140625" customWidth="1"/>
    <col min="14" max="14" width="15.21875" customWidth="1"/>
    <col min="15" max="15" width="17.77734375" customWidth="1"/>
  </cols>
  <sheetData>
    <row r="1" spans="1:15" x14ac:dyDescent="0.3">
      <c r="A1" t="s">
        <v>0</v>
      </c>
      <c r="B1" t="s">
        <v>1</v>
      </c>
      <c r="C1" t="s">
        <v>1471</v>
      </c>
      <c r="D1" t="s">
        <v>3</v>
      </c>
      <c r="E1" t="s">
        <v>1473</v>
      </c>
      <c r="F1" t="s">
        <v>4</v>
      </c>
      <c r="G1" t="s">
        <v>5</v>
      </c>
      <c r="H1" t="s">
        <v>1474</v>
      </c>
      <c r="I1" t="s">
        <v>1476</v>
      </c>
      <c r="J1" t="s">
        <v>1475</v>
      </c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5" x14ac:dyDescent="0.3">
      <c r="A2" s="2" t="s">
        <v>13</v>
      </c>
      <c r="B2" s="2" t="s">
        <v>14</v>
      </c>
      <c r="C2" s="2" t="s">
        <v>77</v>
      </c>
      <c r="D2" s="2">
        <v>52</v>
      </c>
      <c r="E2" s="2" t="s">
        <v>16</v>
      </c>
      <c r="F2" s="2" t="s">
        <v>17</v>
      </c>
      <c r="G2" s="2" t="s">
        <v>18</v>
      </c>
      <c r="H2" s="2">
        <v>11</v>
      </c>
      <c r="I2" s="9">
        <v>100</v>
      </c>
      <c r="J2" s="2">
        <v>1</v>
      </c>
      <c r="K2" s="3">
        <v>0.5</v>
      </c>
      <c r="L2" s="2" t="s">
        <v>19</v>
      </c>
      <c r="M2" s="2" t="s">
        <v>20</v>
      </c>
      <c r="N2" s="2">
        <v>13</v>
      </c>
      <c r="O2" s="2">
        <v>6</v>
      </c>
    </row>
    <row r="3" spans="1:15" x14ac:dyDescent="0.3">
      <c r="A3" s="2" t="s">
        <v>21</v>
      </c>
      <c r="B3" s="2" t="s">
        <v>22</v>
      </c>
      <c r="C3" s="2" t="s">
        <v>77</v>
      </c>
      <c r="D3" s="2">
        <v>52</v>
      </c>
      <c r="E3" s="2" t="s">
        <v>24</v>
      </c>
      <c r="F3" s="2" t="s">
        <v>25</v>
      </c>
      <c r="G3" s="2" t="s">
        <v>26</v>
      </c>
      <c r="H3" s="2">
        <v>34</v>
      </c>
      <c r="I3" s="9" t="s">
        <v>222</v>
      </c>
      <c r="J3" s="2">
        <v>4</v>
      </c>
      <c r="K3" s="3">
        <v>0.84</v>
      </c>
      <c r="L3" s="2" t="s">
        <v>19</v>
      </c>
      <c r="M3" s="2" t="s">
        <v>27</v>
      </c>
      <c r="N3" s="2">
        <v>10</v>
      </c>
      <c r="O3" s="2">
        <v>7</v>
      </c>
    </row>
    <row r="4" spans="1:15" x14ac:dyDescent="0.3">
      <c r="A4" s="2" t="s">
        <v>28</v>
      </c>
      <c r="B4" s="2" t="s">
        <v>29</v>
      </c>
      <c r="C4" s="2" t="s">
        <v>95</v>
      </c>
      <c r="D4" s="2">
        <v>53</v>
      </c>
      <c r="E4" s="2" t="s">
        <v>31</v>
      </c>
      <c r="F4" s="2" t="s">
        <v>31</v>
      </c>
      <c r="G4" s="2" t="s">
        <v>32</v>
      </c>
      <c r="H4" s="2">
        <v>31</v>
      </c>
      <c r="I4" s="9">
        <v>50</v>
      </c>
      <c r="J4" s="2">
        <v>3</v>
      </c>
      <c r="K4" s="3">
        <v>0.71</v>
      </c>
      <c r="L4" s="2" t="s">
        <v>19</v>
      </c>
      <c r="M4" s="2" t="s">
        <v>33</v>
      </c>
      <c r="N4" s="2">
        <v>16</v>
      </c>
      <c r="O4" s="2">
        <v>16</v>
      </c>
    </row>
    <row r="5" spans="1:15" x14ac:dyDescent="0.3">
      <c r="A5" s="2" t="s">
        <v>34</v>
      </c>
      <c r="B5" s="2" t="s">
        <v>35</v>
      </c>
      <c r="C5" s="2" t="s">
        <v>77</v>
      </c>
      <c r="D5" s="2">
        <v>38</v>
      </c>
      <c r="E5" s="2" t="s">
        <v>24</v>
      </c>
      <c r="F5" s="2" t="s">
        <v>25</v>
      </c>
      <c r="G5" s="2" t="s">
        <v>37</v>
      </c>
      <c r="H5" s="2">
        <v>4</v>
      </c>
      <c r="I5" s="9" t="s">
        <v>38</v>
      </c>
      <c r="J5" s="2">
        <v>5</v>
      </c>
      <c r="K5" s="3">
        <v>0.9</v>
      </c>
      <c r="L5" s="2" t="s">
        <v>19</v>
      </c>
      <c r="M5" s="2" t="s">
        <v>27</v>
      </c>
      <c r="N5" s="2">
        <v>5</v>
      </c>
      <c r="O5" s="2">
        <v>1</v>
      </c>
    </row>
    <row r="6" spans="1:15" x14ac:dyDescent="0.3">
      <c r="A6" s="2" t="s">
        <v>40</v>
      </c>
      <c r="B6" s="2" t="s">
        <v>41</v>
      </c>
      <c r="C6" s="2" t="s">
        <v>77</v>
      </c>
      <c r="D6" s="2">
        <v>59</v>
      </c>
      <c r="E6" s="2" t="s">
        <v>42</v>
      </c>
      <c r="F6" s="2" t="s">
        <v>43</v>
      </c>
      <c r="G6" s="2" t="s">
        <v>44</v>
      </c>
      <c r="H6" s="2">
        <v>14</v>
      </c>
      <c r="I6" s="9" t="s">
        <v>45</v>
      </c>
      <c r="J6" s="2">
        <v>1</v>
      </c>
      <c r="K6" s="3">
        <v>0.5</v>
      </c>
      <c r="L6" s="2" t="s">
        <v>46</v>
      </c>
      <c r="M6" s="2" t="s">
        <v>33</v>
      </c>
      <c r="N6" s="2">
        <v>8</v>
      </c>
      <c r="O6" s="2">
        <v>3</v>
      </c>
    </row>
    <row r="7" spans="1:15" x14ac:dyDescent="0.3">
      <c r="A7" s="2" t="s">
        <v>47</v>
      </c>
      <c r="B7" s="2" t="s">
        <v>48</v>
      </c>
      <c r="C7" s="2" t="s">
        <v>95</v>
      </c>
      <c r="D7" s="2">
        <v>52</v>
      </c>
      <c r="E7" s="2" t="s">
        <v>50</v>
      </c>
      <c r="F7" s="2" t="s">
        <v>51</v>
      </c>
      <c r="G7" s="2" t="s">
        <v>52</v>
      </c>
      <c r="H7" s="2">
        <v>10</v>
      </c>
      <c r="I7" s="9" t="s">
        <v>163</v>
      </c>
      <c r="J7" s="2">
        <v>5</v>
      </c>
      <c r="K7" s="3">
        <v>0.94</v>
      </c>
      <c r="L7" s="2" t="s">
        <v>19</v>
      </c>
      <c r="M7" s="2" t="s">
        <v>20</v>
      </c>
      <c r="N7" s="2">
        <v>10</v>
      </c>
      <c r="O7" s="2">
        <v>3</v>
      </c>
    </row>
    <row r="8" spans="1:15" x14ac:dyDescent="0.3">
      <c r="A8" s="2" t="s">
        <v>53</v>
      </c>
      <c r="B8" s="2" t="s">
        <v>54</v>
      </c>
      <c r="C8" s="2" t="s">
        <v>95</v>
      </c>
      <c r="D8" s="2">
        <v>43</v>
      </c>
      <c r="E8" s="2" t="s">
        <v>16</v>
      </c>
      <c r="F8" s="2" t="s">
        <v>17</v>
      </c>
      <c r="G8" s="2" t="s">
        <v>18</v>
      </c>
      <c r="H8" s="2">
        <v>14</v>
      </c>
      <c r="I8" s="9" t="s">
        <v>38</v>
      </c>
      <c r="J8" s="2">
        <v>5</v>
      </c>
      <c r="K8" s="3">
        <v>0.94</v>
      </c>
      <c r="L8" s="2" t="s">
        <v>46</v>
      </c>
      <c r="M8" s="2" t="s">
        <v>20</v>
      </c>
      <c r="N8" s="2">
        <v>7</v>
      </c>
      <c r="O8" s="2">
        <v>10</v>
      </c>
    </row>
    <row r="9" spans="1:15" x14ac:dyDescent="0.3">
      <c r="A9" s="2" t="s">
        <v>55</v>
      </c>
      <c r="B9" s="2" t="s">
        <v>56</v>
      </c>
      <c r="C9" s="2" t="s">
        <v>95</v>
      </c>
      <c r="D9" s="2">
        <v>26</v>
      </c>
      <c r="E9" s="2" t="s">
        <v>57</v>
      </c>
      <c r="F9" s="2" t="s">
        <v>25</v>
      </c>
      <c r="G9" s="2" t="s">
        <v>18</v>
      </c>
      <c r="H9" s="2">
        <v>4</v>
      </c>
      <c r="I9" s="9">
        <v>53.842443729903536</v>
      </c>
      <c r="J9" s="2">
        <v>3</v>
      </c>
      <c r="K9" s="3">
        <v>0.76</v>
      </c>
      <c r="L9" s="2" t="s">
        <v>19</v>
      </c>
      <c r="M9" s="2" t="s">
        <v>58</v>
      </c>
      <c r="N9" s="2">
        <v>2</v>
      </c>
      <c r="O9" s="2">
        <v>4</v>
      </c>
    </row>
    <row r="10" spans="1:15" x14ac:dyDescent="0.3">
      <c r="A10" s="2" t="s">
        <v>59</v>
      </c>
      <c r="B10" s="2" t="s">
        <v>60</v>
      </c>
      <c r="C10" s="2" t="s">
        <v>95</v>
      </c>
      <c r="D10" s="2">
        <v>52</v>
      </c>
      <c r="E10" s="2" t="s">
        <v>62</v>
      </c>
      <c r="F10" s="2" t="s">
        <v>63</v>
      </c>
      <c r="G10" s="2" t="s">
        <v>44</v>
      </c>
      <c r="H10" s="2">
        <v>22</v>
      </c>
      <c r="I10" s="9" t="s">
        <v>64</v>
      </c>
      <c r="J10" s="2">
        <v>1</v>
      </c>
      <c r="K10" s="3">
        <v>0.5</v>
      </c>
      <c r="L10" s="2" t="s">
        <v>65</v>
      </c>
      <c r="M10" s="2" t="s">
        <v>33</v>
      </c>
      <c r="N10" s="2">
        <v>16</v>
      </c>
      <c r="O10" s="2">
        <v>5</v>
      </c>
    </row>
    <row r="11" spans="1:15" x14ac:dyDescent="0.3">
      <c r="A11" s="2" t="s">
        <v>66</v>
      </c>
      <c r="B11" s="2" t="s">
        <v>67</v>
      </c>
      <c r="C11" s="2" t="s">
        <v>95</v>
      </c>
      <c r="D11" s="2">
        <v>40</v>
      </c>
      <c r="E11" s="2" t="s">
        <v>68</v>
      </c>
      <c r="F11" s="2" t="s">
        <v>25</v>
      </c>
      <c r="G11" s="2" t="s">
        <v>52</v>
      </c>
      <c r="H11" s="2">
        <v>17</v>
      </c>
      <c r="I11" s="9">
        <v>40</v>
      </c>
      <c r="J11" s="2">
        <v>3</v>
      </c>
      <c r="K11" s="3">
        <v>0.77</v>
      </c>
      <c r="L11" s="2" t="s">
        <v>69</v>
      </c>
      <c r="M11" s="2" t="s">
        <v>58</v>
      </c>
      <c r="N11" s="2">
        <v>20</v>
      </c>
      <c r="O11" s="2">
        <v>5</v>
      </c>
    </row>
    <row r="12" spans="1:15" x14ac:dyDescent="0.3">
      <c r="A12" s="2" t="s">
        <v>70</v>
      </c>
      <c r="B12" s="2" t="s">
        <v>71</v>
      </c>
      <c r="C12" s="2" t="s">
        <v>77</v>
      </c>
      <c r="D12" s="2">
        <v>55</v>
      </c>
      <c r="E12" s="2" t="s">
        <v>72</v>
      </c>
      <c r="F12" s="2" t="s">
        <v>73</v>
      </c>
      <c r="G12" s="2" t="s">
        <v>74</v>
      </c>
      <c r="H12" s="2">
        <v>15</v>
      </c>
      <c r="I12" s="9">
        <v>53.887096774193552</v>
      </c>
      <c r="J12" s="2">
        <v>4</v>
      </c>
      <c r="K12" s="3">
        <v>0.86</v>
      </c>
      <c r="L12" s="2" t="s">
        <v>46</v>
      </c>
      <c r="M12" s="2" t="s">
        <v>33</v>
      </c>
      <c r="N12" s="2">
        <v>13</v>
      </c>
      <c r="O12" s="2">
        <v>4</v>
      </c>
    </row>
    <row r="13" spans="1:15" x14ac:dyDescent="0.3">
      <c r="A13" s="2" t="s">
        <v>75</v>
      </c>
      <c r="B13" s="2" t="s">
        <v>76</v>
      </c>
      <c r="C13" s="2" t="s">
        <v>77</v>
      </c>
      <c r="D13" s="2">
        <v>57</v>
      </c>
      <c r="E13" s="2" t="s">
        <v>68</v>
      </c>
      <c r="F13" s="2" t="s">
        <v>25</v>
      </c>
      <c r="G13" s="2" t="s">
        <v>78</v>
      </c>
      <c r="H13" s="2">
        <v>18</v>
      </c>
      <c r="I13" s="9">
        <v>53.887096774193552</v>
      </c>
      <c r="J13" s="2">
        <v>4</v>
      </c>
      <c r="K13" s="3">
        <v>0.86</v>
      </c>
      <c r="L13" s="2" t="s">
        <v>19</v>
      </c>
      <c r="M13" s="2" t="s">
        <v>20</v>
      </c>
      <c r="N13" s="2">
        <v>16</v>
      </c>
      <c r="O13" s="2">
        <v>15</v>
      </c>
    </row>
    <row r="14" spans="1:15" x14ac:dyDescent="0.3">
      <c r="A14" s="2" t="s">
        <v>79</v>
      </c>
      <c r="B14" s="2" t="s">
        <v>80</v>
      </c>
      <c r="C14" s="2" t="s">
        <v>95</v>
      </c>
      <c r="D14" s="2">
        <v>38</v>
      </c>
      <c r="E14" s="2" t="s">
        <v>72</v>
      </c>
      <c r="F14" s="2" t="s">
        <v>73</v>
      </c>
      <c r="G14" s="2" t="s">
        <v>32</v>
      </c>
      <c r="H14" s="2">
        <v>20</v>
      </c>
      <c r="I14" s="9" t="s">
        <v>163</v>
      </c>
      <c r="J14" s="2">
        <v>5</v>
      </c>
      <c r="K14" s="3">
        <v>0.93</v>
      </c>
      <c r="L14" s="2" t="s">
        <v>65</v>
      </c>
      <c r="M14" s="2" t="s">
        <v>20</v>
      </c>
      <c r="N14" s="2">
        <v>17</v>
      </c>
      <c r="O14" s="2">
        <v>12</v>
      </c>
    </row>
    <row r="15" spans="1:15" x14ac:dyDescent="0.3">
      <c r="A15" s="2" t="s">
        <v>81</v>
      </c>
      <c r="B15" s="2" t="s">
        <v>82</v>
      </c>
      <c r="C15" s="2" t="s">
        <v>95</v>
      </c>
      <c r="D15" s="2">
        <v>50</v>
      </c>
      <c r="E15" s="2" t="s">
        <v>31</v>
      </c>
      <c r="F15" s="2" t="s">
        <v>31</v>
      </c>
      <c r="G15" s="2" t="s">
        <v>52</v>
      </c>
      <c r="H15" s="2">
        <v>22</v>
      </c>
      <c r="I15" s="9">
        <v>75</v>
      </c>
      <c r="J15" s="2">
        <v>3</v>
      </c>
      <c r="K15" s="3">
        <v>0.7</v>
      </c>
      <c r="L15" s="2" t="s">
        <v>69</v>
      </c>
      <c r="M15" s="2" t="s">
        <v>27</v>
      </c>
      <c r="N15" s="2">
        <v>14</v>
      </c>
      <c r="O15" s="2">
        <v>6</v>
      </c>
    </row>
    <row r="16" spans="1:15" x14ac:dyDescent="0.3">
      <c r="A16" s="2" t="s">
        <v>85</v>
      </c>
      <c r="B16" s="2" t="s">
        <v>86</v>
      </c>
      <c r="C16" s="2" t="s">
        <v>77</v>
      </c>
      <c r="D16" s="2">
        <v>39</v>
      </c>
      <c r="E16" s="2" t="s">
        <v>24</v>
      </c>
      <c r="F16" s="2" t="s">
        <v>25</v>
      </c>
      <c r="G16" s="2" t="s">
        <v>87</v>
      </c>
      <c r="H16" s="2">
        <v>13</v>
      </c>
      <c r="I16" s="9" t="s">
        <v>45</v>
      </c>
      <c r="J16" s="2">
        <v>2</v>
      </c>
      <c r="K16" s="3">
        <v>0.6</v>
      </c>
      <c r="L16" s="2" t="s">
        <v>69</v>
      </c>
      <c r="M16" s="2" t="s">
        <v>58</v>
      </c>
      <c r="N16" s="2">
        <v>7</v>
      </c>
      <c r="O16" s="2">
        <v>1</v>
      </c>
    </row>
    <row r="17" spans="1:15" x14ac:dyDescent="0.3">
      <c r="A17" s="2" t="s">
        <v>88</v>
      </c>
      <c r="B17" s="2" t="s">
        <v>89</v>
      </c>
      <c r="C17" s="2" t="s">
        <v>95</v>
      </c>
      <c r="D17" s="2">
        <v>56</v>
      </c>
      <c r="E17" s="2" t="s">
        <v>91</v>
      </c>
      <c r="F17" s="2" t="s">
        <v>92</v>
      </c>
      <c r="G17" s="2" t="s">
        <v>18</v>
      </c>
      <c r="H17" s="10">
        <v>10.380952380952381</v>
      </c>
      <c r="I17" s="9">
        <v>53.818770226537218</v>
      </c>
      <c r="J17" s="2">
        <v>4</v>
      </c>
      <c r="K17" s="3">
        <v>0.87</v>
      </c>
      <c r="L17" s="2" t="s">
        <v>65</v>
      </c>
      <c r="M17" s="2" t="s">
        <v>27</v>
      </c>
      <c r="N17" s="2">
        <v>1</v>
      </c>
      <c r="O17" s="2">
        <v>2</v>
      </c>
    </row>
    <row r="18" spans="1:15" x14ac:dyDescent="0.3">
      <c r="A18" s="2" t="s">
        <v>93</v>
      </c>
      <c r="B18" s="2" t="s">
        <v>94</v>
      </c>
      <c r="C18" s="2" t="s">
        <v>95</v>
      </c>
      <c r="D18" s="2">
        <v>56</v>
      </c>
      <c r="E18" s="2" t="s">
        <v>57</v>
      </c>
      <c r="F18" s="2" t="s">
        <v>25</v>
      </c>
      <c r="G18" s="2" t="s">
        <v>74</v>
      </c>
      <c r="H18" s="2">
        <v>31</v>
      </c>
      <c r="I18" s="9" t="s">
        <v>64</v>
      </c>
      <c r="J18" s="2">
        <v>3</v>
      </c>
      <c r="K18" s="3">
        <v>0.75</v>
      </c>
      <c r="L18" s="2" t="s">
        <v>46</v>
      </c>
      <c r="M18" s="2" t="s">
        <v>27</v>
      </c>
      <c r="N18" s="2">
        <v>13</v>
      </c>
      <c r="O18" s="2">
        <v>3</v>
      </c>
    </row>
    <row r="19" spans="1:15" x14ac:dyDescent="0.3">
      <c r="A19" s="2" t="s">
        <v>96</v>
      </c>
      <c r="B19" s="2" t="s">
        <v>97</v>
      </c>
      <c r="C19" s="2" t="s">
        <v>95</v>
      </c>
      <c r="D19" s="2">
        <v>57</v>
      </c>
      <c r="E19" s="2" t="s">
        <v>16</v>
      </c>
      <c r="F19" s="2" t="s">
        <v>17</v>
      </c>
      <c r="G19" s="2" t="s">
        <v>37</v>
      </c>
      <c r="H19" s="2">
        <v>3</v>
      </c>
      <c r="I19" s="9" t="s">
        <v>222</v>
      </c>
      <c r="J19" s="2">
        <v>2</v>
      </c>
      <c r="K19" s="3">
        <v>0.68</v>
      </c>
      <c r="L19" s="2" t="s">
        <v>69</v>
      </c>
      <c r="M19" s="2" t="s">
        <v>27</v>
      </c>
      <c r="N19" s="2">
        <v>1</v>
      </c>
      <c r="O19" s="2">
        <v>1</v>
      </c>
    </row>
    <row r="20" spans="1:15" x14ac:dyDescent="0.3">
      <c r="A20" s="2" t="s">
        <v>98</v>
      </c>
      <c r="B20" s="2" t="s">
        <v>99</v>
      </c>
      <c r="C20" s="2" t="s">
        <v>95</v>
      </c>
      <c r="D20" s="2">
        <v>41</v>
      </c>
      <c r="E20" s="2" t="s">
        <v>50</v>
      </c>
      <c r="F20" s="2" t="s">
        <v>51</v>
      </c>
      <c r="G20" s="2" t="s">
        <v>44</v>
      </c>
      <c r="H20" s="2">
        <v>9</v>
      </c>
      <c r="I20" s="9">
        <v>50</v>
      </c>
      <c r="J20" s="2">
        <v>2</v>
      </c>
      <c r="K20" s="3">
        <v>0.65</v>
      </c>
      <c r="L20" s="2" t="s">
        <v>19</v>
      </c>
      <c r="M20" s="2" t="s">
        <v>58</v>
      </c>
      <c r="N20" s="2">
        <v>15</v>
      </c>
      <c r="O20" s="2">
        <v>6</v>
      </c>
    </row>
    <row r="21" spans="1:15" x14ac:dyDescent="0.3">
      <c r="A21" s="2" t="s">
        <v>100</v>
      </c>
      <c r="B21" s="2" t="s">
        <v>101</v>
      </c>
      <c r="C21" s="2" t="s">
        <v>95</v>
      </c>
      <c r="D21" s="2">
        <v>51</v>
      </c>
      <c r="E21" s="2" t="s">
        <v>83</v>
      </c>
      <c r="F21" s="2" t="s">
        <v>84</v>
      </c>
      <c r="G21" s="2" t="s">
        <v>87</v>
      </c>
      <c r="H21" s="10">
        <v>11.191780821917808</v>
      </c>
      <c r="I21" s="9">
        <v>53.831168831168831</v>
      </c>
      <c r="J21" s="2">
        <v>2</v>
      </c>
      <c r="K21" s="3">
        <v>0.69</v>
      </c>
      <c r="L21" s="2" t="s">
        <v>46</v>
      </c>
      <c r="M21" s="2" t="s">
        <v>27</v>
      </c>
      <c r="N21" s="2">
        <v>3</v>
      </c>
      <c r="O21" s="2">
        <v>5</v>
      </c>
    </row>
    <row r="22" spans="1:15" x14ac:dyDescent="0.3">
      <c r="A22" s="2" t="s">
        <v>102</v>
      </c>
      <c r="B22" s="2" t="s">
        <v>103</v>
      </c>
      <c r="C22" s="2" t="s">
        <v>95</v>
      </c>
      <c r="D22" s="2">
        <v>51</v>
      </c>
      <c r="E22" s="2" t="s">
        <v>104</v>
      </c>
      <c r="F22" s="2" t="s">
        <v>105</v>
      </c>
      <c r="G22" s="2" t="s">
        <v>78</v>
      </c>
      <c r="H22" s="2">
        <v>21</v>
      </c>
      <c r="I22" s="9" t="s">
        <v>45</v>
      </c>
      <c r="J22" s="2">
        <v>1</v>
      </c>
      <c r="K22" s="3">
        <v>0.5</v>
      </c>
      <c r="L22" s="2" t="s">
        <v>69</v>
      </c>
      <c r="M22" s="2" t="s">
        <v>58</v>
      </c>
      <c r="N22" s="2">
        <v>14</v>
      </c>
      <c r="O22" s="2">
        <v>2</v>
      </c>
    </row>
    <row r="23" spans="1:15" x14ac:dyDescent="0.3">
      <c r="A23" s="2" t="s">
        <v>106</v>
      </c>
      <c r="B23" s="2" t="s">
        <v>107</v>
      </c>
      <c r="C23" s="2" t="s">
        <v>77</v>
      </c>
      <c r="D23" s="2">
        <v>51</v>
      </c>
      <c r="E23" s="2" t="s">
        <v>108</v>
      </c>
      <c r="F23" s="2" t="s">
        <v>109</v>
      </c>
      <c r="G23" s="2" t="s">
        <v>110</v>
      </c>
      <c r="H23" s="2">
        <v>15</v>
      </c>
      <c r="I23" s="9" t="s">
        <v>64</v>
      </c>
      <c r="J23" s="2">
        <v>5</v>
      </c>
      <c r="K23" s="3">
        <v>1</v>
      </c>
      <c r="L23" s="2" t="s">
        <v>65</v>
      </c>
      <c r="M23" s="2" t="s">
        <v>27</v>
      </c>
      <c r="N23" s="2">
        <v>9</v>
      </c>
      <c r="O23" s="2">
        <v>3</v>
      </c>
    </row>
    <row r="24" spans="1:15" x14ac:dyDescent="0.3">
      <c r="A24" s="2" t="s">
        <v>111</v>
      </c>
      <c r="B24" s="2" t="s">
        <v>112</v>
      </c>
      <c r="C24" s="2" t="s">
        <v>77</v>
      </c>
      <c r="D24" s="2">
        <v>54</v>
      </c>
      <c r="E24" s="2" t="s">
        <v>50</v>
      </c>
      <c r="F24" s="2" t="s">
        <v>51</v>
      </c>
      <c r="G24" s="2" t="s">
        <v>110</v>
      </c>
      <c r="H24" s="2">
        <v>13</v>
      </c>
      <c r="I24" s="9">
        <v>75</v>
      </c>
      <c r="J24" s="2">
        <v>5</v>
      </c>
      <c r="K24" s="3">
        <v>0.92</v>
      </c>
      <c r="L24" s="2" t="s">
        <v>65</v>
      </c>
      <c r="M24" s="2" t="s">
        <v>58</v>
      </c>
      <c r="N24" s="2">
        <v>15</v>
      </c>
      <c r="O24" s="2">
        <v>3</v>
      </c>
    </row>
    <row r="25" spans="1:15" x14ac:dyDescent="0.3">
      <c r="A25" s="2" t="s">
        <v>113</v>
      </c>
      <c r="B25" s="2" t="s">
        <v>114</v>
      </c>
      <c r="C25" s="2" t="s">
        <v>77</v>
      </c>
      <c r="D25" s="2">
        <v>22</v>
      </c>
      <c r="E25" s="2" t="s">
        <v>108</v>
      </c>
      <c r="F25" s="2" t="s">
        <v>109</v>
      </c>
      <c r="G25" s="2" t="s">
        <v>87</v>
      </c>
      <c r="H25" s="2">
        <v>0</v>
      </c>
      <c r="I25" s="9" t="s">
        <v>45</v>
      </c>
      <c r="J25" s="2">
        <v>3</v>
      </c>
      <c r="K25" s="3">
        <v>0.7</v>
      </c>
      <c r="L25" s="2" t="s">
        <v>46</v>
      </c>
      <c r="M25" s="2" t="s">
        <v>20</v>
      </c>
      <c r="N25" s="2">
        <v>5</v>
      </c>
      <c r="O25" s="2">
        <v>2</v>
      </c>
    </row>
    <row r="26" spans="1:15" x14ac:dyDescent="0.3">
      <c r="A26" s="2" t="s">
        <v>115</v>
      </c>
      <c r="B26" s="2" t="s">
        <v>116</v>
      </c>
      <c r="C26" s="2" t="s">
        <v>77</v>
      </c>
      <c r="D26" s="2">
        <v>34</v>
      </c>
      <c r="E26" s="2" t="s">
        <v>83</v>
      </c>
      <c r="F26" s="2" t="s">
        <v>84</v>
      </c>
      <c r="G26" s="2" t="s">
        <v>18</v>
      </c>
      <c r="H26" s="2">
        <v>8</v>
      </c>
      <c r="I26" s="9" t="s">
        <v>117</v>
      </c>
      <c r="J26" s="2">
        <v>4</v>
      </c>
      <c r="K26" s="3">
        <v>0.89</v>
      </c>
      <c r="L26" s="2" t="s">
        <v>69</v>
      </c>
      <c r="M26" s="2" t="s">
        <v>20</v>
      </c>
      <c r="N26" s="2">
        <v>6</v>
      </c>
      <c r="O26" s="2">
        <v>1</v>
      </c>
    </row>
    <row r="27" spans="1:15" x14ac:dyDescent="0.3">
      <c r="A27" s="2" t="s">
        <v>118</v>
      </c>
      <c r="B27" s="2" t="s">
        <v>119</v>
      </c>
      <c r="C27" s="2" t="s">
        <v>77</v>
      </c>
      <c r="D27" s="2">
        <v>36</v>
      </c>
      <c r="E27" s="2" t="s">
        <v>120</v>
      </c>
      <c r="F27" s="2" t="s">
        <v>121</v>
      </c>
      <c r="G27" s="2" t="s">
        <v>32</v>
      </c>
      <c r="H27" s="2">
        <v>11</v>
      </c>
      <c r="I27" s="9">
        <v>53.762214983713356</v>
      </c>
      <c r="J27" s="2">
        <v>4</v>
      </c>
      <c r="K27" s="3">
        <v>0.86</v>
      </c>
      <c r="L27" s="2" t="s">
        <v>46</v>
      </c>
      <c r="M27" s="2" t="s">
        <v>20</v>
      </c>
      <c r="N27" s="2">
        <v>12</v>
      </c>
      <c r="O27" s="2">
        <v>4</v>
      </c>
    </row>
    <row r="28" spans="1:15" x14ac:dyDescent="0.3">
      <c r="A28" s="2" t="s">
        <v>122</v>
      </c>
      <c r="B28" s="2" t="s">
        <v>123</v>
      </c>
      <c r="C28" s="2" t="s">
        <v>77</v>
      </c>
      <c r="D28" s="2">
        <v>47</v>
      </c>
      <c r="E28" s="2" t="s">
        <v>124</v>
      </c>
      <c r="F28" s="2" t="s">
        <v>25</v>
      </c>
      <c r="G28" s="2" t="s">
        <v>44</v>
      </c>
      <c r="H28" s="2">
        <v>22</v>
      </c>
      <c r="I28" s="9">
        <v>30</v>
      </c>
      <c r="J28" s="2">
        <v>2</v>
      </c>
      <c r="K28" s="3">
        <v>0.62</v>
      </c>
      <c r="L28" s="2" t="s">
        <v>46</v>
      </c>
      <c r="M28" s="2" t="s">
        <v>20</v>
      </c>
      <c r="N28" s="2">
        <v>14</v>
      </c>
      <c r="O28" s="2">
        <v>2</v>
      </c>
    </row>
    <row r="29" spans="1:15" x14ac:dyDescent="0.3">
      <c r="A29" s="2" t="s">
        <v>125</v>
      </c>
      <c r="B29" s="2" t="s">
        <v>126</v>
      </c>
      <c r="C29" s="2" t="s">
        <v>77</v>
      </c>
      <c r="D29" s="2">
        <v>41</v>
      </c>
      <c r="E29" s="2" t="s">
        <v>42</v>
      </c>
      <c r="F29" s="2" t="s">
        <v>43</v>
      </c>
      <c r="G29" s="2" t="s">
        <v>52</v>
      </c>
      <c r="H29" s="2">
        <v>14</v>
      </c>
      <c r="I29" s="9" t="s">
        <v>163</v>
      </c>
      <c r="J29" s="2">
        <v>1</v>
      </c>
      <c r="K29" s="3">
        <v>0.5</v>
      </c>
      <c r="L29" s="2" t="s">
        <v>69</v>
      </c>
      <c r="M29" s="2" t="s">
        <v>20</v>
      </c>
      <c r="N29" s="2">
        <v>6</v>
      </c>
      <c r="O29" s="2">
        <v>5</v>
      </c>
    </row>
    <row r="30" spans="1:15" x14ac:dyDescent="0.3">
      <c r="A30" s="2" t="s">
        <v>127</v>
      </c>
      <c r="B30" s="2" t="s">
        <v>128</v>
      </c>
      <c r="C30" s="2" t="s">
        <v>95</v>
      </c>
      <c r="D30" s="2">
        <v>22</v>
      </c>
      <c r="E30" s="2" t="s">
        <v>42</v>
      </c>
      <c r="F30" s="2" t="s">
        <v>43</v>
      </c>
      <c r="G30" s="2" t="s">
        <v>87</v>
      </c>
      <c r="H30" s="2">
        <v>4</v>
      </c>
      <c r="I30" s="9">
        <v>53.83986928104575</v>
      </c>
      <c r="J30" s="2">
        <v>1</v>
      </c>
      <c r="K30" s="3">
        <v>0.5</v>
      </c>
      <c r="L30" s="2" t="s">
        <v>69</v>
      </c>
      <c r="M30" s="2" t="s">
        <v>27</v>
      </c>
      <c r="N30" s="2">
        <v>3</v>
      </c>
      <c r="O30" s="2">
        <v>1</v>
      </c>
    </row>
    <row r="31" spans="1:15" x14ac:dyDescent="0.3">
      <c r="A31" s="2" t="s">
        <v>129</v>
      </c>
      <c r="B31" s="2" t="s">
        <v>130</v>
      </c>
      <c r="C31" s="2" t="s">
        <v>95</v>
      </c>
      <c r="D31" s="2">
        <v>38</v>
      </c>
      <c r="E31" s="2" t="s">
        <v>131</v>
      </c>
      <c r="F31" s="2" t="s">
        <v>132</v>
      </c>
      <c r="G31" s="2" t="s">
        <v>110</v>
      </c>
      <c r="H31" s="2">
        <v>19</v>
      </c>
      <c r="I31" s="9" t="s">
        <v>222</v>
      </c>
      <c r="J31" s="2">
        <v>2</v>
      </c>
      <c r="K31" s="3">
        <v>0.68</v>
      </c>
      <c r="L31" s="2" t="s">
        <v>19</v>
      </c>
      <c r="M31" s="2" t="s">
        <v>27</v>
      </c>
      <c r="N31" s="2">
        <v>10</v>
      </c>
      <c r="O31" s="2">
        <v>10</v>
      </c>
    </row>
    <row r="32" spans="1:15" x14ac:dyDescent="0.3">
      <c r="A32" s="2" t="s">
        <v>133</v>
      </c>
      <c r="B32" s="2" t="s">
        <v>134</v>
      </c>
      <c r="C32" s="2" t="s">
        <v>95</v>
      </c>
      <c r="D32" s="2">
        <v>46</v>
      </c>
      <c r="E32" s="2" t="s">
        <v>135</v>
      </c>
      <c r="F32" s="2" t="s">
        <v>136</v>
      </c>
      <c r="G32" s="2" t="s">
        <v>44</v>
      </c>
      <c r="H32" s="2">
        <v>9</v>
      </c>
      <c r="I32" s="9">
        <v>20</v>
      </c>
      <c r="J32" s="2">
        <v>3</v>
      </c>
      <c r="K32" s="3">
        <v>0.76</v>
      </c>
      <c r="L32" s="2" t="s">
        <v>69</v>
      </c>
      <c r="M32" s="2" t="s">
        <v>27</v>
      </c>
      <c r="N32" s="2">
        <v>13</v>
      </c>
      <c r="O32" s="2">
        <v>6</v>
      </c>
    </row>
    <row r="33" spans="1:15" x14ac:dyDescent="0.3">
      <c r="A33" s="2" t="s">
        <v>137</v>
      </c>
      <c r="B33" s="2" t="s">
        <v>138</v>
      </c>
      <c r="C33" s="2" t="s">
        <v>95</v>
      </c>
      <c r="D33" s="2">
        <v>41</v>
      </c>
      <c r="E33" s="2" t="s">
        <v>108</v>
      </c>
      <c r="F33" s="2" t="s">
        <v>109</v>
      </c>
      <c r="G33" s="2" t="s">
        <v>44</v>
      </c>
      <c r="H33" s="2">
        <v>9</v>
      </c>
      <c r="I33" s="9">
        <v>40</v>
      </c>
      <c r="J33" s="2">
        <v>4</v>
      </c>
      <c r="K33" s="3">
        <v>0.82</v>
      </c>
      <c r="L33" s="2" t="s">
        <v>65</v>
      </c>
      <c r="M33" s="2" t="s">
        <v>58</v>
      </c>
      <c r="N33" s="2">
        <v>15</v>
      </c>
      <c r="O33" s="2">
        <v>3</v>
      </c>
    </row>
    <row r="34" spans="1:15" x14ac:dyDescent="0.3">
      <c r="A34" s="2" t="s">
        <v>139</v>
      </c>
      <c r="B34" s="2" t="s">
        <v>140</v>
      </c>
      <c r="C34" s="2" t="s">
        <v>77</v>
      </c>
      <c r="D34" s="2">
        <v>54</v>
      </c>
      <c r="E34" s="2" t="s">
        <v>57</v>
      </c>
      <c r="F34" s="2" t="s">
        <v>25</v>
      </c>
      <c r="G34" s="2" t="s">
        <v>37</v>
      </c>
      <c r="H34" s="2">
        <v>32</v>
      </c>
      <c r="I34" s="9">
        <v>75</v>
      </c>
      <c r="J34" s="2">
        <v>4</v>
      </c>
      <c r="K34" s="3">
        <v>0.81</v>
      </c>
      <c r="L34" s="2" t="s">
        <v>46</v>
      </c>
      <c r="M34" s="2" t="s">
        <v>58</v>
      </c>
      <c r="N34" s="2">
        <v>18</v>
      </c>
      <c r="O34" s="2">
        <v>10</v>
      </c>
    </row>
    <row r="35" spans="1:15" x14ac:dyDescent="0.3">
      <c r="A35" s="2" t="s">
        <v>141</v>
      </c>
      <c r="B35" s="2" t="s">
        <v>142</v>
      </c>
      <c r="C35" s="2" t="s">
        <v>77</v>
      </c>
      <c r="D35" s="2">
        <v>42</v>
      </c>
      <c r="E35" s="2" t="s">
        <v>83</v>
      </c>
      <c r="F35" s="2" t="s">
        <v>84</v>
      </c>
      <c r="G35" s="2" t="s">
        <v>26</v>
      </c>
      <c r="H35" s="2">
        <v>6</v>
      </c>
      <c r="I35" s="9">
        <v>40</v>
      </c>
      <c r="J35" s="2">
        <v>2</v>
      </c>
      <c r="K35" s="3">
        <v>0.63</v>
      </c>
      <c r="L35" s="2" t="s">
        <v>65</v>
      </c>
      <c r="M35" s="2" t="s">
        <v>58</v>
      </c>
      <c r="N35" s="2">
        <v>15</v>
      </c>
      <c r="O35" s="2">
        <v>6</v>
      </c>
    </row>
    <row r="36" spans="1:15" x14ac:dyDescent="0.3">
      <c r="A36" s="2" t="s">
        <v>143</v>
      </c>
      <c r="B36" s="2" t="s">
        <v>144</v>
      </c>
      <c r="C36" s="2" t="s">
        <v>77</v>
      </c>
      <c r="D36" s="2">
        <v>29</v>
      </c>
      <c r="E36" s="2" t="s">
        <v>42</v>
      </c>
      <c r="F36" s="2" t="s">
        <v>43</v>
      </c>
      <c r="G36" s="2" t="s">
        <v>32</v>
      </c>
      <c r="H36" s="2">
        <v>10</v>
      </c>
      <c r="I36" s="9">
        <v>40</v>
      </c>
      <c r="J36" s="2">
        <v>2</v>
      </c>
      <c r="K36" s="3">
        <v>0.67</v>
      </c>
      <c r="L36" s="2" t="s">
        <v>69</v>
      </c>
      <c r="M36" s="2" t="s">
        <v>20</v>
      </c>
      <c r="N36" s="2">
        <v>10</v>
      </c>
      <c r="O36" s="2">
        <v>9</v>
      </c>
    </row>
    <row r="37" spans="1:15" x14ac:dyDescent="0.3">
      <c r="A37" s="2" t="s">
        <v>145</v>
      </c>
      <c r="B37" s="2" t="s">
        <v>146</v>
      </c>
      <c r="C37" s="2" t="s">
        <v>77</v>
      </c>
      <c r="D37" s="2">
        <v>42</v>
      </c>
      <c r="E37" s="2" t="s">
        <v>147</v>
      </c>
      <c r="F37" s="2" t="s">
        <v>148</v>
      </c>
      <c r="G37" s="2" t="s">
        <v>26</v>
      </c>
      <c r="H37" s="2">
        <v>23</v>
      </c>
      <c r="I37" s="9">
        <v>50</v>
      </c>
      <c r="J37" s="2">
        <v>1</v>
      </c>
      <c r="K37" s="3">
        <v>0.5</v>
      </c>
      <c r="L37" s="2" t="s">
        <v>65</v>
      </c>
      <c r="M37" s="2" t="s">
        <v>20</v>
      </c>
      <c r="N37" s="2">
        <v>13</v>
      </c>
      <c r="O37" s="2">
        <v>3</v>
      </c>
    </row>
    <row r="38" spans="1:15" x14ac:dyDescent="0.3">
      <c r="A38" s="2" t="s">
        <v>149</v>
      </c>
      <c r="B38" s="2" t="s">
        <v>150</v>
      </c>
      <c r="C38" s="2" t="s">
        <v>95</v>
      </c>
      <c r="D38" s="2">
        <v>60</v>
      </c>
      <c r="E38" s="2" t="s">
        <v>83</v>
      </c>
      <c r="F38" s="2" t="s">
        <v>84</v>
      </c>
      <c r="G38" s="2" t="s">
        <v>37</v>
      </c>
      <c r="H38" s="2">
        <v>13</v>
      </c>
      <c r="I38" s="9" t="s">
        <v>117</v>
      </c>
      <c r="J38" s="2">
        <v>4</v>
      </c>
      <c r="K38" s="3">
        <v>0.8</v>
      </c>
      <c r="L38" s="2" t="s">
        <v>65</v>
      </c>
      <c r="M38" s="2" t="s">
        <v>20</v>
      </c>
      <c r="N38" s="2">
        <v>9</v>
      </c>
      <c r="O38" s="2">
        <v>3</v>
      </c>
    </row>
    <row r="39" spans="1:15" x14ac:dyDescent="0.3">
      <c r="A39" s="2" t="s">
        <v>151</v>
      </c>
      <c r="B39" s="2" t="s">
        <v>152</v>
      </c>
      <c r="C39" s="2" t="s">
        <v>77</v>
      </c>
      <c r="D39" s="2">
        <v>59</v>
      </c>
      <c r="E39" s="2" t="s">
        <v>68</v>
      </c>
      <c r="F39" s="2" t="s">
        <v>25</v>
      </c>
      <c r="G39" s="2" t="s">
        <v>44</v>
      </c>
      <c r="H39" s="2">
        <v>3</v>
      </c>
      <c r="I39" s="9" t="s">
        <v>64</v>
      </c>
      <c r="J39" s="2">
        <v>1</v>
      </c>
      <c r="K39" s="3">
        <v>0.5</v>
      </c>
      <c r="L39" s="2" t="s">
        <v>19</v>
      </c>
      <c r="M39" s="2" t="s">
        <v>33</v>
      </c>
      <c r="N39" s="2">
        <v>3</v>
      </c>
      <c r="O39" s="2">
        <v>1</v>
      </c>
    </row>
    <row r="40" spans="1:15" x14ac:dyDescent="0.3">
      <c r="A40" s="2" t="s">
        <v>153</v>
      </c>
      <c r="B40" s="2" t="s">
        <v>154</v>
      </c>
      <c r="C40" s="2" t="s">
        <v>77</v>
      </c>
      <c r="D40" s="2">
        <v>21</v>
      </c>
      <c r="E40" s="2" t="s">
        <v>124</v>
      </c>
      <c r="F40" s="2" t="s">
        <v>25</v>
      </c>
      <c r="G40" s="2" t="s">
        <v>37</v>
      </c>
      <c r="H40" s="2">
        <v>0</v>
      </c>
      <c r="I40" s="9">
        <v>30</v>
      </c>
      <c r="J40" s="2">
        <v>4</v>
      </c>
      <c r="K40" s="3">
        <v>0.84</v>
      </c>
      <c r="L40" s="2" t="s">
        <v>65</v>
      </c>
      <c r="M40" s="2" t="s">
        <v>27</v>
      </c>
      <c r="N40" s="2">
        <v>5</v>
      </c>
      <c r="O40" s="2">
        <v>1</v>
      </c>
    </row>
    <row r="41" spans="1:15" x14ac:dyDescent="0.3">
      <c r="A41" s="2" t="s">
        <v>155</v>
      </c>
      <c r="B41" s="2" t="s">
        <v>156</v>
      </c>
      <c r="C41" s="2" t="s">
        <v>77</v>
      </c>
      <c r="D41" s="2">
        <v>35</v>
      </c>
      <c r="E41" s="2" t="s">
        <v>31</v>
      </c>
      <c r="F41" s="2" t="s">
        <v>31</v>
      </c>
      <c r="G41" s="2" t="s">
        <v>87</v>
      </c>
      <c r="H41" s="2">
        <v>10</v>
      </c>
      <c r="I41" s="9" t="s">
        <v>64</v>
      </c>
      <c r="J41" s="2">
        <v>1</v>
      </c>
      <c r="K41" s="3">
        <v>0.5</v>
      </c>
      <c r="L41" s="2" t="s">
        <v>46</v>
      </c>
      <c r="M41" s="2" t="s">
        <v>58</v>
      </c>
      <c r="N41" s="2">
        <v>7</v>
      </c>
      <c r="O41" s="2">
        <v>6</v>
      </c>
    </row>
    <row r="42" spans="1:15" x14ac:dyDescent="0.3">
      <c r="A42" s="2" t="s">
        <v>157</v>
      </c>
      <c r="B42" s="2" t="s">
        <v>158</v>
      </c>
      <c r="C42" s="2" t="s">
        <v>95</v>
      </c>
      <c r="D42" s="2">
        <v>41</v>
      </c>
      <c r="E42" s="2" t="s">
        <v>68</v>
      </c>
      <c r="F42" s="2" t="s">
        <v>25</v>
      </c>
      <c r="G42" s="2" t="s">
        <v>52</v>
      </c>
      <c r="H42" s="10">
        <v>9.7424242424242422</v>
      </c>
      <c r="I42" s="9">
        <v>20</v>
      </c>
      <c r="J42" s="2">
        <v>2</v>
      </c>
      <c r="K42" s="3">
        <v>0.63</v>
      </c>
      <c r="L42" s="2" t="s">
        <v>65</v>
      </c>
      <c r="M42" s="2" t="s">
        <v>58</v>
      </c>
      <c r="N42" s="2">
        <v>1</v>
      </c>
      <c r="O42" s="2">
        <v>1</v>
      </c>
    </row>
    <row r="43" spans="1:15" x14ac:dyDescent="0.3">
      <c r="A43" s="2" t="s">
        <v>159</v>
      </c>
      <c r="B43" s="2" t="s">
        <v>160</v>
      </c>
      <c r="C43" s="2" t="s">
        <v>77</v>
      </c>
      <c r="D43" s="2">
        <v>51</v>
      </c>
      <c r="E43" s="2" t="s">
        <v>42</v>
      </c>
      <c r="F43" s="2" t="s">
        <v>43</v>
      </c>
      <c r="G43" s="2" t="s">
        <v>110</v>
      </c>
      <c r="H43" s="2">
        <v>23</v>
      </c>
      <c r="I43" s="9">
        <v>20</v>
      </c>
      <c r="J43" s="2">
        <v>4</v>
      </c>
      <c r="K43" s="3">
        <v>0.8</v>
      </c>
      <c r="L43" s="2" t="s">
        <v>46</v>
      </c>
      <c r="M43" s="2" t="s">
        <v>20</v>
      </c>
      <c r="N43" s="2">
        <v>17</v>
      </c>
      <c r="O43" s="2">
        <v>15</v>
      </c>
    </row>
    <row r="44" spans="1:15" x14ac:dyDescent="0.3">
      <c r="A44" s="2" t="s">
        <v>161</v>
      </c>
      <c r="B44" s="2" t="s">
        <v>162</v>
      </c>
      <c r="C44" s="2" t="s">
        <v>95</v>
      </c>
      <c r="D44" s="2">
        <v>41</v>
      </c>
      <c r="E44" s="2" t="s">
        <v>147</v>
      </c>
      <c r="F44" s="2" t="s">
        <v>148</v>
      </c>
      <c r="G44" s="2" t="s">
        <v>37</v>
      </c>
      <c r="H44" s="2">
        <v>9</v>
      </c>
      <c r="I44" s="9" t="s">
        <v>163</v>
      </c>
      <c r="J44" s="2">
        <v>3</v>
      </c>
      <c r="K44" s="3">
        <v>0.74</v>
      </c>
      <c r="L44" s="2" t="s">
        <v>46</v>
      </c>
      <c r="M44" s="2" t="s">
        <v>58</v>
      </c>
      <c r="N44" s="2">
        <v>13</v>
      </c>
      <c r="O44" s="2">
        <v>8</v>
      </c>
    </row>
    <row r="45" spans="1:15" x14ac:dyDescent="0.3">
      <c r="A45" s="2" t="s">
        <v>164</v>
      </c>
      <c r="B45" s="2" t="s">
        <v>165</v>
      </c>
      <c r="C45" s="2" t="s">
        <v>77</v>
      </c>
      <c r="D45" s="2">
        <v>47</v>
      </c>
      <c r="E45" s="2" t="s">
        <v>135</v>
      </c>
      <c r="F45" s="2" t="s">
        <v>136</v>
      </c>
      <c r="G45" s="2" t="s">
        <v>87</v>
      </c>
      <c r="H45" s="2">
        <v>15</v>
      </c>
      <c r="I45" s="9" t="s">
        <v>45</v>
      </c>
      <c r="J45" s="2">
        <v>4</v>
      </c>
      <c r="K45" s="3">
        <v>0.85</v>
      </c>
      <c r="L45" s="2" t="s">
        <v>46</v>
      </c>
      <c r="M45" s="2" t="s">
        <v>58</v>
      </c>
      <c r="N45" s="2">
        <v>12</v>
      </c>
      <c r="O45" s="2">
        <v>4</v>
      </c>
    </row>
    <row r="46" spans="1:15" x14ac:dyDescent="0.3">
      <c r="A46" s="2" t="s">
        <v>166</v>
      </c>
      <c r="B46" s="2" t="s">
        <v>167</v>
      </c>
      <c r="C46" s="2" t="s">
        <v>95</v>
      </c>
      <c r="D46" s="2">
        <v>25</v>
      </c>
      <c r="E46" s="2" t="s">
        <v>168</v>
      </c>
      <c r="F46" s="2" t="s">
        <v>169</v>
      </c>
      <c r="G46" s="2" t="s">
        <v>32</v>
      </c>
      <c r="H46" s="2">
        <v>4</v>
      </c>
      <c r="I46" s="9">
        <v>50</v>
      </c>
      <c r="J46" s="2">
        <v>3</v>
      </c>
      <c r="K46" s="3">
        <v>0.77</v>
      </c>
      <c r="L46" s="2" t="s">
        <v>69</v>
      </c>
      <c r="M46" s="2" t="s">
        <v>27</v>
      </c>
      <c r="N46" s="2">
        <v>4</v>
      </c>
      <c r="O46" s="2">
        <v>3</v>
      </c>
    </row>
    <row r="47" spans="1:15" x14ac:dyDescent="0.3">
      <c r="A47" s="2" t="s">
        <v>170</v>
      </c>
      <c r="B47" s="2" t="s">
        <v>171</v>
      </c>
      <c r="C47" s="2" t="s">
        <v>77</v>
      </c>
      <c r="D47" s="2">
        <v>25</v>
      </c>
      <c r="E47" s="2" t="s">
        <v>172</v>
      </c>
      <c r="F47" s="2" t="s">
        <v>73</v>
      </c>
      <c r="G47" s="2" t="s">
        <v>26</v>
      </c>
      <c r="H47" s="2">
        <v>7</v>
      </c>
      <c r="I47" s="9">
        <v>20</v>
      </c>
      <c r="J47" s="2">
        <v>1</v>
      </c>
      <c r="K47" s="3">
        <v>0.5</v>
      </c>
      <c r="L47" s="2" t="s">
        <v>19</v>
      </c>
      <c r="M47" s="2" t="s">
        <v>20</v>
      </c>
      <c r="N47" s="2">
        <v>12</v>
      </c>
      <c r="O47" s="2">
        <v>10</v>
      </c>
    </row>
    <row r="48" spans="1:15" x14ac:dyDescent="0.3">
      <c r="A48" s="2" t="s">
        <v>173</v>
      </c>
      <c r="B48" s="2" t="s">
        <v>174</v>
      </c>
      <c r="C48" s="2" t="s">
        <v>95</v>
      </c>
      <c r="D48" s="2">
        <v>29</v>
      </c>
      <c r="E48" s="2" t="s">
        <v>42</v>
      </c>
      <c r="F48" s="2" t="s">
        <v>43</v>
      </c>
      <c r="G48" s="2" t="s">
        <v>74</v>
      </c>
      <c r="H48" s="2">
        <v>1</v>
      </c>
      <c r="I48" s="9">
        <v>20</v>
      </c>
      <c r="J48" s="2">
        <v>2</v>
      </c>
      <c r="K48" s="3">
        <v>0.63</v>
      </c>
      <c r="L48" s="2" t="s">
        <v>46</v>
      </c>
      <c r="M48" s="2" t="s">
        <v>27</v>
      </c>
      <c r="N48" s="2">
        <v>2</v>
      </c>
      <c r="O48" s="2">
        <v>1</v>
      </c>
    </row>
    <row r="49" spans="1:15" x14ac:dyDescent="0.3">
      <c r="A49" s="2" t="s">
        <v>175</v>
      </c>
      <c r="B49" s="2" t="s">
        <v>176</v>
      </c>
      <c r="C49" s="2" t="s">
        <v>77</v>
      </c>
      <c r="D49" s="2">
        <v>23</v>
      </c>
      <c r="E49" s="2" t="s">
        <v>72</v>
      </c>
      <c r="F49" s="2" t="s">
        <v>73</v>
      </c>
      <c r="G49" s="2" t="s">
        <v>78</v>
      </c>
      <c r="H49" s="2">
        <v>0</v>
      </c>
      <c r="I49" s="9">
        <v>75</v>
      </c>
      <c r="J49" s="2">
        <v>3</v>
      </c>
      <c r="K49" s="3">
        <v>0.79</v>
      </c>
      <c r="L49" s="2" t="s">
        <v>46</v>
      </c>
      <c r="M49" s="2" t="s">
        <v>33</v>
      </c>
      <c r="N49" s="2">
        <v>2</v>
      </c>
      <c r="O49" s="2">
        <v>5</v>
      </c>
    </row>
    <row r="50" spans="1:15" x14ac:dyDescent="0.3">
      <c r="A50" s="2" t="s">
        <v>177</v>
      </c>
      <c r="B50" s="2" t="s">
        <v>178</v>
      </c>
      <c r="C50" s="2" t="s">
        <v>95</v>
      </c>
      <c r="D50" s="2">
        <v>31</v>
      </c>
      <c r="E50" s="2" t="s">
        <v>131</v>
      </c>
      <c r="F50" s="2" t="s">
        <v>132</v>
      </c>
      <c r="G50" s="2" t="s">
        <v>52</v>
      </c>
      <c r="H50" s="2">
        <v>8</v>
      </c>
      <c r="I50" s="9">
        <v>50</v>
      </c>
      <c r="J50" s="2">
        <v>1</v>
      </c>
      <c r="K50" s="3">
        <v>0.5</v>
      </c>
      <c r="L50" s="2" t="s">
        <v>69</v>
      </c>
      <c r="M50" s="2" t="s">
        <v>33</v>
      </c>
      <c r="N50" s="2">
        <v>11</v>
      </c>
      <c r="O50" s="2">
        <v>3</v>
      </c>
    </row>
    <row r="51" spans="1:15" x14ac:dyDescent="0.3">
      <c r="A51" s="2" t="s">
        <v>179</v>
      </c>
      <c r="B51" s="2" t="s">
        <v>180</v>
      </c>
      <c r="C51" s="2" t="s">
        <v>95</v>
      </c>
      <c r="D51" s="2">
        <v>51</v>
      </c>
      <c r="E51" s="2" t="s">
        <v>31</v>
      </c>
      <c r="F51" s="2" t="s">
        <v>31</v>
      </c>
      <c r="G51" s="2" t="s">
        <v>110</v>
      </c>
      <c r="H51" s="2">
        <v>33</v>
      </c>
      <c r="I51" s="9">
        <v>75</v>
      </c>
      <c r="J51" s="2">
        <v>2</v>
      </c>
      <c r="K51" s="3">
        <v>0.68</v>
      </c>
      <c r="L51" s="2" t="s">
        <v>46</v>
      </c>
      <c r="M51" s="2" t="s">
        <v>33</v>
      </c>
      <c r="N51" s="2">
        <v>17</v>
      </c>
      <c r="O51" s="2">
        <v>8</v>
      </c>
    </row>
    <row r="52" spans="1:15" x14ac:dyDescent="0.3">
      <c r="A52" s="2" t="s">
        <v>181</v>
      </c>
      <c r="B52" s="2" t="s">
        <v>182</v>
      </c>
      <c r="C52" s="2" t="s">
        <v>95</v>
      </c>
      <c r="D52" s="2">
        <v>41</v>
      </c>
      <c r="E52" s="2" t="s">
        <v>183</v>
      </c>
      <c r="F52" s="2" t="s">
        <v>73</v>
      </c>
      <c r="G52" s="2" t="s">
        <v>74</v>
      </c>
      <c r="H52" s="2">
        <v>1</v>
      </c>
      <c r="I52" s="9">
        <v>30</v>
      </c>
      <c r="J52" s="2">
        <v>2</v>
      </c>
      <c r="K52" s="3">
        <v>0.68</v>
      </c>
      <c r="L52" s="2" t="s">
        <v>65</v>
      </c>
      <c r="M52" s="2" t="s">
        <v>20</v>
      </c>
      <c r="N52" s="2">
        <v>1</v>
      </c>
      <c r="O52" s="2">
        <v>2</v>
      </c>
    </row>
    <row r="53" spans="1:15" x14ac:dyDescent="0.3">
      <c r="A53" s="2" t="s">
        <v>184</v>
      </c>
      <c r="B53" s="2" t="s">
        <v>185</v>
      </c>
      <c r="C53" s="2" t="s">
        <v>77</v>
      </c>
      <c r="D53" s="2">
        <v>29</v>
      </c>
      <c r="E53" s="2" t="s">
        <v>62</v>
      </c>
      <c r="F53" s="2" t="s">
        <v>63</v>
      </c>
      <c r="G53" s="2" t="s">
        <v>78</v>
      </c>
      <c r="H53" s="2">
        <v>11</v>
      </c>
      <c r="I53" s="9">
        <v>100</v>
      </c>
      <c r="J53" s="2">
        <v>3</v>
      </c>
      <c r="K53" s="3">
        <v>0.72</v>
      </c>
      <c r="L53" s="2" t="s">
        <v>65</v>
      </c>
      <c r="M53" s="2" t="s">
        <v>58</v>
      </c>
      <c r="N53" s="2">
        <v>7</v>
      </c>
      <c r="O53" s="2">
        <v>7</v>
      </c>
    </row>
    <row r="54" spans="1:15" x14ac:dyDescent="0.3">
      <c r="A54" s="2" t="s">
        <v>186</v>
      </c>
      <c r="B54" s="2" t="s">
        <v>187</v>
      </c>
      <c r="C54" s="2" t="s">
        <v>95</v>
      </c>
      <c r="D54" s="2">
        <v>50</v>
      </c>
      <c r="E54" s="2" t="s">
        <v>68</v>
      </c>
      <c r="F54" s="2" t="s">
        <v>25</v>
      </c>
      <c r="G54" s="2" t="s">
        <v>44</v>
      </c>
      <c r="H54" s="2">
        <v>15</v>
      </c>
      <c r="I54" s="9">
        <v>54.394463667820069</v>
      </c>
      <c r="J54" s="2">
        <v>2</v>
      </c>
      <c r="K54" s="3">
        <v>0.65</v>
      </c>
      <c r="L54" s="2" t="s">
        <v>19</v>
      </c>
      <c r="M54" s="2" t="s">
        <v>20</v>
      </c>
      <c r="N54" s="2">
        <v>7</v>
      </c>
      <c r="O54" s="2">
        <v>7</v>
      </c>
    </row>
    <row r="55" spans="1:15" x14ac:dyDescent="0.3">
      <c r="A55" s="2" t="s">
        <v>188</v>
      </c>
      <c r="B55" s="2" t="s">
        <v>189</v>
      </c>
      <c r="C55" s="2" t="s">
        <v>77</v>
      </c>
      <c r="D55" s="2">
        <v>26</v>
      </c>
      <c r="E55" s="2" t="s">
        <v>68</v>
      </c>
      <c r="F55" s="2" t="s">
        <v>25</v>
      </c>
      <c r="G55" s="2" t="s">
        <v>87</v>
      </c>
      <c r="H55" s="2">
        <v>8</v>
      </c>
      <c r="I55" s="9">
        <v>50</v>
      </c>
      <c r="J55" s="2">
        <v>3</v>
      </c>
      <c r="K55" s="3">
        <v>0.76</v>
      </c>
      <c r="L55" s="2" t="s">
        <v>46</v>
      </c>
      <c r="M55" s="2" t="s">
        <v>20</v>
      </c>
      <c r="N55" s="2">
        <v>7</v>
      </c>
      <c r="O55" s="2">
        <v>5</v>
      </c>
    </row>
    <row r="56" spans="1:15" x14ac:dyDescent="0.3">
      <c r="A56" s="2" t="s">
        <v>190</v>
      </c>
      <c r="B56" s="2" t="s">
        <v>191</v>
      </c>
      <c r="C56" s="2" t="s">
        <v>95</v>
      </c>
      <c r="D56" s="2">
        <v>38</v>
      </c>
      <c r="E56" s="2" t="s">
        <v>124</v>
      </c>
      <c r="F56" s="2" t="s">
        <v>25</v>
      </c>
      <c r="G56" s="2" t="s">
        <v>44</v>
      </c>
      <c r="H56" s="2">
        <v>17</v>
      </c>
      <c r="I56" s="9" t="s">
        <v>38</v>
      </c>
      <c r="J56" s="2">
        <v>5</v>
      </c>
      <c r="K56" s="3">
        <v>0.9</v>
      </c>
      <c r="L56" s="2" t="s">
        <v>69</v>
      </c>
      <c r="M56" s="2" t="s">
        <v>58</v>
      </c>
      <c r="N56" s="2">
        <v>16</v>
      </c>
      <c r="O56" s="2">
        <v>11</v>
      </c>
    </row>
    <row r="57" spans="1:15" x14ac:dyDescent="0.3">
      <c r="A57" s="2" t="s">
        <v>192</v>
      </c>
      <c r="B57" s="2" t="s">
        <v>193</v>
      </c>
      <c r="C57" s="2" t="s">
        <v>77</v>
      </c>
      <c r="D57" s="2">
        <v>23</v>
      </c>
      <c r="E57" s="2" t="s">
        <v>91</v>
      </c>
      <c r="F57" s="2" t="s">
        <v>92</v>
      </c>
      <c r="G57" s="2" t="s">
        <v>26</v>
      </c>
      <c r="H57" s="10">
        <v>11.507692307692308</v>
      </c>
      <c r="I57" s="9">
        <v>75</v>
      </c>
      <c r="J57" s="2">
        <v>2</v>
      </c>
      <c r="K57" s="3">
        <v>0.65</v>
      </c>
      <c r="L57" s="2" t="s">
        <v>65</v>
      </c>
      <c r="M57" s="2" t="s">
        <v>27</v>
      </c>
      <c r="N57" s="2">
        <v>2</v>
      </c>
      <c r="O57" s="2">
        <v>4</v>
      </c>
    </row>
    <row r="58" spans="1:15" x14ac:dyDescent="0.3">
      <c r="A58" s="2" t="s">
        <v>194</v>
      </c>
      <c r="B58" s="2" t="s">
        <v>195</v>
      </c>
      <c r="C58" s="2" t="s">
        <v>77</v>
      </c>
      <c r="D58" s="2">
        <v>51</v>
      </c>
      <c r="E58" s="2" t="s">
        <v>147</v>
      </c>
      <c r="F58" s="2" t="s">
        <v>148</v>
      </c>
      <c r="G58" s="2" t="s">
        <v>87</v>
      </c>
      <c r="H58" s="2">
        <v>28</v>
      </c>
      <c r="I58" s="9">
        <v>40</v>
      </c>
      <c r="J58" s="2">
        <v>2</v>
      </c>
      <c r="K58" s="3">
        <v>0.63</v>
      </c>
      <c r="L58" s="2" t="s">
        <v>69</v>
      </c>
      <c r="M58" s="2" t="s">
        <v>33</v>
      </c>
      <c r="N58" s="2">
        <v>13</v>
      </c>
      <c r="O58" s="2">
        <v>6</v>
      </c>
    </row>
    <row r="59" spans="1:15" x14ac:dyDescent="0.3">
      <c r="A59" s="2" t="s">
        <v>196</v>
      </c>
      <c r="B59" s="2" t="s">
        <v>197</v>
      </c>
      <c r="C59" s="2" t="s">
        <v>77</v>
      </c>
      <c r="D59" s="2">
        <v>51</v>
      </c>
      <c r="E59" s="2" t="s">
        <v>50</v>
      </c>
      <c r="F59" s="2" t="s">
        <v>51</v>
      </c>
      <c r="G59" s="2" t="s">
        <v>44</v>
      </c>
      <c r="H59" s="2">
        <v>33</v>
      </c>
      <c r="I59" s="9" t="s">
        <v>163</v>
      </c>
      <c r="J59" s="2">
        <v>1</v>
      </c>
      <c r="K59" s="3">
        <v>0.5</v>
      </c>
      <c r="L59" s="2" t="s">
        <v>69</v>
      </c>
      <c r="M59" s="2" t="s">
        <v>27</v>
      </c>
      <c r="N59" s="2">
        <v>14</v>
      </c>
      <c r="O59" s="2">
        <v>8</v>
      </c>
    </row>
    <row r="60" spans="1:15" x14ac:dyDescent="0.3">
      <c r="A60" s="2" t="s">
        <v>198</v>
      </c>
      <c r="B60" s="2" t="s">
        <v>199</v>
      </c>
      <c r="C60" s="2" t="s">
        <v>95</v>
      </c>
      <c r="D60" s="2">
        <v>47</v>
      </c>
      <c r="E60" s="2" t="s">
        <v>31</v>
      </c>
      <c r="F60" s="2" t="s">
        <v>31</v>
      </c>
      <c r="G60" s="2" t="s">
        <v>44</v>
      </c>
      <c r="H60" s="2">
        <v>18</v>
      </c>
      <c r="I60" s="9">
        <v>75</v>
      </c>
      <c r="J60" s="2">
        <v>1</v>
      </c>
      <c r="K60" s="3">
        <v>0.5</v>
      </c>
      <c r="L60" s="2" t="s">
        <v>65</v>
      </c>
      <c r="M60" s="2" t="s">
        <v>33</v>
      </c>
      <c r="N60" s="2">
        <v>11</v>
      </c>
      <c r="O60" s="2">
        <v>8</v>
      </c>
    </row>
    <row r="61" spans="1:15" x14ac:dyDescent="0.3">
      <c r="A61" s="2" t="s">
        <v>200</v>
      </c>
      <c r="B61" s="2" t="s">
        <v>201</v>
      </c>
      <c r="C61" s="2" t="s">
        <v>77</v>
      </c>
      <c r="D61" s="2">
        <v>34</v>
      </c>
      <c r="E61" s="2" t="s">
        <v>120</v>
      </c>
      <c r="F61" s="2" t="s">
        <v>121</v>
      </c>
      <c r="G61" s="2" t="s">
        <v>74</v>
      </c>
      <c r="H61" s="2">
        <v>16</v>
      </c>
      <c r="I61" s="9" t="s">
        <v>117</v>
      </c>
      <c r="J61" s="2">
        <v>5</v>
      </c>
      <c r="K61" s="3">
        <v>0.93</v>
      </c>
      <c r="L61" s="2" t="s">
        <v>69</v>
      </c>
      <c r="M61" s="2" t="s">
        <v>20</v>
      </c>
      <c r="N61" s="2">
        <v>15</v>
      </c>
      <c r="O61" s="2">
        <v>5</v>
      </c>
    </row>
    <row r="62" spans="1:15" x14ac:dyDescent="0.3">
      <c r="A62" s="2" t="s">
        <v>202</v>
      </c>
      <c r="B62" s="2" t="s">
        <v>203</v>
      </c>
      <c r="C62" s="2" t="s">
        <v>77</v>
      </c>
      <c r="D62" s="2">
        <v>58</v>
      </c>
      <c r="E62" s="2" t="s">
        <v>50</v>
      </c>
      <c r="F62" s="2" t="s">
        <v>51</v>
      </c>
      <c r="G62" s="2" t="s">
        <v>52</v>
      </c>
      <c r="H62" s="2">
        <v>35</v>
      </c>
      <c r="I62" s="9" t="s">
        <v>64</v>
      </c>
      <c r="J62" s="2">
        <v>3</v>
      </c>
      <c r="K62" s="3">
        <v>0.7</v>
      </c>
      <c r="L62" s="2" t="s">
        <v>65</v>
      </c>
      <c r="M62" s="2" t="s">
        <v>33</v>
      </c>
      <c r="N62" s="2">
        <v>17</v>
      </c>
      <c r="O62" s="2">
        <v>13</v>
      </c>
    </row>
    <row r="63" spans="1:15" x14ac:dyDescent="0.3">
      <c r="A63" s="2" t="s">
        <v>204</v>
      </c>
      <c r="B63" s="2" t="s">
        <v>205</v>
      </c>
      <c r="C63" s="2" t="s">
        <v>77</v>
      </c>
      <c r="D63" s="2">
        <v>50</v>
      </c>
      <c r="E63" s="2" t="s">
        <v>120</v>
      </c>
      <c r="F63" s="2" t="s">
        <v>121</v>
      </c>
      <c r="G63" s="2" t="s">
        <v>44</v>
      </c>
      <c r="H63" s="2">
        <v>14</v>
      </c>
      <c r="I63" s="9">
        <v>54.315789473684212</v>
      </c>
      <c r="J63" s="2">
        <v>4</v>
      </c>
      <c r="K63" s="3">
        <v>0.83</v>
      </c>
      <c r="L63" s="2" t="s">
        <v>69</v>
      </c>
      <c r="M63" s="2" t="s">
        <v>20</v>
      </c>
      <c r="N63" s="2">
        <v>13</v>
      </c>
      <c r="O63" s="2">
        <v>8</v>
      </c>
    </row>
    <row r="64" spans="1:15" x14ac:dyDescent="0.3">
      <c r="A64" s="2" t="s">
        <v>206</v>
      </c>
      <c r="B64" s="2" t="s">
        <v>207</v>
      </c>
      <c r="C64" s="2" t="s">
        <v>77</v>
      </c>
      <c r="D64" s="2">
        <v>34</v>
      </c>
      <c r="E64" s="2" t="s">
        <v>183</v>
      </c>
      <c r="F64" s="2" t="s">
        <v>73</v>
      </c>
      <c r="G64" s="2" t="s">
        <v>37</v>
      </c>
      <c r="H64" s="2">
        <v>12</v>
      </c>
      <c r="I64" s="9">
        <v>40</v>
      </c>
      <c r="J64" s="2">
        <v>2</v>
      </c>
      <c r="K64" s="3">
        <v>0.64</v>
      </c>
      <c r="L64" s="2" t="s">
        <v>65</v>
      </c>
      <c r="M64" s="2" t="s">
        <v>27</v>
      </c>
      <c r="N64" s="2">
        <v>14</v>
      </c>
      <c r="O64" s="2">
        <v>12</v>
      </c>
    </row>
    <row r="65" spans="1:15" x14ac:dyDescent="0.3">
      <c r="A65" s="2" t="s">
        <v>208</v>
      </c>
      <c r="B65" s="2" t="s">
        <v>209</v>
      </c>
      <c r="C65" s="2" t="s">
        <v>77</v>
      </c>
      <c r="D65" s="2">
        <v>45</v>
      </c>
      <c r="E65" s="2" t="s">
        <v>104</v>
      </c>
      <c r="F65" s="2" t="s">
        <v>105</v>
      </c>
      <c r="G65" s="2" t="s">
        <v>44</v>
      </c>
      <c r="H65" s="2">
        <v>11</v>
      </c>
      <c r="I65" s="9" t="s">
        <v>163</v>
      </c>
      <c r="J65" s="2">
        <v>5</v>
      </c>
      <c r="K65" s="3">
        <v>1</v>
      </c>
      <c r="L65" s="2" t="s">
        <v>46</v>
      </c>
      <c r="M65" s="2" t="s">
        <v>20</v>
      </c>
      <c r="N65" s="2">
        <v>9</v>
      </c>
      <c r="O65" s="2">
        <v>2</v>
      </c>
    </row>
    <row r="66" spans="1:15" x14ac:dyDescent="0.3">
      <c r="A66" s="2" t="s">
        <v>210</v>
      </c>
      <c r="B66" s="2" t="s">
        <v>211</v>
      </c>
      <c r="C66" s="2" t="s">
        <v>77</v>
      </c>
      <c r="D66" s="2">
        <v>55</v>
      </c>
      <c r="E66" s="2" t="s">
        <v>104</v>
      </c>
      <c r="F66" s="2" t="s">
        <v>105</v>
      </c>
      <c r="G66" s="2" t="s">
        <v>37</v>
      </c>
      <c r="H66" s="2">
        <v>0</v>
      </c>
      <c r="I66" s="9" t="s">
        <v>38</v>
      </c>
      <c r="J66" s="2">
        <v>1</v>
      </c>
      <c r="K66" s="3">
        <v>0.5</v>
      </c>
      <c r="L66" s="2" t="s">
        <v>19</v>
      </c>
      <c r="M66" s="2" t="s">
        <v>27</v>
      </c>
      <c r="N66" s="2">
        <v>5</v>
      </c>
      <c r="O66" s="2">
        <v>5</v>
      </c>
    </row>
    <row r="67" spans="1:15" x14ac:dyDescent="0.3">
      <c r="A67" s="2" t="s">
        <v>212</v>
      </c>
      <c r="B67" s="2" t="s">
        <v>213</v>
      </c>
      <c r="C67" s="2" t="s">
        <v>95</v>
      </c>
      <c r="D67" s="2">
        <v>41</v>
      </c>
      <c r="E67" s="2" t="s">
        <v>72</v>
      </c>
      <c r="F67" s="2" t="s">
        <v>73</v>
      </c>
      <c r="G67" s="2" t="s">
        <v>74</v>
      </c>
      <c r="H67" s="2">
        <v>6</v>
      </c>
      <c r="I67" s="9">
        <v>100</v>
      </c>
      <c r="J67" s="2">
        <v>1</v>
      </c>
      <c r="K67" s="3">
        <v>0.5</v>
      </c>
      <c r="L67" s="2" t="s">
        <v>65</v>
      </c>
      <c r="M67" s="2" t="s">
        <v>58</v>
      </c>
      <c r="N67" s="2">
        <v>8</v>
      </c>
      <c r="O67" s="2">
        <v>2</v>
      </c>
    </row>
    <row r="68" spans="1:15" x14ac:dyDescent="0.3">
      <c r="A68" s="2" t="s">
        <v>214</v>
      </c>
      <c r="B68" s="2" t="s">
        <v>215</v>
      </c>
      <c r="C68" s="2" t="s">
        <v>77</v>
      </c>
      <c r="D68" s="2">
        <v>60</v>
      </c>
      <c r="E68" s="2" t="s">
        <v>168</v>
      </c>
      <c r="F68" s="2" t="s">
        <v>169</v>
      </c>
      <c r="G68" s="2" t="s">
        <v>74</v>
      </c>
      <c r="H68" s="2">
        <v>38</v>
      </c>
      <c r="I68" s="9" t="s">
        <v>117</v>
      </c>
      <c r="J68" s="2">
        <v>3</v>
      </c>
      <c r="K68" s="3">
        <v>0.71</v>
      </c>
      <c r="L68" s="2" t="s">
        <v>65</v>
      </c>
      <c r="M68" s="2" t="s">
        <v>58</v>
      </c>
      <c r="N68" s="2">
        <v>19</v>
      </c>
      <c r="O68" s="2">
        <v>7</v>
      </c>
    </row>
    <row r="69" spans="1:15" x14ac:dyDescent="0.3">
      <c r="A69" s="2" t="s">
        <v>216</v>
      </c>
      <c r="B69" s="2" t="s">
        <v>217</v>
      </c>
      <c r="C69" s="2" t="s">
        <v>77</v>
      </c>
      <c r="D69" s="2">
        <v>33</v>
      </c>
      <c r="E69" s="2" t="s">
        <v>147</v>
      </c>
      <c r="F69" s="2" t="s">
        <v>148</v>
      </c>
      <c r="G69" s="2" t="s">
        <v>26</v>
      </c>
      <c r="H69" s="2">
        <v>11</v>
      </c>
      <c r="I69" s="9">
        <v>54.204946996466433</v>
      </c>
      <c r="J69" s="2">
        <v>4</v>
      </c>
      <c r="K69" s="3">
        <v>0.84</v>
      </c>
      <c r="L69" s="2" t="s">
        <v>19</v>
      </c>
      <c r="M69" s="2" t="s">
        <v>58</v>
      </c>
      <c r="N69" s="2">
        <v>6</v>
      </c>
      <c r="O69" s="2">
        <v>3</v>
      </c>
    </row>
    <row r="70" spans="1:15" x14ac:dyDescent="0.3">
      <c r="A70" s="2" t="s">
        <v>218</v>
      </c>
      <c r="B70" s="2" t="s">
        <v>219</v>
      </c>
      <c r="C70" s="2" t="s">
        <v>95</v>
      </c>
      <c r="D70" s="2">
        <v>60</v>
      </c>
      <c r="E70" s="2" t="s">
        <v>16</v>
      </c>
      <c r="F70" s="2" t="s">
        <v>17</v>
      </c>
      <c r="G70" s="2" t="s">
        <v>87</v>
      </c>
      <c r="H70" s="2">
        <v>13</v>
      </c>
      <c r="I70" s="9" t="s">
        <v>64</v>
      </c>
      <c r="J70" s="2">
        <v>1</v>
      </c>
      <c r="K70" s="3">
        <v>0.5</v>
      </c>
      <c r="L70" s="2" t="s">
        <v>65</v>
      </c>
      <c r="M70" s="2" t="s">
        <v>20</v>
      </c>
      <c r="N70" s="2">
        <v>15</v>
      </c>
      <c r="O70" s="2">
        <v>1</v>
      </c>
    </row>
    <row r="71" spans="1:15" x14ac:dyDescent="0.3">
      <c r="A71" s="2" t="s">
        <v>220</v>
      </c>
      <c r="B71" s="2" t="s">
        <v>221</v>
      </c>
      <c r="C71" s="2" t="s">
        <v>95</v>
      </c>
      <c r="D71" s="2">
        <v>40</v>
      </c>
      <c r="E71" s="2" t="s">
        <v>57</v>
      </c>
      <c r="F71" s="2" t="s">
        <v>25</v>
      </c>
      <c r="G71" s="2" t="s">
        <v>37</v>
      </c>
      <c r="H71" s="2">
        <v>9</v>
      </c>
      <c r="I71" s="9" t="s">
        <v>222</v>
      </c>
      <c r="J71" s="2">
        <v>2</v>
      </c>
      <c r="K71" s="3">
        <v>0.69</v>
      </c>
      <c r="L71" s="2" t="s">
        <v>65</v>
      </c>
      <c r="M71" s="2" t="s">
        <v>58</v>
      </c>
      <c r="N71" s="2">
        <v>11</v>
      </c>
      <c r="O71" s="2">
        <v>10</v>
      </c>
    </row>
    <row r="72" spans="1:15" x14ac:dyDescent="0.3">
      <c r="A72" s="2" t="s">
        <v>223</v>
      </c>
      <c r="B72" s="2" t="s">
        <v>224</v>
      </c>
      <c r="C72" s="2" t="s">
        <v>95</v>
      </c>
      <c r="D72" s="2">
        <v>59</v>
      </c>
      <c r="E72" s="2" t="s">
        <v>24</v>
      </c>
      <c r="F72" s="2" t="s">
        <v>25</v>
      </c>
      <c r="G72" s="2" t="s">
        <v>18</v>
      </c>
      <c r="H72" s="2">
        <v>4</v>
      </c>
      <c r="I72" s="9">
        <v>54.204946996466433</v>
      </c>
      <c r="J72" s="2">
        <v>4</v>
      </c>
      <c r="K72" s="3">
        <v>0.88</v>
      </c>
      <c r="L72" s="2" t="s">
        <v>69</v>
      </c>
      <c r="M72" s="2" t="s">
        <v>33</v>
      </c>
      <c r="N72" s="2">
        <v>5</v>
      </c>
      <c r="O72" s="2">
        <v>1</v>
      </c>
    </row>
    <row r="73" spans="1:15" x14ac:dyDescent="0.3">
      <c r="A73" s="2" t="s">
        <v>225</v>
      </c>
      <c r="B73" s="2" t="s">
        <v>226</v>
      </c>
      <c r="C73" s="2" t="s">
        <v>95</v>
      </c>
      <c r="D73" s="2">
        <v>36</v>
      </c>
      <c r="E73" s="2" t="s">
        <v>16</v>
      </c>
      <c r="F73" s="2" t="s">
        <v>17</v>
      </c>
      <c r="G73" s="2" t="s">
        <v>110</v>
      </c>
      <c r="H73" s="2">
        <v>14</v>
      </c>
      <c r="I73" s="9" t="s">
        <v>222</v>
      </c>
      <c r="J73" s="2">
        <v>1</v>
      </c>
      <c r="K73" s="3">
        <v>0.5</v>
      </c>
      <c r="L73" s="2" t="s">
        <v>19</v>
      </c>
      <c r="M73" s="2" t="s">
        <v>27</v>
      </c>
      <c r="N73" s="2">
        <v>9</v>
      </c>
      <c r="O73" s="2">
        <v>5</v>
      </c>
    </row>
    <row r="74" spans="1:15" x14ac:dyDescent="0.3">
      <c r="A74" s="2" t="s">
        <v>227</v>
      </c>
      <c r="B74" s="2" t="s">
        <v>228</v>
      </c>
      <c r="C74" s="2" t="s">
        <v>95</v>
      </c>
      <c r="D74" s="2">
        <v>32</v>
      </c>
      <c r="E74" s="2" t="s">
        <v>91</v>
      </c>
      <c r="F74" s="2" t="s">
        <v>92</v>
      </c>
      <c r="G74" s="2" t="s">
        <v>52</v>
      </c>
      <c r="H74" s="10">
        <v>9.7424242424242422</v>
      </c>
      <c r="I74" s="9">
        <v>30</v>
      </c>
      <c r="J74" s="2">
        <v>5</v>
      </c>
      <c r="K74" s="3">
        <v>0.96</v>
      </c>
      <c r="L74" s="2" t="s">
        <v>46</v>
      </c>
      <c r="M74" s="2" t="s">
        <v>27</v>
      </c>
      <c r="N74" s="2">
        <v>2</v>
      </c>
      <c r="O74" s="2">
        <v>2</v>
      </c>
    </row>
    <row r="75" spans="1:15" x14ac:dyDescent="0.3">
      <c r="A75" s="2" t="s">
        <v>229</v>
      </c>
      <c r="B75" s="2" t="s">
        <v>230</v>
      </c>
      <c r="C75" s="2" t="s">
        <v>95</v>
      </c>
      <c r="D75" s="2">
        <v>59</v>
      </c>
      <c r="E75" s="2" t="s">
        <v>24</v>
      </c>
      <c r="F75" s="2" t="s">
        <v>25</v>
      </c>
      <c r="G75" s="2" t="s">
        <v>44</v>
      </c>
      <c r="H75" s="2">
        <v>9</v>
      </c>
      <c r="I75" s="9" t="s">
        <v>163</v>
      </c>
      <c r="J75" s="2">
        <v>5</v>
      </c>
      <c r="K75" s="3">
        <v>0.96</v>
      </c>
      <c r="L75" s="2" t="s">
        <v>65</v>
      </c>
      <c r="M75" s="2" t="s">
        <v>33</v>
      </c>
      <c r="N75" s="2">
        <v>14</v>
      </c>
      <c r="O75" s="2">
        <v>5</v>
      </c>
    </row>
    <row r="76" spans="1:15" x14ac:dyDescent="0.3">
      <c r="A76" s="2" t="s">
        <v>231</v>
      </c>
      <c r="B76" s="2" t="s">
        <v>232</v>
      </c>
      <c r="C76" s="2" t="s">
        <v>77</v>
      </c>
      <c r="D76" s="2">
        <v>54</v>
      </c>
      <c r="E76" s="2" t="s">
        <v>183</v>
      </c>
      <c r="F76" s="2" t="s">
        <v>73</v>
      </c>
      <c r="G76" s="2" t="s">
        <v>87</v>
      </c>
      <c r="H76" s="2">
        <v>32</v>
      </c>
      <c r="I76" s="9" t="s">
        <v>38</v>
      </c>
      <c r="J76" s="2">
        <v>1</v>
      </c>
      <c r="K76" s="3">
        <v>0.5</v>
      </c>
      <c r="L76" s="2" t="s">
        <v>19</v>
      </c>
      <c r="M76" s="2" t="s">
        <v>20</v>
      </c>
      <c r="N76" s="2">
        <v>10</v>
      </c>
      <c r="O76" s="2">
        <v>7</v>
      </c>
    </row>
    <row r="77" spans="1:15" x14ac:dyDescent="0.3">
      <c r="A77" s="2" t="s">
        <v>233</v>
      </c>
      <c r="B77" s="2" t="s">
        <v>234</v>
      </c>
      <c r="C77" s="2" t="s">
        <v>77</v>
      </c>
      <c r="D77" s="2">
        <v>37</v>
      </c>
      <c r="E77" s="2" t="s">
        <v>124</v>
      </c>
      <c r="F77" s="2" t="s">
        <v>25</v>
      </c>
      <c r="G77" s="2" t="s">
        <v>32</v>
      </c>
      <c r="H77" s="2">
        <v>9</v>
      </c>
      <c r="I77" s="9">
        <v>54.290780141843975</v>
      </c>
      <c r="J77" s="2">
        <v>4</v>
      </c>
      <c r="K77" s="3">
        <v>0.89</v>
      </c>
      <c r="L77" s="2" t="s">
        <v>69</v>
      </c>
      <c r="M77" s="2" t="s">
        <v>20</v>
      </c>
      <c r="N77" s="2">
        <v>14</v>
      </c>
      <c r="O77" s="2">
        <v>6</v>
      </c>
    </row>
    <row r="78" spans="1:15" x14ac:dyDescent="0.3">
      <c r="A78" s="2" t="s">
        <v>235</v>
      </c>
      <c r="B78" s="2" t="s">
        <v>236</v>
      </c>
      <c r="C78" s="2" t="s">
        <v>95</v>
      </c>
      <c r="D78" s="2">
        <v>54</v>
      </c>
      <c r="E78" s="2" t="s">
        <v>91</v>
      </c>
      <c r="F78" s="2" t="s">
        <v>92</v>
      </c>
      <c r="G78" s="2" t="s">
        <v>110</v>
      </c>
      <c r="H78" s="2">
        <v>21</v>
      </c>
      <c r="I78" s="9" t="s">
        <v>222</v>
      </c>
      <c r="J78" s="2">
        <v>1</v>
      </c>
      <c r="K78" s="3">
        <v>0.5</v>
      </c>
      <c r="L78" s="2" t="s">
        <v>46</v>
      </c>
      <c r="M78" s="2" t="s">
        <v>27</v>
      </c>
      <c r="N78" s="2">
        <v>20</v>
      </c>
      <c r="O78" s="2">
        <v>3</v>
      </c>
    </row>
    <row r="79" spans="1:15" x14ac:dyDescent="0.3">
      <c r="A79" s="2" t="s">
        <v>237</v>
      </c>
      <c r="B79" s="2" t="s">
        <v>238</v>
      </c>
      <c r="C79" s="2" t="s">
        <v>77</v>
      </c>
      <c r="D79" s="2">
        <v>33</v>
      </c>
      <c r="E79" s="2" t="s">
        <v>72</v>
      </c>
      <c r="F79" s="2" t="s">
        <v>73</v>
      </c>
      <c r="G79" s="2" t="s">
        <v>74</v>
      </c>
      <c r="H79" s="2">
        <v>12</v>
      </c>
      <c r="I79" s="9">
        <v>100</v>
      </c>
      <c r="J79" s="2">
        <v>2</v>
      </c>
      <c r="K79" s="3">
        <v>0.63</v>
      </c>
      <c r="L79" s="2" t="s">
        <v>19</v>
      </c>
      <c r="M79" s="2" t="s">
        <v>58</v>
      </c>
      <c r="N79" s="2">
        <v>10</v>
      </c>
      <c r="O79" s="2">
        <v>2</v>
      </c>
    </row>
    <row r="80" spans="1:15" x14ac:dyDescent="0.3">
      <c r="A80" s="2" t="s">
        <v>239</v>
      </c>
      <c r="B80" s="2" t="s">
        <v>240</v>
      </c>
      <c r="C80" s="2" t="s">
        <v>77</v>
      </c>
      <c r="D80" s="2">
        <v>25</v>
      </c>
      <c r="E80" s="2" t="s">
        <v>135</v>
      </c>
      <c r="F80" s="2" t="s">
        <v>136</v>
      </c>
      <c r="G80" s="2" t="s">
        <v>37</v>
      </c>
      <c r="H80" s="2">
        <v>7</v>
      </c>
      <c r="I80" s="9" t="s">
        <v>38</v>
      </c>
      <c r="J80" s="2">
        <v>4</v>
      </c>
      <c r="K80" s="3">
        <v>0.81</v>
      </c>
      <c r="L80" s="2" t="s">
        <v>46</v>
      </c>
      <c r="M80" s="2" t="s">
        <v>20</v>
      </c>
      <c r="N80" s="2">
        <v>11</v>
      </c>
      <c r="O80" s="2">
        <v>8</v>
      </c>
    </row>
    <row r="81" spans="1:15" x14ac:dyDescent="0.3">
      <c r="A81" s="2" t="s">
        <v>241</v>
      </c>
      <c r="B81" s="2" t="s">
        <v>242</v>
      </c>
      <c r="C81" s="2" t="s">
        <v>95</v>
      </c>
      <c r="D81" s="2">
        <v>41</v>
      </c>
      <c r="E81" s="2" t="s">
        <v>168</v>
      </c>
      <c r="F81" s="2" t="s">
        <v>169</v>
      </c>
      <c r="G81" s="2" t="s">
        <v>87</v>
      </c>
      <c r="H81" s="2">
        <v>3</v>
      </c>
      <c r="I81" s="9">
        <v>40</v>
      </c>
      <c r="J81" s="2">
        <v>3</v>
      </c>
      <c r="K81" s="3">
        <v>0.74</v>
      </c>
      <c r="L81" s="2" t="s">
        <v>46</v>
      </c>
      <c r="M81" s="2" t="s">
        <v>20</v>
      </c>
      <c r="N81" s="2">
        <v>1</v>
      </c>
      <c r="O81" s="2">
        <v>1</v>
      </c>
    </row>
    <row r="82" spans="1:15" x14ac:dyDescent="0.3">
      <c r="A82" s="2" t="s">
        <v>243</v>
      </c>
      <c r="B82" s="2" t="s">
        <v>244</v>
      </c>
      <c r="C82" s="2" t="s">
        <v>95</v>
      </c>
      <c r="D82" s="2">
        <v>35</v>
      </c>
      <c r="E82" s="2" t="s">
        <v>108</v>
      </c>
      <c r="F82" s="2" t="s">
        <v>109</v>
      </c>
      <c r="G82" s="2" t="s">
        <v>37</v>
      </c>
      <c r="H82" s="2">
        <v>5</v>
      </c>
      <c r="I82" s="9" t="s">
        <v>163</v>
      </c>
      <c r="J82" s="2">
        <v>3</v>
      </c>
      <c r="K82" s="3">
        <v>0.72</v>
      </c>
      <c r="L82" s="2" t="s">
        <v>46</v>
      </c>
      <c r="M82" s="2" t="s">
        <v>33</v>
      </c>
      <c r="N82" s="2">
        <v>2</v>
      </c>
      <c r="O82" s="2">
        <v>1</v>
      </c>
    </row>
    <row r="83" spans="1:15" x14ac:dyDescent="0.3">
      <c r="A83" s="2" t="s">
        <v>245</v>
      </c>
      <c r="B83" s="2" t="s">
        <v>246</v>
      </c>
      <c r="C83" s="2" t="s">
        <v>95</v>
      </c>
      <c r="D83" s="2">
        <v>59</v>
      </c>
      <c r="E83" s="2" t="s">
        <v>108</v>
      </c>
      <c r="F83" s="2" t="s">
        <v>109</v>
      </c>
      <c r="G83" s="2" t="s">
        <v>44</v>
      </c>
      <c r="H83" s="2">
        <v>30</v>
      </c>
      <c r="I83" s="9" t="s">
        <v>38</v>
      </c>
      <c r="J83" s="2">
        <v>1</v>
      </c>
      <c r="K83" s="3">
        <v>0.5</v>
      </c>
      <c r="L83" s="2" t="s">
        <v>65</v>
      </c>
      <c r="M83" s="2" t="s">
        <v>33</v>
      </c>
      <c r="N83" s="2">
        <v>13</v>
      </c>
      <c r="O83" s="2">
        <v>13</v>
      </c>
    </row>
    <row r="84" spans="1:15" x14ac:dyDescent="0.3">
      <c r="A84" s="2" t="s">
        <v>247</v>
      </c>
      <c r="B84" s="2" t="s">
        <v>248</v>
      </c>
      <c r="C84" s="2" t="s">
        <v>77</v>
      </c>
      <c r="D84" s="2">
        <v>21</v>
      </c>
      <c r="E84" s="2" t="s">
        <v>168</v>
      </c>
      <c r="F84" s="2" t="s">
        <v>169</v>
      </c>
      <c r="G84" s="2" t="s">
        <v>87</v>
      </c>
      <c r="H84" s="2">
        <v>2</v>
      </c>
      <c r="I84" s="9">
        <v>100</v>
      </c>
      <c r="J84" s="2">
        <v>4</v>
      </c>
      <c r="K84" s="3">
        <v>0.85</v>
      </c>
      <c r="L84" s="2" t="s">
        <v>65</v>
      </c>
      <c r="M84" s="2" t="s">
        <v>58</v>
      </c>
      <c r="N84" s="2">
        <v>5</v>
      </c>
      <c r="O84" s="2">
        <v>3</v>
      </c>
    </row>
    <row r="85" spans="1:15" x14ac:dyDescent="0.3">
      <c r="A85" s="2" t="s">
        <v>249</v>
      </c>
      <c r="B85" s="2" t="s">
        <v>250</v>
      </c>
      <c r="C85" s="2" t="s">
        <v>95</v>
      </c>
      <c r="D85" s="2">
        <v>25</v>
      </c>
      <c r="E85" s="2" t="s">
        <v>57</v>
      </c>
      <c r="F85" s="2" t="s">
        <v>25</v>
      </c>
      <c r="G85" s="2" t="s">
        <v>26</v>
      </c>
      <c r="H85" s="2">
        <v>2</v>
      </c>
      <c r="I85" s="9" t="s">
        <v>163</v>
      </c>
      <c r="J85" s="2">
        <v>1</v>
      </c>
      <c r="K85" s="3">
        <v>0.5</v>
      </c>
      <c r="L85" s="2" t="s">
        <v>69</v>
      </c>
      <c r="M85" s="2" t="s">
        <v>20</v>
      </c>
      <c r="N85" s="2">
        <v>1</v>
      </c>
      <c r="O85" s="2">
        <v>1</v>
      </c>
    </row>
    <row r="86" spans="1:15" x14ac:dyDescent="0.3">
      <c r="A86" s="2" t="s">
        <v>251</v>
      </c>
      <c r="B86" s="2" t="s">
        <v>252</v>
      </c>
      <c r="C86" s="2" t="s">
        <v>77</v>
      </c>
      <c r="D86" s="2">
        <v>38</v>
      </c>
      <c r="E86" s="2" t="s">
        <v>172</v>
      </c>
      <c r="F86" s="2" t="s">
        <v>73</v>
      </c>
      <c r="G86" s="2" t="s">
        <v>37</v>
      </c>
      <c r="H86" s="2">
        <v>19</v>
      </c>
      <c r="I86" s="9">
        <v>75</v>
      </c>
      <c r="J86" s="2">
        <v>2</v>
      </c>
      <c r="K86" s="3">
        <v>0.61</v>
      </c>
      <c r="L86" s="2" t="s">
        <v>69</v>
      </c>
      <c r="M86" s="2" t="s">
        <v>20</v>
      </c>
      <c r="N86" s="2">
        <v>20</v>
      </c>
      <c r="O86" s="2">
        <v>9</v>
      </c>
    </row>
    <row r="87" spans="1:15" x14ac:dyDescent="0.3">
      <c r="A87" s="2" t="s">
        <v>253</v>
      </c>
      <c r="B87" s="2" t="s">
        <v>254</v>
      </c>
      <c r="C87" s="2" t="s">
        <v>95</v>
      </c>
      <c r="D87" s="2">
        <v>57</v>
      </c>
      <c r="E87" s="2" t="s">
        <v>120</v>
      </c>
      <c r="F87" s="2" t="s">
        <v>121</v>
      </c>
      <c r="G87" s="2" t="s">
        <v>44</v>
      </c>
      <c r="H87" s="2">
        <v>16</v>
      </c>
      <c r="I87" s="9">
        <v>100</v>
      </c>
      <c r="J87" s="2">
        <v>1</v>
      </c>
      <c r="K87" s="3">
        <v>0.5</v>
      </c>
      <c r="L87" s="2" t="s">
        <v>19</v>
      </c>
      <c r="M87" s="2" t="s">
        <v>33</v>
      </c>
      <c r="N87" s="2">
        <v>18</v>
      </c>
      <c r="O87" s="2">
        <v>4</v>
      </c>
    </row>
    <row r="88" spans="1:15" x14ac:dyDescent="0.3">
      <c r="A88" s="2" t="s">
        <v>255</v>
      </c>
      <c r="B88" s="2" t="s">
        <v>256</v>
      </c>
      <c r="C88" s="2" t="s">
        <v>95</v>
      </c>
      <c r="D88" s="2">
        <v>32</v>
      </c>
      <c r="E88" s="2" t="s">
        <v>91</v>
      </c>
      <c r="F88" s="2" t="s">
        <v>92</v>
      </c>
      <c r="G88" s="2" t="s">
        <v>26</v>
      </c>
      <c r="H88" s="2">
        <v>10</v>
      </c>
      <c r="I88" s="9" t="s">
        <v>117</v>
      </c>
      <c r="J88" s="2">
        <v>4</v>
      </c>
      <c r="K88" s="3">
        <v>0.86</v>
      </c>
      <c r="L88" s="2" t="s">
        <v>69</v>
      </c>
      <c r="M88" s="2" t="s">
        <v>20</v>
      </c>
      <c r="N88" s="2">
        <v>9</v>
      </c>
      <c r="O88" s="2">
        <v>3</v>
      </c>
    </row>
    <row r="89" spans="1:15" x14ac:dyDescent="0.3">
      <c r="A89" s="2" t="s">
        <v>257</v>
      </c>
      <c r="B89" s="2" t="s">
        <v>258</v>
      </c>
      <c r="C89" s="2" t="s">
        <v>95</v>
      </c>
      <c r="D89" s="2">
        <v>21</v>
      </c>
      <c r="E89" s="2" t="s">
        <v>16</v>
      </c>
      <c r="F89" s="2" t="s">
        <v>17</v>
      </c>
      <c r="G89" s="2" t="s">
        <v>87</v>
      </c>
      <c r="H89" s="2">
        <v>2</v>
      </c>
      <c r="I89" s="9" t="s">
        <v>222</v>
      </c>
      <c r="J89" s="2">
        <v>5</v>
      </c>
      <c r="K89" s="3">
        <v>0.97</v>
      </c>
      <c r="L89" s="2" t="s">
        <v>46</v>
      </c>
      <c r="M89" s="2" t="s">
        <v>27</v>
      </c>
      <c r="N89" s="2">
        <v>4</v>
      </c>
      <c r="O89" s="2">
        <v>2</v>
      </c>
    </row>
    <row r="90" spans="1:15" x14ac:dyDescent="0.3">
      <c r="A90" s="2" t="s">
        <v>259</v>
      </c>
      <c r="B90" s="2" t="s">
        <v>260</v>
      </c>
      <c r="C90" s="2" t="s">
        <v>77</v>
      </c>
      <c r="D90" s="2">
        <v>57</v>
      </c>
      <c r="E90" s="2" t="s">
        <v>124</v>
      </c>
      <c r="F90" s="2" t="s">
        <v>25</v>
      </c>
      <c r="G90" s="2" t="s">
        <v>78</v>
      </c>
      <c r="H90" s="2">
        <v>18</v>
      </c>
      <c r="I90" s="9">
        <v>50</v>
      </c>
      <c r="J90" s="2">
        <v>2</v>
      </c>
      <c r="K90" s="3">
        <v>0.63</v>
      </c>
      <c r="L90" s="2" t="s">
        <v>46</v>
      </c>
      <c r="M90" s="2" t="s">
        <v>33</v>
      </c>
      <c r="N90" s="2">
        <v>11</v>
      </c>
      <c r="O90" s="2">
        <v>9</v>
      </c>
    </row>
    <row r="91" spans="1:15" x14ac:dyDescent="0.3">
      <c r="A91" s="2" t="s">
        <v>261</v>
      </c>
      <c r="B91" s="2" t="s">
        <v>262</v>
      </c>
      <c r="C91" s="2" t="s">
        <v>95</v>
      </c>
      <c r="D91" s="2">
        <v>53</v>
      </c>
      <c r="E91" s="2" t="s">
        <v>168</v>
      </c>
      <c r="F91" s="2" t="s">
        <v>169</v>
      </c>
      <c r="G91" s="2" t="s">
        <v>74</v>
      </c>
      <c r="H91" s="2">
        <v>21</v>
      </c>
      <c r="I91" s="9" t="s">
        <v>222</v>
      </c>
      <c r="J91" s="2">
        <v>5</v>
      </c>
      <c r="K91" s="3">
        <v>0.97</v>
      </c>
      <c r="L91" s="2" t="s">
        <v>65</v>
      </c>
      <c r="M91" s="2" t="s">
        <v>58</v>
      </c>
      <c r="N91" s="2">
        <v>20</v>
      </c>
      <c r="O91" s="2">
        <v>10</v>
      </c>
    </row>
    <row r="92" spans="1:15" x14ac:dyDescent="0.3">
      <c r="A92" s="2" t="s">
        <v>263</v>
      </c>
      <c r="B92" s="2" t="s">
        <v>264</v>
      </c>
      <c r="C92" s="2" t="s">
        <v>95</v>
      </c>
      <c r="D92" s="2">
        <v>35</v>
      </c>
      <c r="E92" s="2" t="s">
        <v>120</v>
      </c>
      <c r="F92" s="2" t="s">
        <v>121</v>
      </c>
      <c r="G92" s="2" t="s">
        <v>18</v>
      </c>
      <c r="H92" s="2">
        <v>3</v>
      </c>
      <c r="I92" s="9" t="s">
        <v>45</v>
      </c>
      <c r="J92" s="2">
        <v>4</v>
      </c>
      <c r="K92" s="3">
        <v>0.81</v>
      </c>
      <c r="L92" s="2" t="s">
        <v>46</v>
      </c>
      <c r="M92" s="2" t="s">
        <v>33</v>
      </c>
      <c r="N92" s="2">
        <v>3</v>
      </c>
      <c r="O92" s="2">
        <v>2</v>
      </c>
    </row>
    <row r="93" spans="1:15" x14ac:dyDescent="0.3">
      <c r="A93" s="2" t="s">
        <v>265</v>
      </c>
      <c r="B93" s="2" t="s">
        <v>266</v>
      </c>
      <c r="C93" s="2" t="s">
        <v>77</v>
      </c>
      <c r="D93" s="2">
        <v>54</v>
      </c>
      <c r="E93" s="2" t="s">
        <v>168</v>
      </c>
      <c r="F93" s="2" t="s">
        <v>169</v>
      </c>
      <c r="G93" s="2" t="s">
        <v>110</v>
      </c>
      <c r="H93" s="2">
        <v>17</v>
      </c>
      <c r="I93" s="9">
        <v>20</v>
      </c>
      <c r="J93" s="2">
        <v>2</v>
      </c>
      <c r="K93" s="3">
        <v>0.69</v>
      </c>
      <c r="L93" s="2" t="s">
        <v>19</v>
      </c>
      <c r="M93" s="2" t="s">
        <v>20</v>
      </c>
      <c r="N93" s="2">
        <v>17</v>
      </c>
      <c r="O93" s="2">
        <v>15</v>
      </c>
    </row>
    <row r="94" spans="1:15" x14ac:dyDescent="0.3">
      <c r="A94" s="2" t="s">
        <v>267</v>
      </c>
      <c r="B94" s="2" t="s">
        <v>268</v>
      </c>
      <c r="C94" s="2" t="s">
        <v>77</v>
      </c>
      <c r="D94" s="2">
        <v>36</v>
      </c>
      <c r="E94" s="2" t="s">
        <v>16</v>
      </c>
      <c r="F94" s="2" t="s">
        <v>17</v>
      </c>
      <c r="G94" s="2" t="s">
        <v>74</v>
      </c>
      <c r="H94" s="2">
        <v>0</v>
      </c>
      <c r="I94" s="9">
        <v>20</v>
      </c>
      <c r="J94" s="2">
        <v>2</v>
      </c>
      <c r="K94" s="3">
        <v>0.64</v>
      </c>
      <c r="L94" s="2" t="s">
        <v>46</v>
      </c>
      <c r="M94" s="2" t="s">
        <v>58</v>
      </c>
      <c r="N94" s="2">
        <v>2</v>
      </c>
      <c r="O94" s="2">
        <v>2</v>
      </c>
    </row>
    <row r="95" spans="1:15" x14ac:dyDescent="0.3">
      <c r="A95" s="2" t="s">
        <v>269</v>
      </c>
      <c r="B95" s="2" t="s">
        <v>270</v>
      </c>
      <c r="C95" s="2" t="s">
        <v>77</v>
      </c>
      <c r="D95" s="2">
        <v>49</v>
      </c>
      <c r="E95" s="2" t="s">
        <v>183</v>
      </c>
      <c r="F95" s="2" t="s">
        <v>73</v>
      </c>
      <c r="G95" s="2" t="s">
        <v>78</v>
      </c>
      <c r="H95" s="2">
        <v>25</v>
      </c>
      <c r="I95" s="9">
        <v>50</v>
      </c>
      <c r="J95" s="2">
        <v>3</v>
      </c>
      <c r="K95" s="3">
        <v>0.77</v>
      </c>
      <c r="L95" s="2" t="s">
        <v>46</v>
      </c>
      <c r="M95" s="2" t="s">
        <v>33</v>
      </c>
      <c r="N95" s="2">
        <v>14</v>
      </c>
      <c r="O95" s="2">
        <v>8</v>
      </c>
    </row>
    <row r="96" spans="1:15" x14ac:dyDescent="0.3">
      <c r="A96" s="2" t="s">
        <v>271</v>
      </c>
      <c r="B96" s="2" t="s">
        <v>272</v>
      </c>
      <c r="C96" s="2" t="s">
        <v>95</v>
      </c>
      <c r="D96" s="2">
        <v>37</v>
      </c>
      <c r="E96" s="2" t="s">
        <v>57</v>
      </c>
      <c r="F96" s="2" t="s">
        <v>25</v>
      </c>
      <c r="G96" s="2" t="s">
        <v>18</v>
      </c>
      <c r="H96" s="2">
        <v>17</v>
      </c>
      <c r="I96" s="9">
        <v>20</v>
      </c>
      <c r="J96" s="2">
        <v>5</v>
      </c>
      <c r="K96" s="3">
        <v>0.96</v>
      </c>
      <c r="L96" s="2" t="s">
        <v>19</v>
      </c>
      <c r="M96" s="2" t="s">
        <v>27</v>
      </c>
      <c r="N96" s="2">
        <v>20</v>
      </c>
      <c r="O96" s="2">
        <v>11</v>
      </c>
    </row>
    <row r="97" spans="1:15" x14ac:dyDescent="0.3">
      <c r="A97" s="2" t="s">
        <v>273</v>
      </c>
      <c r="B97" s="2" t="s">
        <v>274</v>
      </c>
      <c r="C97" s="2" t="s">
        <v>95</v>
      </c>
      <c r="D97" s="2">
        <v>41</v>
      </c>
      <c r="E97" s="2" t="s">
        <v>57</v>
      </c>
      <c r="F97" s="2" t="s">
        <v>25</v>
      </c>
      <c r="G97" s="2" t="s">
        <v>74</v>
      </c>
      <c r="H97" s="2">
        <v>5</v>
      </c>
      <c r="I97" s="9" t="s">
        <v>117</v>
      </c>
      <c r="J97" s="2">
        <v>3</v>
      </c>
      <c r="K97" s="3">
        <v>0.74</v>
      </c>
      <c r="L97" s="2" t="s">
        <v>69</v>
      </c>
      <c r="M97" s="2" t="s">
        <v>27</v>
      </c>
      <c r="N97" s="2">
        <v>2</v>
      </c>
      <c r="O97" s="2">
        <v>1</v>
      </c>
    </row>
    <row r="98" spans="1:15" x14ac:dyDescent="0.3">
      <c r="A98" s="2" t="s">
        <v>275</v>
      </c>
      <c r="B98" s="2" t="s">
        <v>276</v>
      </c>
      <c r="C98" s="2" t="s">
        <v>95</v>
      </c>
      <c r="D98" s="2">
        <v>32</v>
      </c>
      <c r="E98" s="2" t="s">
        <v>135</v>
      </c>
      <c r="F98" s="2" t="s">
        <v>136</v>
      </c>
      <c r="G98" s="2" t="s">
        <v>74</v>
      </c>
      <c r="H98" s="2">
        <v>10</v>
      </c>
      <c r="I98" s="9">
        <v>50</v>
      </c>
      <c r="J98" s="2">
        <v>4</v>
      </c>
      <c r="K98" s="3">
        <v>0.89</v>
      </c>
      <c r="L98" s="2" t="s">
        <v>69</v>
      </c>
      <c r="M98" s="2" t="s">
        <v>33</v>
      </c>
      <c r="N98" s="2">
        <v>8</v>
      </c>
      <c r="O98" s="2">
        <v>12</v>
      </c>
    </row>
    <row r="99" spans="1:15" x14ac:dyDescent="0.3">
      <c r="A99" s="2" t="s">
        <v>277</v>
      </c>
      <c r="B99" s="2" t="s">
        <v>278</v>
      </c>
      <c r="C99" s="2" t="s">
        <v>95</v>
      </c>
      <c r="D99" s="2">
        <v>35</v>
      </c>
      <c r="E99" s="2" t="s">
        <v>91</v>
      </c>
      <c r="F99" s="2" t="s">
        <v>92</v>
      </c>
      <c r="G99" s="2" t="s">
        <v>26</v>
      </c>
      <c r="H99" s="2">
        <v>0</v>
      </c>
      <c r="I99" s="9">
        <v>54.188191881918819</v>
      </c>
      <c r="J99" s="2">
        <v>2</v>
      </c>
      <c r="K99" s="3">
        <v>0.64</v>
      </c>
      <c r="L99" s="2" t="s">
        <v>19</v>
      </c>
      <c r="M99" s="2" t="s">
        <v>27</v>
      </c>
      <c r="N99" s="2">
        <v>4</v>
      </c>
      <c r="O99" s="2">
        <v>1</v>
      </c>
    </row>
    <row r="100" spans="1:15" x14ac:dyDescent="0.3">
      <c r="A100" s="2" t="s">
        <v>279</v>
      </c>
      <c r="B100" s="2" t="s">
        <v>280</v>
      </c>
      <c r="C100" s="2" t="s">
        <v>77</v>
      </c>
      <c r="D100" s="2">
        <v>51</v>
      </c>
      <c r="E100" s="2" t="s">
        <v>120</v>
      </c>
      <c r="F100" s="2" t="s">
        <v>121</v>
      </c>
      <c r="G100" s="2" t="s">
        <v>32</v>
      </c>
      <c r="H100" s="2">
        <v>2</v>
      </c>
      <c r="I100" s="9" t="s">
        <v>45</v>
      </c>
      <c r="J100" s="2">
        <v>2</v>
      </c>
      <c r="K100" s="3">
        <v>0.64</v>
      </c>
      <c r="L100" s="2" t="s">
        <v>65</v>
      </c>
      <c r="M100" s="2" t="s">
        <v>27</v>
      </c>
      <c r="N100" s="2">
        <v>5</v>
      </c>
      <c r="O100" s="2">
        <v>1</v>
      </c>
    </row>
    <row r="101" spans="1:15" x14ac:dyDescent="0.3">
      <c r="A101" s="2" t="s">
        <v>281</v>
      </c>
      <c r="B101" s="2" t="s">
        <v>282</v>
      </c>
      <c r="C101" s="2" t="s">
        <v>77</v>
      </c>
      <c r="D101" s="2">
        <v>50</v>
      </c>
      <c r="E101" s="2" t="s">
        <v>120</v>
      </c>
      <c r="F101" s="2" t="s">
        <v>121</v>
      </c>
      <c r="G101" s="2" t="s">
        <v>87</v>
      </c>
      <c r="H101" s="2">
        <v>30</v>
      </c>
      <c r="I101" s="9">
        <v>100</v>
      </c>
      <c r="J101" s="2">
        <v>3</v>
      </c>
      <c r="K101" s="3">
        <v>0.73</v>
      </c>
      <c r="L101" s="2" t="s">
        <v>46</v>
      </c>
      <c r="M101" s="2" t="s">
        <v>27</v>
      </c>
      <c r="N101" s="2">
        <v>13</v>
      </c>
      <c r="O101" s="2">
        <v>6</v>
      </c>
    </row>
    <row r="102" spans="1:15" x14ac:dyDescent="0.3">
      <c r="A102" s="2" t="s">
        <v>283</v>
      </c>
      <c r="B102" s="2" t="s">
        <v>284</v>
      </c>
      <c r="C102" s="2" t="s">
        <v>77</v>
      </c>
      <c r="D102" s="2">
        <v>21</v>
      </c>
      <c r="E102" s="2" t="s">
        <v>62</v>
      </c>
      <c r="F102" s="2" t="s">
        <v>63</v>
      </c>
      <c r="G102" s="2" t="s">
        <v>18</v>
      </c>
      <c r="H102" s="2">
        <v>2</v>
      </c>
      <c r="I102" s="9" t="s">
        <v>64</v>
      </c>
      <c r="J102" s="2">
        <v>2</v>
      </c>
      <c r="K102" s="3">
        <v>0.68</v>
      </c>
      <c r="L102" s="2" t="s">
        <v>19</v>
      </c>
      <c r="M102" s="2" t="s">
        <v>58</v>
      </c>
      <c r="N102" s="2">
        <v>2</v>
      </c>
      <c r="O102" s="2">
        <v>3</v>
      </c>
    </row>
    <row r="103" spans="1:15" x14ac:dyDescent="0.3">
      <c r="A103" s="2" t="s">
        <v>285</v>
      </c>
      <c r="B103" s="2" t="s">
        <v>286</v>
      </c>
      <c r="C103" s="2" t="s">
        <v>95</v>
      </c>
      <c r="D103" s="2">
        <v>25</v>
      </c>
      <c r="E103" s="2" t="s">
        <v>57</v>
      </c>
      <c r="F103" s="2" t="s">
        <v>25</v>
      </c>
      <c r="G103" s="2" t="s">
        <v>32</v>
      </c>
      <c r="H103" s="2">
        <v>3</v>
      </c>
      <c r="I103" s="9" t="s">
        <v>45</v>
      </c>
      <c r="J103" s="2">
        <v>4</v>
      </c>
      <c r="K103" s="3">
        <v>0.88</v>
      </c>
      <c r="L103" s="2" t="s">
        <v>46</v>
      </c>
      <c r="M103" s="2" t="s">
        <v>27</v>
      </c>
      <c r="N103" s="2">
        <v>2</v>
      </c>
      <c r="O103" s="2">
        <v>4</v>
      </c>
    </row>
    <row r="104" spans="1:15" x14ac:dyDescent="0.3">
      <c r="A104" s="2" t="s">
        <v>287</v>
      </c>
      <c r="B104" s="2" t="s">
        <v>288</v>
      </c>
      <c r="C104" s="2" t="s">
        <v>77</v>
      </c>
      <c r="D104" s="2">
        <v>57</v>
      </c>
      <c r="E104" s="2" t="s">
        <v>131</v>
      </c>
      <c r="F104" s="2" t="s">
        <v>132</v>
      </c>
      <c r="G104" s="2" t="s">
        <v>87</v>
      </c>
      <c r="H104" s="2">
        <v>21</v>
      </c>
      <c r="I104" s="9" t="s">
        <v>38</v>
      </c>
      <c r="J104" s="2">
        <v>3</v>
      </c>
      <c r="K104" s="3">
        <v>0.77</v>
      </c>
      <c r="L104" s="2" t="s">
        <v>65</v>
      </c>
      <c r="M104" s="2" t="s">
        <v>27</v>
      </c>
      <c r="N104" s="2">
        <v>13</v>
      </c>
      <c r="O104" s="2">
        <v>10</v>
      </c>
    </row>
    <row r="105" spans="1:15" x14ac:dyDescent="0.3">
      <c r="A105" s="2" t="s">
        <v>289</v>
      </c>
      <c r="B105" s="2" t="s">
        <v>290</v>
      </c>
      <c r="C105" s="2" t="s">
        <v>95</v>
      </c>
      <c r="D105" s="2">
        <v>58</v>
      </c>
      <c r="E105" s="2" t="s">
        <v>120</v>
      </c>
      <c r="F105" s="2" t="s">
        <v>121</v>
      </c>
      <c r="G105" s="2" t="s">
        <v>18</v>
      </c>
      <c r="H105" s="2">
        <v>3</v>
      </c>
      <c r="I105" s="9">
        <v>54.018518518518519</v>
      </c>
      <c r="J105" s="2">
        <v>1</v>
      </c>
      <c r="K105" s="3">
        <v>0.5</v>
      </c>
      <c r="L105" s="2" t="s">
        <v>46</v>
      </c>
      <c r="M105" s="2" t="s">
        <v>27</v>
      </c>
      <c r="N105" s="2">
        <v>3</v>
      </c>
      <c r="O105" s="2">
        <v>4</v>
      </c>
    </row>
    <row r="106" spans="1:15" x14ac:dyDescent="0.3">
      <c r="A106" s="2" t="s">
        <v>291</v>
      </c>
      <c r="B106" s="2" t="s">
        <v>292</v>
      </c>
      <c r="C106" s="2" t="s">
        <v>77</v>
      </c>
      <c r="D106" s="2">
        <v>45</v>
      </c>
      <c r="E106" s="2" t="s">
        <v>50</v>
      </c>
      <c r="F106" s="2" t="s">
        <v>51</v>
      </c>
      <c r="G106" s="2" t="s">
        <v>26</v>
      </c>
      <c r="H106" s="2">
        <v>19</v>
      </c>
      <c r="I106" s="9">
        <v>40</v>
      </c>
      <c r="J106" s="2">
        <v>3</v>
      </c>
      <c r="K106" s="3">
        <v>0.72</v>
      </c>
      <c r="L106" s="2" t="s">
        <v>19</v>
      </c>
      <c r="M106" s="2" t="s">
        <v>58</v>
      </c>
      <c r="N106" s="2">
        <v>12</v>
      </c>
      <c r="O106" s="2">
        <v>6</v>
      </c>
    </row>
    <row r="107" spans="1:15" x14ac:dyDescent="0.3">
      <c r="A107" s="2" t="s">
        <v>293</v>
      </c>
      <c r="B107" s="2" t="s">
        <v>294</v>
      </c>
      <c r="C107" s="2" t="s">
        <v>77</v>
      </c>
      <c r="D107" s="2">
        <v>23</v>
      </c>
      <c r="E107" s="2" t="s">
        <v>57</v>
      </c>
      <c r="F107" s="2" t="s">
        <v>25</v>
      </c>
      <c r="G107" s="2" t="s">
        <v>37</v>
      </c>
      <c r="H107" s="2">
        <v>0</v>
      </c>
      <c r="I107" s="9">
        <v>20</v>
      </c>
      <c r="J107" s="2">
        <v>2</v>
      </c>
      <c r="K107" s="3">
        <v>0.6</v>
      </c>
      <c r="L107" s="2" t="s">
        <v>46</v>
      </c>
      <c r="M107" s="2" t="s">
        <v>33</v>
      </c>
      <c r="N107" s="2">
        <v>2</v>
      </c>
      <c r="O107" s="2">
        <v>1</v>
      </c>
    </row>
    <row r="108" spans="1:15" x14ac:dyDescent="0.3">
      <c r="A108" s="2" t="s">
        <v>295</v>
      </c>
      <c r="B108" s="2" t="s">
        <v>296</v>
      </c>
      <c r="C108" s="2" t="s">
        <v>77</v>
      </c>
      <c r="D108" s="2">
        <v>46</v>
      </c>
      <c r="E108" s="2" t="s">
        <v>57</v>
      </c>
      <c r="F108" s="2" t="s">
        <v>25</v>
      </c>
      <c r="G108" s="2" t="s">
        <v>44</v>
      </c>
      <c r="H108" s="2">
        <v>9</v>
      </c>
      <c r="I108" s="9" t="s">
        <v>45</v>
      </c>
      <c r="J108" s="2">
        <v>3</v>
      </c>
      <c r="K108" s="3">
        <v>0.72</v>
      </c>
      <c r="L108" s="2" t="s">
        <v>69</v>
      </c>
      <c r="M108" s="2" t="s">
        <v>20</v>
      </c>
      <c r="N108" s="2">
        <v>15</v>
      </c>
      <c r="O108" s="2">
        <v>9</v>
      </c>
    </row>
    <row r="109" spans="1:15" x14ac:dyDescent="0.3">
      <c r="A109" s="2" t="s">
        <v>297</v>
      </c>
      <c r="B109" s="2" t="s">
        <v>298</v>
      </c>
      <c r="C109" s="2" t="s">
        <v>95</v>
      </c>
      <c r="D109" s="2">
        <v>27</v>
      </c>
      <c r="E109" s="2" t="s">
        <v>72</v>
      </c>
      <c r="F109" s="2" t="s">
        <v>73</v>
      </c>
      <c r="G109" s="2" t="s">
        <v>74</v>
      </c>
      <c r="H109" s="2">
        <v>5</v>
      </c>
      <c r="I109" s="9">
        <v>30</v>
      </c>
      <c r="J109" s="2">
        <v>5</v>
      </c>
      <c r="K109" s="3">
        <v>0.92</v>
      </c>
      <c r="L109" s="2" t="s">
        <v>65</v>
      </c>
      <c r="M109" s="2" t="s">
        <v>27</v>
      </c>
      <c r="N109" s="2">
        <v>3</v>
      </c>
      <c r="O109" s="2">
        <v>3</v>
      </c>
    </row>
    <row r="110" spans="1:15" x14ac:dyDescent="0.3">
      <c r="A110" s="2" t="s">
        <v>299</v>
      </c>
      <c r="B110" s="2" t="s">
        <v>300</v>
      </c>
      <c r="C110" s="2" t="s">
        <v>77</v>
      </c>
      <c r="D110" s="2">
        <v>32</v>
      </c>
      <c r="E110" s="2" t="s">
        <v>57</v>
      </c>
      <c r="F110" s="2" t="s">
        <v>25</v>
      </c>
      <c r="G110" s="2" t="s">
        <v>110</v>
      </c>
      <c r="H110" s="2">
        <v>6</v>
      </c>
      <c r="I110" s="9" t="s">
        <v>64</v>
      </c>
      <c r="J110" s="2">
        <v>1</v>
      </c>
      <c r="K110" s="3">
        <v>0.5</v>
      </c>
      <c r="L110" s="2" t="s">
        <v>65</v>
      </c>
      <c r="M110" s="2" t="s">
        <v>33</v>
      </c>
      <c r="N110" s="2">
        <v>11</v>
      </c>
      <c r="O110" s="2">
        <v>4</v>
      </c>
    </row>
    <row r="111" spans="1:15" x14ac:dyDescent="0.3">
      <c r="A111" s="2" t="s">
        <v>301</v>
      </c>
      <c r="B111" s="2" t="s">
        <v>302</v>
      </c>
      <c r="C111" s="2" t="s">
        <v>77</v>
      </c>
      <c r="D111" s="2">
        <v>48</v>
      </c>
      <c r="E111" s="2" t="s">
        <v>72</v>
      </c>
      <c r="F111" s="2" t="s">
        <v>73</v>
      </c>
      <c r="G111" s="2" t="s">
        <v>110</v>
      </c>
      <c r="H111" s="2">
        <v>6</v>
      </c>
      <c r="I111" s="9" t="s">
        <v>163</v>
      </c>
      <c r="J111" s="2">
        <v>5</v>
      </c>
      <c r="K111" s="3">
        <v>0.92</v>
      </c>
      <c r="L111" s="2" t="s">
        <v>65</v>
      </c>
      <c r="M111" s="2" t="s">
        <v>27</v>
      </c>
      <c r="N111" s="2">
        <v>13</v>
      </c>
      <c r="O111" s="2">
        <v>1</v>
      </c>
    </row>
    <row r="112" spans="1:15" x14ac:dyDescent="0.3">
      <c r="A112" s="2" t="s">
        <v>303</v>
      </c>
      <c r="B112" s="2" t="s">
        <v>304</v>
      </c>
      <c r="C112" s="2" t="s">
        <v>95</v>
      </c>
      <c r="D112" s="2">
        <v>30</v>
      </c>
      <c r="E112" s="2" t="s">
        <v>62</v>
      </c>
      <c r="F112" s="2" t="s">
        <v>63</v>
      </c>
      <c r="G112" s="2" t="s">
        <v>26</v>
      </c>
      <c r="H112" s="2">
        <v>3</v>
      </c>
      <c r="I112" s="9" t="s">
        <v>45</v>
      </c>
      <c r="J112" s="2">
        <v>1</v>
      </c>
      <c r="K112" s="3">
        <v>0.5</v>
      </c>
      <c r="L112" s="2" t="s">
        <v>19</v>
      </c>
      <c r="M112" s="2" t="s">
        <v>58</v>
      </c>
      <c r="N112" s="2">
        <v>2</v>
      </c>
      <c r="O112" s="2">
        <v>1</v>
      </c>
    </row>
    <row r="113" spans="1:15" x14ac:dyDescent="0.3">
      <c r="A113" s="2" t="s">
        <v>305</v>
      </c>
      <c r="B113" s="2" t="s">
        <v>306</v>
      </c>
      <c r="C113" s="2" t="s">
        <v>95</v>
      </c>
      <c r="D113" s="2">
        <v>59</v>
      </c>
      <c r="E113" s="2" t="s">
        <v>62</v>
      </c>
      <c r="F113" s="2" t="s">
        <v>63</v>
      </c>
      <c r="G113" s="2" t="s">
        <v>44</v>
      </c>
      <c r="H113" s="2">
        <v>13</v>
      </c>
      <c r="I113" s="9" t="s">
        <v>117</v>
      </c>
      <c r="J113" s="2">
        <v>1</v>
      </c>
      <c r="K113" s="3">
        <v>0.5</v>
      </c>
      <c r="L113" s="2" t="s">
        <v>65</v>
      </c>
      <c r="M113" s="2" t="s">
        <v>33</v>
      </c>
      <c r="N113" s="2">
        <v>7</v>
      </c>
      <c r="O113" s="2">
        <v>10</v>
      </c>
    </row>
    <row r="114" spans="1:15" x14ac:dyDescent="0.3">
      <c r="A114" s="2" t="s">
        <v>307</v>
      </c>
      <c r="B114" s="2" t="s">
        <v>308</v>
      </c>
      <c r="C114" s="2" t="s">
        <v>77</v>
      </c>
      <c r="D114" s="2">
        <v>32</v>
      </c>
      <c r="E114" s="2" t="s">
        <v>172</v>
      </c>
      <c r="F114" s="2" t="s">
        <v>73</v>
      </c>
      <c r="G114" s="2" t="s">
        <v>44</v>
      </c>
      <c r="H114" s="2">
        <v>5</v>
      </c>
      <c r="I114" s="9" t="s">
        <v>45</v>
      </c>
      <c r="J114" s="2">
        <v>4</v>
      </c>
      <c r="K114" s="3">
        <v>0.86</v>
      </c>
      <c r="L114" s="2" t="s">
        <v>69</v>
      </c>
      <c r="M114" s="2" t="s">
        <v>58</v>
      </c>
      <c r="N114" s="2">
        <v>3</v>
      </c>
      <c r="O114" s="2">
        <v>1</v>
      </c>
    </row>
    <row r="115" spans="1:15" x14ac:dyDescent="0.3">
      <c r="A115" s="2" t="s">
        <v>309</v>
      </c>
      <c r="B115" s="2" t="s">
        <v>310</v>
      </c>
      <c r="C115" s="2" t="s">
        <v>77</v>
      </c>
      <c r="D115" s="2">
        <v>57</v>
      </c>
      <c r="E115" s="2" t="s">
        <v>135</v>
      </c>
      <c r="F115" s="2" t="s">
        <v>136</v>
      </c>
      <c r="G115" s="2" t="s">
        <v>74</v>
      </c>
      <c r="H115" s="2">
        <v>4</v>
      </c>
      <c r="I115" s="9" t="s">
        <v>38</v>
      </c>
      <c r="J115" s="2">
        <v>2</v>
      </c>
      <c r="K115" s="3">
        <v>0.68</v>
      </c>
      <c r="L115" s="2" t="s">
        <v>19</v>
      </c>
      <c r="M115" s="2" t="s">
        <v>27</v>
      </c>
      <c r="N115" s="2">
        <v>1</v>
      </c>
      <c r="O115" s="2">
        <v>4</v>
      </c>
    </row>
    <row r="116" spans="1:15" x14ac:dyDescent="0.3">
      <c r="A116" s="2" t="s">
        <v>311</v>
      </c>
      <c r="B116" s="2" t="s">
        <v>312</v>
      </c>
      <c r="C116" s="2" t="s">
        <v>95</v>
      </c>
      <c r="D116" s="2">
        <v>27</v>
      </c>
      <c r="E116" s="2" t="s">
        <v>24</v>
      </c>
      <c r="F116" s="2" t="s">
        <v>25</v>
      </c>
      <c r="G116" s="2" t="s">
        <v>110</v>
      </c>
      <c r="H116" s="2">
        <v>7</v>
      </c>
      <c r="I116" s="9" t="s">
        <v>117</v>
      </c>
      <c r="J116" s="2">
        <v>2</v>
      </c>
      <c r="K116" s="3">
        <v>0.62</v>
      </c>
      <c r="L116" s="2" t="s">
        <v>69</v>
      </c>
      <c r="M116" s="2" t="s">
        <v>27</v>
      </c>
      <c r="N116" s="2">
        <v>9</v>
      </c>
      <c r="O116" s="2">
        <v>3</v>
      </c>
    </row>
    <row r="117" spans="1:15" x14ac:dyDescent="0.3">
      <c r="A117" s="2" t="s">
        <v>313</v>
      </c>
      <c r="B117" s="2" t="s">
        <v>314</v>
      </c>
      <c r="C117" s="2" t="s">
        <v>77</v>
      </c>
      <c r="D117" s="2">
        <v>33</v>
      </c>
      <c r="E117" s="2" t="s">
        <v>50</v>
      </c>
      <c r="F117" s="2" t="s">
        <v>51</v>
      </c>
      <c r="G117" s="2" t="s">
        <v>110</v>
      </c>
      <c r="H117" s="2">
        <v>13</v>
      </c>
      <c r="I117" s="9">
        <v>20</v>
      </c>
      <c r="J117" s="2">
        <v>1</v>
      </c>
      <c r="K117" s="3">
        <v>0.5</v>
      </c>
      <c r="L117" s="2" t="s">
        <v>46</v>
      </c>
      <c r="M117" s="2" t="s">
        <v>58</v>
      </c>
      <c r="N117" s="2">
        <v>8</v>
      </c>
      <c r="O117" s="2">
        <v>9</v>
      </c>
    </row>
    <row r="118" spans="1:15" x14ac:dyDescent="0.3">
      <c r="A118" s="2" t="s">
        <v>315</v>
      </c>
      <c r="B118" s="2" t="s">
        <v>316</v>
      </c>
      <c r="C118" s="2" t="s">
        <v>95</v>
      </c>
      <c r="D118" s="2">
        <v>29</v>
      </c>
      <c r="E118" s="2" t="s">
        <v>108</v>
      </c>
      <c r="F118" s="2" t="s">
        <v>109</v>
      </c>
      <c r="G118" s="2" t="s">
        <v>52</v>
      </c>
      <c r="H118" s="2">
        <v>4</v>
      </c>
      <c r="I118" s="9">
        <v>30</v>
      </c>
      <c r="J118" s="2">
        <v>4</v>
      </c>
      <c r="K118" s="3">
        <v>0.82</v>
      </c>
      <c r="L118" s="2" t="s">
        <v>46</v>
      </c>
      <c r="M118" s="2" t="s">
        <v>20</v>
      </c>
      <c r="N118" s="2">
        <v>5</v>
      </c>
      <c r="O118" s="2">
        <v>3</v>
      </c>
    </row>
    <row r="119" spans="1:15" x14ac:dyDescent="0.3">
      <c r="A119" s="2" t="s">
        <v>317</v>
      </c>
      <c r="B119" s="2" t="s">
        <v>318</v>
      </c>
      <c r="C119" s="2" t="s">
        <v>77</v>
      </c>
      <c r="D119" s="2">
        <v>36</v>
      </c>
      <c r="E119" s="2" t="s">
        <v>50</v>
      </c>
      <c r="F119" s="2" t="s">
        <v>51</v>
      </c>
      <c r="G119" s="2" t="s">
        <v>74</v>
      </c>
      <c r="H119" s="2">
        <v>13</v>
      </c>
      <c r="I119" s="9">
        <v>75</v>
      </c>
      <c r="J119" s="2">
        <v>1</v>
      </c>
      <c r="K119" s="3">
        <v>0.5</v>
      </c>
      <c r="L119" s="2" t="s">
        <v>46</v>
      </c>
      <c r="M119" s="2" t="s">
        <v>58</v>
      </c>
      <c r="N119" s="2">
        <v>14</v>
      </c>
      <c r="O119" s="2">
        <v>4</v>
      </c>
    </row>
    <row r="120" spans="1:15" x14ac:dyDescent="0.3">
      <c r="A120" s="2" t="s">
        <v>319</v>
      </c>
      <c r="B120" s="2" t="s">
        <v>320</v>
      </c>
      <c r="C120" s="2" t="s">
        <v>77</v>
      </c>
      <c r="D120" s="2">
        <v>47</v>
      </c>
      <c r="E120" s="2" t="s">
        <v>16</v>
      </c>
      <c r="F120" s="2" t="s">
        <v>17</v>
      </c>
      <c r="G120" s="2" t="s">
        <v>87</v>
      </c>
      <c r="H120" s="2">
        <v>5</v>
      </c>
      <c r="I120" s="9" t="s">
        <v>38</v>
      </c>
      <c r="J120" s="2">
        <v>5</v>
      </c>
      <c r="K120" s="3">
        <v>0.93</v>
      </c>
      <c r="L120" s="2" t="s">
        <v>46</v>
      </c>
      <c r="M120" s="2" t="s">
        <v>27</v>
      </c>
      <c r="N120" s="2">
        <v>3</v>
      </c>
      <c r="O120" s="2">
        <v>1</v>
      </c>
    </row>
    <row r="121" spans="1:15" x14ac:dyDescent="0.3">
      <c r="A121" s="2" t="s">
        <v>321</v>
      </c>
      <c r="B121" s="2" t="s">
        <v>322</v>
      </c>
      <c r="C121" s="2" t="s">
        <v>95</v>
      </c>
      <c r="D121" s="2">
        <v>48</v>
      </c>
      <c r="E121" s="2" t="s">
        <v>124</v>
      </c>
      <c r="F121" s="2" t="s">
        <v>25</v>
      </c>
      <c r="G121" s="2" t="s">
        <v>110</v>
      </c>
      <c r="H121" s="2">
        <v>15</v>
      </c>
      <c r="I121" s="9" t="s">
        <v>64</v>
      </c>
      <c r="J121" s="2">
        <v>2</v>
      </c>
      <c r="K121" s="3">
        <v>0.64</v>
      </c>
      <c r="L121" s="2" t="s">
        <v>69</v>
      </c>
      <c r="M121" s="2" t="s">
        <v>58</v>
      </c>
      <c r="N121" s="2">
        <v>14</v>
      </c>
      <c r="O121" s="2">
        <v>5</v>
      </c>
    </row>
    <row r="122" spans="1:15" x14ac:dyDescent="0.3">
      <c r="A122" s="2" t="s">
        <v>323</v>
      </c>
      <c r="B122" s="2" t="s">
        <v>324</v>
      </c>
      <c r="C122" s="2" t="s">
        <v>77</v>
      </c>
      <c r="D122" s="2">
        <v>27</v>
      </c>
      <c r="E122" s="2" t="s">
        <v>168</v>
      </c>
      <c r="F122" s="2" t="s">
        <v>169</v>
      </c>
      <c r="G122" s="2" t="s">
        <v>74</v>
      </c>
      <c r="H122" s="2">
        <v>8</v>
      </c>
      <c r="I122" s="9" t="s">
        <v>64</v>
      </c>
      <c r="J122" s="2">
        <v>1</v>
      </c>
      <c r="K122" s="3">
        <v>0.5</v>
      </c>
      <c r="L122" s="2" t="s">
        <v>19</v>
      </c>
      <c r="M122" s="2" t="s">
        <v>20</v>
      </c>
      <c r="N122" s="2">
        <v>14</v>
      </c>
      <c r="O122" s="2">
        <v>6</v>
      </c>
    </row>
    <row r="123" spans="1:15" x14ac:dyDescent="0.3">
      <c r="A123" s="2" t="s">
        <v>325</v>
      </c>
      <c r="B123" s="2" t="s">
        <v>326</v>
      </c>
      <c r="C123" s="2" t="s">
        <v>95</v>
      </c>
      <c r="D123" s="2">
        <v>34</v>
      </c>
      <c r="E123" s="2" t="s">
        <v>24</v>
      </c>
      <c r="F123" s="2" t="s">
        <v>25</v>
      </c>
      <c r="G123" s="2" t="s">
        <v>37</v>
      </c>
      <c r="H123" s="2">
        <v>10</v>
      </c>
      <c r="I123" s="9">
        <v>54.43181818181818</v>
      </c>
      <c r="J123" s="2">
        <v>5</v>
      </c>
      <c r="K123" s="3">
        <v>0.96</v>
      </c>
      <c r="L123" s="2" t="s">
        <v>19</v>
      </c>
      <c r="M123" s="2" t="s">
        <v>58</v>
      </c>
      <c r="N123" s="2">
        <v>7</v>
      </c>
      <c r="O123" s="2">
        <v>9</v>
      </c>
    </row>
    <row r="124" spans="1:15" x14ac:dyDescent="0.3">
      <c r="A124" s="2" t="s">
        <v>327</v>
      </c>
      <c r="B124" s="2" t="s">
        <v>328</v>
      </c>
      <c r="C124" s="2" t="s">
        <v>95</v>
      </c>
      <c r="D124" s="2">
        <v>49</v>
      </c>
      <c r="E124" s="2" t="s">
        <v>108</v>
      </c>
      <c r="F124" s="2" t="s">
        <v>109</v>
      </c>
      <c r="G124" s="2" t="s">
        <v>52</v>
      </c>
      <c r="H124" s="2">
        <v>19</v>
      </c>
      <c r="I124" s="9">
        <v>54.43181818181818</v>
      </c>
      <c r="J124" s="2">
        <v>4</v>
      </c>
      <c r="K124" s="3">
        <v>0.83</v>
      </c>
      <c r="L124" s="2" t="s">
        <v>65</v>
      </c>
      <c r="M124" s="2" t="s">
        <v>20</v>
      </c>
      <c r="N124" s="2">
        <v>11</v>
      </c>
      <c r="O124" s="2">
        <v>5</v>
      </c>
    </row>
    <row r="125" spans="1:15" x14ac:dyDescent="0.3">
      <c r="A125" s="2" t="s">
        <v>329</v>
      </c>
      <c r="B125" s="2" t="s">
        <v>330</v>
      </c>
      <c r="C125" s="2" t="s">
        <v>95</v>
      </c>
      <c r="D125" s="2">
        <v>30</v>
      </c>
      <c r="E125" s="2" t="s">
        <v>104</v>
      </c>
      <c r="F125" s="2" t="s">
        <v>105</v>
      </c>
      <c r="G125" s="2" t="s">
        <v>26</v>
      </c>
      <c r="H125" s="2">
        <v>10</v>
      </c>
      <c r="I125" s="9" t="s">
        <v>222</v>
      </c>
      <c r="J125" s="2">
        <v>2</v>
      </c>
      <c r="K125" s="3">
        <v>0.64</v>
      </c>
      <c r="L125" s="2" t="s">
        <v>69</v>
      </c>
      <c r="M125" s="2" t="s">
        <v>20</v>
      </c>
      <c r="N125" s="2">
        <v>14</v>
      </c>
      <c r="O125" s="2">
        <v>9</v>
      </c>
    </row>
    <row r="126" spans="1:15" x14ac:dyDescent="0.3">
      <c r="A126" s="2" t="s">
        <v>331</v>
      </c>
      <c r="B126" s="2" t="s">
        <v>332</v>
      </c>
      <c r="C126" s="2" t="s">
        <v>95</v>
      </c>
      <c r="D126" s="2">
        <v>31</v>
      </c>
      <c r="E126" s="2" t="s">
        <v>135</v>
      </c>
      <c r="F126" s="2" t="s">
        <v>136</v>
      </c>
      <c r="G126" s="2" t="s">
        <v>32</v>
      </c>
      <c r="H126" s="2">
        <v>8</v>
      </c>
      <c r="I126" s="9">
        <v>40</v>
      </c>
      <c r="J126" s="2">
        <v>3</v>
      </c>
      <c r="K126" s="3">
        <v>0.7</v>
      </c>
      <c r="L126" s="2" t="s">
        <v>46</v>
      </c>
      <c r="M126" s="2" t="s">
        <v>58</v>
      </c>
      <c r="N126" s="2">
        <v>15</v>
      </c>
      <c r="O126" s="2">
        <v>5</v>
      </c>
    </row>
    <row r="127" spans="1:15" x14ac:dyDescent="0.3">
      <c r="A127" s="2" t="s">
        <v>333</v>
      </c>
      <c r="B127" s="2" t="s">
        <v>334</v>
      </c>
      <c r="C127" s="2" t="s">
        <v>95</v>
      </c>
      <c r="D127" s="2">
        <v>58</v>
      </c>
      <c r="E127" s="2" t="s">
        <v>168</v>
      </c>
      <c r="F127" s="2" t="s">
        <v>169</v>
      </c>
      <c r="G127" s="2" t="s">
        <v>110</v>
      </c>
      <c r="H127" s="2">
        <v>9</v>
      </c>
      <c r="I127" s="9">
        <v>20</v>
      </c>
      <c r="J127" s="2">
        <v>2</v>
      </c>
      <c r="K127" s="3">
        <v>0.65</v>
      </c>
      <c r="L127" s="2" t="s">
        <v>69</v>
      </c>
      <c r="M127" s="2" t="s">
        <v>58</v>
      </c>
      <c r="N127" s="2">
        <v>15</v>
      </c>
      <c r="O127" s="2">
        <v>7</v>
      </c>
    </row>
    <row r="128" spans="1:15" x14ac:dyDescent="0.3">
      <c r="A128" s="2" t="s">
        <v>335</v>
      </c>
      <c r="B128" s="2" t="s">
        <v>336</v>
      </c>
      <c r="C128" s="2" t="s">
        <v>95</v>
      </c>
      <c r="D128" s="2">
        <v>47</v>
      </c>
      <c r="E128" s="2" t="s">
        <v>131</v>
      </c>
      <c r="F128" s="2" t="s">
        <v>132</v>
      </c>
      <c r="G128" s="2" t="s">
        <v>110</v>
      </c>
      <c r="H128" s="2">
        <v>13</v>
      </c>
      <c r="I128" s="9">
        <v>40</v>
      </c>
      <c r="J128" s="2">
        <v>2</v>
      </c>
      <c r="K128" s="3">
        <v>0.67</v>
      </c>
      <c r="L128" s="2" t="s">
        <v>65</v>
      </c>
      <c r="M128" s="2" t="s">
        <v>33</v>
      </c>
      <c r="N128" s="2">
        <v>7</v>
      </c>
      <c r="O128" s="2">
        <v>3</v>
      </c>
    </row>
    <row r="129" spans="1:15" x14ac:dyDescent="0.3">
      <c r="A129" s="2" t="s">
        <v>337</v>
      </c>
      <c r="B129" s="2" t="s">
        <v>338</v>
      </c>
      <c r="C129" s="2" t="s">
        <v>77</v>
      </c>
      <c r="D129" s="2">
        <v>45</v>
      </c>
      <c r="E129" s="2" t="s">
        <v>68</v>
      </c>
      <c r="F129" s="2" t="s">
        <v>25</v>
      </c>
      <c r="G129" s="2" t="s">
        <v>78</v>
      </c>
      <c r="H129" s="2">
        <v>14</v>
      </c>
      <c r="I129" s="9" t="s">
        <v>222</v>
      </c>
      <c r="J129" s="2">
        <v>5</v>
      </c>
      <c r="K129" s="3">
        <v>0.93</v>
      </c>
      <c r="L129" s="2" t="s">
        <v>65</v>
      </c>
      <c r="M129" s="2" t="s">
        <v>27</v>
      </c>
      <c r="N129" s="2">
        <v>12</v>
      </c>
      <c r="O129" s="2">
        <v>12</v>
      </c>
    </row>
    <row r="130" spans="1:15" x14ac:dyDescent="0.3">
      <c r="A130" s="2" t="s">
        <v>339</v>
      </c>
      <c r="B130" s="2" t="s">
        <v>340</v>
      </c>
      <c r="C130" s="2" t="s">
        <v>77</v>
      </c>
      <c r="D130" s="2">
        <v>57</v>
      </c>
      <c r="E130" s="2" t="s">
        <v>131</v>
      </c>
      <c r="F130" s="2" t="s">
        <v>132</v>
      </c>
      <c r="G130" s="2" t="s">
        <v>110</v>
      </c>
      <c r="H130" s="2">
        <v>0</v>
      </c>
      <c r="I130" s="9">
        <v>50</v>
      </c>
      <c r="J130" s="2">
        <v>2</v>
      </c>
      <c r="K130" s="3">
        <v>0.6</v>
      </c>
      <c r="L130" s="2" t="s">
        <v>69</v>
      </c>
      <c r="M130" s="2" t="s">
        <v>20</v>
      </c>
      <c r="N130" s="2">
        <v>3</v>
      </c>
      <c r="O130" s="2">
        <v>2</v>
      </c>
    </row>
    <row r="131" spans="1:15" x14ac:dyDescent="0.3">
      <c r="A131" s="2" t="s">
        <v>341</v>
      </c>
      <c r="B131" s="2" t="s">
        <v>342</v>
      </c>
      <c r="C131" s="2" t="s">
        <v>95</v>
      </c>
      <c r="D131" s="2">
        <v>50</v>
      </c>
      <c r="E131" s="2" t="s">
        <v>91</v>
      </c>
      <c r="F131" s="2" t="s">
        <v>92</v>
      </c>
      <c r="G131" s="2" t="s">
        <v>37</v>
      </c>
      <c r="H131" s="2">
        <v>22</v>
      </c>
      <c r="I131" s="9">
        <v>100</v>
      </c>
      <c r="J131" s="2">
        <v>2</v>
      </c>
      <c r="K131" s="3">
        <v>0.62</v>
      </c>
      <c r="L131" s="2" t="s">
        <v>69</v>
      </c>
      <c r="M131" s="2" t="s">
        <v>33</v>
      </c>
      <c r="N131" s="2">
        <v>17</v>
      </c>
      <c r="O131" s="2">
        <v>6</v>
      </c>
    </row>
    <row r="132" spans="1:15" x14ac:dyDescent="0.3">
      <c r="A132" s="2" t="s">
        <v>343</v>
      </c>
      <c r="B132" s="2" t="s">
        <v>344</v>
      </c>
      <c r="C132" s="2" t="s">
        <v>77</v>
      </c>
      <c r="D132" s="2">
        <v>41</v>
      </c>
      <c r="E132" s="2" t="s">
        <v>104</v>
      </c>
      <c r="F132" s="2" t="s">
        <v>105</v>
      </c>
      <c r="G132" s="2" t="s">
        <v>110</v>
      </c>
      <c r="H132" s="2">
        <v>4</v>
      </c>
      <c r="I132" s="9">
        <v>54.51737451737452</v>
      </c>
      <c r="J132" s="2">
        <v>3</v>
      </c>
      <c r="K132" s="3">
        <v>0.7</v>
      </c>
      <c r="L132" s="2" t="s">
        <v>69</v>
      </c>
      <c r="M132" s="2" t="s">
        <v>58</v>
      </c>
      <c r="N132" s="2">
        <v>2</v>
      </c>
      <c r="O132" s="2">
        <v>1</v>
      </c>
    </row>
    <row r="133" spans="1:15" x14ac:dyDescent="0.3">
      <c r="A133" s="2" t="s">
        <v>345</v>
      </c>
      <c r="B133" s="2" t="s">
        <v>346</v>
      </c>
      <c r="C133" s="2" t="s">
        <v>77</v>
      </c>
      <c r="D133" s="2">
        <v>45</v>
      </c>
      <c r="E133" s="2" t="s">
        <v>50</v>
      </c>
      <c r="F133" s="2" t="s">
        <v>51</v>
      </c>
      <c r="G133" s="2" t="s">
        <v>18</v>
      </c>
      <c r="H133" s="2">
        <v>22</v>
      </c>
      <c r="I133" s="9" t="s">
        <v>222</v>
      </c>
      <c r="J133" s="2">
        <v>3</v>
      </c>
      <c r="K133" s="3">
        <v>0.75</v>
      </c>
      <c r="L133" s="2" t="s">
        <v>19</v>
      </c>
      <c r="M133" s="2" t="s">
        <v>27</v>
      </c>
      <c r="N133" s="2">
        <v>16</v>
      </c>
      <c r="O133" s="2">
        <v>4</v>
      </c>
    </row>
    <row r="134" spans="1:15" x14ac:dyDescent="0.3">
      <c r="A134" s="2" t="s">
        <v>347</v>
      </c>
      <c r="B134" s="2" t="s">
        <v>348</v>
      </c>
      <c r="C134" s="2" t="s">
        <v>95</v>
      </c>
      <c r="D134" s="2">
        <v>60</v>
      </c>
      <c r="E134" s="2" t="s">
        <v>147</v>
      </c>
      <c r="F134" s="2" t="s">
        <v>148</v>
      </c>
      <c r="G134" s="2" t="s">
        <v>78</v>
      </c>
      <c r="H134" s="2">
        <v>39</v>
      </c>
      <c r="I134" s="9">
        <v>75</v>
      </c>
      <c r="J134" s="2">
        <v>3</v>
      </c>
      <c r="K134" s="3">
        <v>0.7</v>
      </c>
      <c r="L134" s="2" t="s">
        <v>46</v>
      </c>
      <c r="M134" s="2" t="s">
        <v>33</v>
      </c>
      <c r="N134" s="2">
        <v>10</v>
      </c>
      <c r="O134" s="2">
        <v>3</v>
      </c>
    </row>
    <row r="135" spans="1:15" x14ac:dyDescent="0.3">
      <c r="A135" s="2" t="s">
        <v>349</v>
      </c>
      <c r="B135" s="2" t="s">
        <v>350</v>
      </c>
      <c r="C135" s="2" t="s">
        <v>77</v>
      </c>
      <c r="D135" s="2">
        <v>43</v>
      </c>
      <c r="E135" s="2" t="s">
        <v>68</v>
      </c>
      <c r="F135" s="2" t="s">
        <v>25</v>
      </c>
      <c r="G135" s="2" t="s">
        <v>78</v>
      </c>
      <c r="H135" s="2">
        <v>5</v>
      </c>
      <c r="I135" s="9" t="s">
        <v>64</v>
      </c>
      <c r="J135" s="2">
        <v>4</v>
      </c>
      <c r="K135" s="3">
        <v>0.84</v>
      </c>
      <c r="L135" s="2" t="s">
        <v>69</v>
      </c>
      <c r="M135" s="2" t="s">
        <v>20</v>
      </c>
      <c r="N135" s="2">
        <v>1</v>
      </c>
      <c r="O135" s="2">
        <v>3</v>
      </c>
    </row>
    <row r="136" spans="1:15" x14ac:dyDescent="0.3">
      <c r="A136" s="2" t="s">
        <v>351</v>
      </c>
      <c r="B136" s="2" t="s">
        <v>352</v>
      </c>
      <c r="C136" s="2" t="s">
        <v>77</v>
      </c>
      <c r="D136" s="2">
        <v>39</v>
      </c>
      <c r="E136" s="2" t="s">
        <v>131</v>
      </c>
      <c r="F136" s="2" t="s">
        <v>132</v>
      </c>
      <c r="G136" s="2" t="s">
        <v>78</v>
      </c>
      <c r="H136" s="2">
        <v>5</v>
      </c>
      <c r="I136" s="9" t="s">
        <v>38</v>
      </c>
      <c r="J136" s="2">
        <v>4</v>
      </c>
      <c r="K136" s="3">
        <v>0.83</v>
      </c>
      <c r="L136" s="2" t="s">
        <v>69</v>
      </c>
      <c r="M136" s="2" t="s">
        <v>33</v>
      </c>
      <c r="N136" s="2">
        <v>4</v>
      </c>
      <c r="O136" s="2">
        <v>1</v>
      </c>
    </row>
    <row r="137" spans="1:15" x14ac:dyDescent="0.3">
      <c r="A137" s="2" t="s">
        <v>353</v>
      </c>
      <c r="B137" s="2" t="s">
        <v>354</v>
      </c>
      <c r="C137" s="2" t="s">
        <v>95</v>
      </c>
      <c r="D137" s="2">
        <v>26</v>
      </c>
      <c r="E137" s="2" t="s">
        <v>172</v>
      </c>
      <c r="F137" s="2" t="s">
        <v>73</v>
      </c>
      <c r="G137" s="2" t="s">
        <v>74</v>
      </c>
      <c r="H137" s="2">
        <v>5</v>
      </c>
      <c r="I137" s="9">
        <v>50</v>
      </c>
      <c r="J137" s="2">
        <v>1</v>
      </c>
      <c r="K137" s="3">
        <v>0.5</v>
      </c>
      <c r="L137" s="2" t="s">
        <v>69</v>
      </c>
      <c r="M137" s="2" t="s">
        <v>20</v>
      </c>
      <c r="N137" s="2">
        <v>3</v>
      </c>
      <c r="O137" s="2">
        <v>1</v>
      </c>
    </row>
    <row r="138" spans="1:15" x14ac:dyDescent="0.3">
      <c r="A138" s="2" t="s">
        <v>355</v>
      </c>
      <c r="B138" s="2" t="s">
        <v>356</v>
      </c>
      <c r="C138" s="2" t="s">
        <v>95</v>
      </c>
      <c r="D138" s="2">
        <v>31</v>
      </c>
      <c r="E138" s="2" t="s">
        <v>31</v>
      </c>
      <c r="F138" s="2" t="s">
        <v>31</v>
      </c>
      <c r="G138" s="2" t="s">
        <v>78</v>
      </c>
      <c r="H138" s="2">
        <v>11</v>
      </c>
      <c r="I138" s="9">
        <v>50</v>
      </c>
      <c r="J138" s="2">
        <v>4</v>
      </c>
      <c r="K138" s="3">
        <v>0.88</v>
      </c>
      <c r="L138" s="2" t="s">
        <v>65</v>
      </c>
      <c r="M138" s="2" t="s">
        <v>58</v>
      </c>
      <c r="N138" s="2">
        <v>14</v>
      </c>
      <c r="O138" s="2">
        <v>3</v>
      </c>
    </row>
    <row r="139" spans="1:15" x14ac:dyDescent="0.3">
      <c r="A139" s="2" t="s">
        <v>357</v>
      </c>
      <c r="B139" s="2" t="s">
        <v>358</v>
      </c>
      <c r="C139" s="2" t="s">
        <v>95</v>
      </c>
      <c r="D139" s="2">
        <v>52</v>
      </c>
      <c r="E139" s="2" t="s">
        <v>131</v>
      </c>
      <c r="F139" s="2" t="s">
        <v>132</v>
      </c>
      <c r="G139" s="2" t="s">
        <v>74</v>
      </c>
      <c r="H139" s="2">
        <v>15</v>
      </c>
      <c r="I139" s="9">
        <v>50</v>
      </c>
      <c r="J139" s="2">
        <v>4</v>
      </c>
      <c r="K139" s="3">
        <v>0.81</v>
      </c>
      <c r="L139" s="2" t="s">
        <v>65</v>
      </c>
      <c r="M139" s="2" t="s">
        <v>27</v>
      </c>
      <c r="N139" s="2">
        <v>10</v>
      </c>
      <c r="O139" s="2">
        <v>12</v>
      </c>
    </row>
    <row r="140" spans="1:15" x14ac:dyDescent="0.3">
      <c r="A140" s="2" t="s">
        <v>359</v>
      </c>
      <c r="B140" s="2" t="s">
        <v>360</v>
      </c>
      <c r="C140" s="2" t="s">
        <v>77</v>
      </c>
      <c r="D140" s="2">
        <v>34</v>
      </c>
      <c r="E140" s="2" t="s">
        <v>91</v>
      </c>
      <c r="F140" s="2" t="s">
        <v>92</v>
      </c>
      <c r="G140" s="2" t="s">
        <v>52</v>
      </c>
      <c r="H140" s="2">
        <v>5</v>
      </c>
      <c r="I140" s="9" t="s">
        <v>117</v>
      </c>
      <c r="J140" s="2">
        <v>4</v>
      </c>
      <c r="K140" s="3">
        <v>0.8</v>
      </c>
      <c r="L140" s="2" t="s">
        <v>19</v>
      </c>
      <c r="M140" s="2" t="s">
        <v>27</v>
      </c>
      <c r="N140" s="2">
        <v>3</v>
      </c>
      <c r="O140" s="2">
        <v>3</v>
      </c>
    </row>
    <row r="141" spans="1:15" x14ac:dyDescent="0.3">
      <c r="A141" s="2" t="s">
        <v>361</v>
      </c>
      <c r="B141" s="2" t="s">
        <v>362</v>
      </c>
      <c r="C141" s="2" t="s">
        <v>95</v>
      </c>
      <c r="D141" s="2">
        <v>45</v>
      </c>
      <c r="E141" s="2" t="s">
        <v>68</v>
      </c>
      <c r="F141" s="2" t="s">
        <v>25</v>
      </c>
      <c r="G141" s="2" t="s">
        <v>37</v>
      </c>
      <c r="H141" s="2">
        <v>7</v>
      </c>
      <c r="I141" s="9">
        <v>75</v>
      </c>
      <c r="J141" s="2">
        <v>2</v>
      </c>
      <c r="K141" s="3">
        <v>0.67</v>
      </c>
      <c r="L141" s="2" t="s">
        <v>46</v>
      </c>
      <c r="M141" s="2" t="s">
        <v>27</v>
      </c>
      <c r="N141" s="2">
        <v>7</v>
      </c>
      <c r="O141" s="2">
        <v>8</v>
      </c>
    </row>
    <row r="142" spans="1:15" x14ac:dyDescent="0.3">
      <c r="A142" s="2" t="s">
        <v>363</v>
      </c>
      <c r="B142" s="2" t="s">
        <v>364</v>
      </c>
      <c r="C142" s="2" t="s">
        <v>95</v>
      </c>
      <c r="D142" s="2">
        <v>46</v>
      </c>
      <c r="E142" s="2" t="s">
        <v>68</v>
      </c>
      <c r="F142" s="2" t="s">
        <v>25</v>
      </c>
      <c r="G142" s="2" t="s">
        <v>78</v>
      </c>
      <c r="H142" s="2">
        <v>9</v>
      </c>
      <c r="I142" s="9" t="s">
        <v>117</v>
      </c>
      <c r="J142" s="2">
        <v>4</v>
      </c>
      <c r="K142" s="3">
        <v>0.82</v>
      </c>
      <c r="L142" s="2" t="s">
        <v>19</v>
      </c>
      <c r="M142" s="2" t="s">
        <v>58</v>
      </c>
      <c r="N142" s="2">
        <v>14</v>
      </c>
      <c r="O142" s="2">
        <v>6</v>
      </c>
    </row>
    <row r="143" spans="1:15" x14ac:dyDescent="0.3">
      <c r="A143" s="2" t="s">
        <v>365</v>
      </c>
      <c r="B143" s="2" t="s">
        <v>366</v>
      </c>
      <c r="C143" s="2" t="s">
        <v>95</v>
      </c>
      <c r="D143" s="2">
        <v>56</v>
      </c>
      <c r="E143" s="2" t="s">
        <v>131</v>
      </c>
      <c r="F143" s="2" t="s">
        <v>132</v>
      </c>
      <c r="G143" s="2" t="s">
        <v>74</v>
      </c>
      <c r="H143" s="2">
        <v>21</v>
      </c>
      <c r="I143" s="9" t="s">
        <v>222</v>
      </c>
      <c r="J143" s="2">
        <v>3</v>
      </c>
      <c r="K143" s="3">
        <v>0.78</v>
      </c>
      <c r="L143" s="2" t="s">
        <v>46</v>
      </c>
      <c r="M143" s="2" t="s">
        <v>20</v>
      </c>
      <c r="N143" s="2">
        <v>18</v>
      </c>
      <c r="O143" s="2">
        <v>13</v>
      </c>
    </row>
    <row r="144" spans="1:15" x14ac:dyDescent="0.3">
      <c r="A144" s="2" t="s">
        <v>367</v>
      </c>
      <c r="B144" s="2" t="s">
        <v>368</v>
      </c>
      <c r="C144" s="2" t="s">
        <v>77</v>
      </c>
      <c r="D144" s="2">
        <v>59</v>
      </c>
      <c r="E144" s="2" t="s">
        <v>31</v>
      </c>
      <c r="F144" s="2" t="s">
        <v>31</v>
      </c>
      <c r="G144" s="2" t="s">
        <v>44</v>
      </c>
      <c r="H144" s="2">
        <v>7</v>
      </c>
      <c r="I144" s="9" t="s">
        <v>38</v>
      </c>
      <c r="J144" s="2">
        <v>4</v>
      </c>
      <c r="K144" s="3">
        <v>0.81</v>
      </c>
      <c r="L144" s="2" t="s">
        <v>65</v>
      </c>
      <c r="M144" s="2" t="s">
        <v>58</v>
      </c>
      <c r="N144" s="2">
        <v>9</v>
      </c>
      <c r="O144" s="2">
        <v>11</v>
      </c>
    </row>
    <row r="145" spans="1:15" x14ac:dyDescent="0.3">
      <c r="A145" s="2" t="s">
        <v>369</v>
      </c>
      <c r="B145" s="2" t="s">
        <v>370</v>
      </c>
      <c r="C145" s="2" t="s">
        <v>77</v>
      </c>
      <c r="D145" s="2">
        <v>54</v>
      </c>
      <c r="E145" s="2" t="s">
        <v>135</v>
      </c>
      <c r="F145" s="2" t="s">
        <v>136</v>
      </c>
      <c r="G145" s="2" t="s">
        <v>18</v>
      </c>
      <c r="H145" s="2">
        <v>4</v>
      </c>
      <c r="I145" s="9">
        <v>54.409448818897637</v>
      </c>
      <c r="J145" s="2">
        <v>3</v>
      </c>
      <c r="K145" s="3">
        <v>0.74</v>
      </c>
      <c r="L145" s="2" t="s">
        <v>65</v>
      </c>
      <c r="M145" s="2" t="s">
        <v>27</v>
      </c>
      <c r="N145" s="2">
        <v>5</v>
      </c>
      <c r="O145" s="2">
        <v>1</v>
      </c>
    </row>
    <row r="146" spans="1:15" x14ac:dyDescent="0.3">
      <c r="A146" s="2" t="s">
        <v>371</v>
      </c>
      <c r="B146" s="2" t="s">
        <v>372</v>
      </c>
      <c r="C146" s="2" t="s">
        <v>95</v>
      </c>
      <c r="D146" s="2">
        <v>36</v>
      </c>
      <c r="E146" s="2" t="s">
        <v>31</v>
      </c>
      <c r="F146" s="2" t="s">
        <v>31</v>
      </c>
      <c r="G146" s="2" t="s">
        <v>74</v>
      </c>
      <c r="H146" s="2">
        <v>7</v>
      </c>
      <c r="I146" s="9">
        <v>30</v>
      </c>
      <c r="J146" s="2">
        <v>4</v>
      </c>
      <c r="K146" s="3">
        <v>0.88</v>
      </c>
      <c r="L146" s="2" t="s">
        <v>65</v>
      </c>
      <c r="M146" s="2" t="s">
        <v>58</v>
      </c>
      <c r="N146" s="2">
        <v>7</v>
      </c>
      <c r="O146" s="2">
        <v>2</v>
      </c>
    </row>
    <row r="147" spans="1:15" x14ac:dyDescent="0.3">
      <c r="A147" s="2" t="s">
        <v>373</v>
      </c>
      <c r="B147" s="2" t="s">
        <v>374</v>
      </c>
      <c r="C147" s="2" t="s">
        <v>95</v>
      </c>
      <c r="D147" s="2">
        <v>25</v>
      </c>
      <c r="E147" s="2" t="s">
        <v>172</v>
      </c>
      <c r="F147" s="2" t="s">
        <v>73</v>
      </c>
      <c r="G147" s="2" t="s">
        <v>52</v>
      </c>
      <c r="H147" s="2">
        <v>0</v>
      </c>
      <c r="I147" s="9">
        <v>40</v>
      </c>
      <c r="J147" s="2">
        <v>5</v>
      </c>
      <c r="K147" s="3">
        <v>0.9</v>
      </c>
      <c r="L147" s="2" t="s">
        <v>19</v>
      </c>
      <c r="M147" s="2" t="s">
        <v>58</v>
      </c>
      <c r="N147" s="2">
        <v>1</v>
      </c>
      <c r="O147" s="2">
        <v>2</v>
      </c>
    </row>
    <row r="148" spans="1:15" x14ac:dyDescent="0.3">
      <c r="A148" s="2" t="s">
        <v>375</v>
      </c>
      <c r="B148" s="2" t="s">
        <v>376</v>
      </c>
      <c r="C148" s="2" t="s">
        <v>77</v>
      </c>
      <c r="D148" s="2">
        <v>37</v>
      </c>
      <c r="E148" s="2" t="s">
        <v>120</v>
      </c>
      <c r="F148" s="2" t="s">
        <v>121</v>
      </c>
      <c r="G148" s="2" t="s">
        <v>52</v>
      </c>
      <c r="H148" s="2">
        <v>15</v>
      </c>
      <c r="I148" s="9" t="s">
        <v>38</v>
      </c>
      <c r="J148" s="2">
        <v>1</v>
      </c>
      <c r="K148" s="3">
        <v>0.5</v>
      </c>
      <c r="L148" s="2" t="s">
        <v>69</v>
      </c>
      <c r="M148" s="2" t="s">
        <v>58</v>
      </c>
      <c r="N148" s="2">
        <v>6</v>
      </c>
      <c r="O148" s="2">
        <v>8</v>
      </c>
    </row>
    <row r="149" spans="1:15" x14ac:dyDescent="0.3">
      <c r="A149" s="2" t="s">
        <v>377</v>
      </c>
      <c r="B149" s="2" t="s">
        <v>378</v>
      </c>
      <c r="C149" s="2" t="s">
        <v>95</v>
      </c>
      <c r="D149" s="2">
        <v>41</v>
      </c>
      <c r="E149" s="2" t="s">
        <v>62</v>
      </c>
      <c r="F149" s="2" t="s">
        <v>63</v>
      </c>
      <c r="G149" s="2" t="s">
        <v>52</v>
      </c>
      <c r="H149" s="2">
        <v>10</v>
      </c>
      <c r="I149" s="9" t="s">
        <v>38</v>
      </c>
      <c r="J149" s="2">
        <v>1</v>
      </c>
      <c r="K149" s="3">
        <v>0.5</v>
      </c>
      <c r="L149" s="2" t="s">
        <v>69</v>
      </c>
      <c r="M149" s="2" t="s">
        <v>20</v>
      </c>
      <c r="N149" s="2">
        <v>6</v>
      </c>
      <c r="O149" s="2">
        <v>2</v>
      </c>
    </row>
    <row r="150" spans="1:15" x14ac:dyDescent="0.3">
      <c r="A150" s="2" t="s">
        <v>379</v>
      </c>
      <c r="B150" s="2" t="s">
        <v>380</v>
      </c>
      <c r="C150" s="2" t="s">
        <v>95</v>
      </c>
      <c r="D150" s="2">
        <v>29</v>
      </c>
      <c r="E150" s="2" t="s">
        <v>183</v>
      </c>
      <c r="F150" s="2" t="s">
        <v>73</v>
      </c>
      <c r="G150" s="2" t="s">
        <v>52</v>
      </c>
      <c r="H150" s="2">
        <v>11</v>
      </c>
      <c r="I150" s="9">
        <v>20</v>
      </c>
      <c r="J150" s="2">
        <v>5</v>
      </c>
      <c r="K150" s="3">
        <v>0.93</v>
      </c>
      <c r="L150" s="2" t="s">
        <v>65</v>
      </c>
      <c r="M150" s="2" t="s">
        <v>33</v>
      </c>
      <c r="N150" s="2">
        <v>13</v>
      </c>
      <c r="O150" s="2">
        <v>7</v>
      </c>
    </row>
    <row r="151" spans="1:15" x14ac:dyDescent="0.3">
      <c r="A151" s="2" t="s">
        <v>381</v>
      </c>
      <c r="B151" s="2" t="s">
        <v>382</v>
      </c>
      <c r="C151" s="2" t="s">
        <v>77</v>
      </c>
      <c r="D151" s="2">
        <v>55</v>
      </c>
      <c r="E151" s="2" t="s">
        <v>72</v>
      </c>
      <c r="F151" s="2" t="s">
        <v>73</v>
      </c>
      <c r="G151" s="2" t="s">
        <v>26</v>
      </c>
      <c r="H151" s="2">
        <v>12</v>
      </c>
      <c r="I151" s="9">
        <v>100</v>
      </c>
      <c r="J151" s="2">
        <v>1</v>
      </c>
      <c r="K151" s="3">
        <v>0.5</v>
      </c>
      <c r="L151" s="2" t="s">
        <v>69</v>
      </c>
      <c r="M151" s="2" t="s">
        <v>33</v>
      </c>
      <c r="N151" s="2">
        <v>11</v>
      </c>
      <c r="O151" s="2">
        <v>3</v>
      </c>
    </row>
    <row r="152" spans="1:15" x14ac:dyDescent="0.3">
      <c r="A152" s="2" t="s">
        <v>383</v>
      </c>
      <c r="B152" s="2" t="s">
        <v>384</v>
      </c>
      <c r="C152" s="2" t="s">
        <v>77</v>
      </c>
      <c r="D152" s="2">
        <v>38</v>
      </c>
      <c r="E152" s="2" t="s">
        <v>83</v>
      </c>
      <c r="F152" s="2" t="s">
        <v>84</v>
      </c>
      <c r="G152" s="2" t="s">
        <v>87</v>
      </c>
      <c r="H152" s="2">
        <v>20</v>
      </c>
      <c r="I152" s="9" t="s">
        <v>163</v>
      </c>
      <c r="J152" s="2">
        <v>3</v>
      </c>
      <c r="K152" s="3">
        <v>0.71</v>
      </c>
      <c r="L152" s="2" t="s">
        <v>69</v>
      </c>
      <c r="M152" s="2" t="s">
        <v>58</v>
      </c>
      <c r="N152" s="2">
        <v>19</v>
      </c>
      <c r="O152" s="2">
        <v>7</v>
      </c>
    </row>
    <row r="153" spans="1:15" x14ac:dyDescent="0.3">
      <c r="A153" s="2" t="s">
        <v>385</v>
      </c>
      <c r="B153" s="2" t="s">
        <v>386</v>
      </c>
      <c r="C153" s="2" t="s">
        <v>95</v>
      </c>
      <c r="D153" s="2">
        <v>47</v>
      </c>
      <c r="E153" s="2" t="s">
        <v>108</v>
      </c>
      <c r="F153" s="2" t="s">
        <v>109</v>
      </c>
      <c r="G153" s="2" t="s">
        <v>87</v>
      </c>
      <c r="H153" s="2">
        <v>29</v>
      </c>
      <c r="I153" s="9" t="s">
        <v>38</v>
      </c>
      <c r="J153" s="2">
        <v>5</v>
      </c>
      <c r="K153" s="3">
        <v>0.95</v>
      </c>
      <c r="L153" s="2" t="s">
        <v>19</v>
      </c>
      <c r="M153" s="2" t="s">
        <v>33</v>
      </c>
      <c r="N153" s="2">
        <v>11</v>
      </c>
      <c r="O153" s="2">
        <v>8</v>
      </c>
    </row>
    <row r="154" spans="1:15" x14ac:dyDescent="0.3">
      <c r="A154" s="2" t="s">
        <v>387</v>
      </c>
      <c r="B154" s="2" t="s">
        <v>388</v>
      </c>
      <c r="C154" s="2" t="s">
        <v>95</v>
      </c>
      <c r="D154" s="2">
        <v>60</v>
      </c>
      <c r="E154" s="2" t="s">
        <v>104</v>
      </c>
      <c r="F154" s="2" t="s">
        <v>105</v>
      </c>
      <c r="G154" s="2" t="s">
        <v>37</v>
      </c>
      <c r="H154" s="2">
        <v>15</v>
      </c>
      <c r="I154" s="9">
        <v>100</v>
      </c>
      <c r="J154" s="2">
        <v>4</v>
      </c>
      <c r="K154" s="3">
        <v>0.8</v>
      </c>
      <c r="L154" s="2" t="s">
        <v>46</v>
      </c>
      <c r="M154" s="2" t="s">
        <v>33</v>
      </c>
      <c r="N154" s="2">
        <v>8</v>
      </c>
      <c r="O154" s="2">
        <v>14</v>
      </c>
    </row>
    <row r="155" spans="1:15" x14ac:dyDescent="0.3">
      <c r="A155" s="2" t="s">
        <v>389</v>
      </c>
      <c r="B155" s="2" t="s">
        <v>390</v>
      </c>
      <c r="C155" s="2" t="s">
        <v>77</v>
      </c>
      <c r="D155" s="2">
        <v>43</v>
      </c>
      <c r="E155" s="2" t="s">
        <v>16</v>
      </c>
      <c r="F155" s="2" t="s">
        <v>17</v>
      </c>
      <c r="G155" s="2" t="s">
        <v>52</v>
      </c>
      <c r="H155" s="2">
        <v>9</v>
      </c>
      <c r="I155" s="9" t="s">
        <v>117</v>
      </c>
      <c r="J155" s="2">
        <v>1</v>
      </c>
      <c r="K155" s="3">
        <v>0.5</v>
      </c>
      <c r="L155" s="2" t="s">
        <v>65</v>
      </c>
      <c r="M155" s="2" t="s">
        <v>58</v>
      </c>
      <c r="N155" s="2">
        <v>12</v>
      </c>
      <c r="O155" s="2">
        <v>5</v>
      </c>
    </row>
    <row r="156" spans="1:15" x14ac:dyDescent="0.3">
      <c r="A156" s="2" t="s">
        <v>391</v>
      </c>
      <c r="B156" s="2" t="s">
        <v>392</v>
      </c>
      <c r="C156" s="2" t="s">
        <v>95</v>
      </c>
      <c r="D156" s="2">
        <v>56</v>
      </c>
      <c r="E156" s="2" t="s">
        <v>147</v>
      </c>
      <c r="F156" s="2" t="s">
        <v>148</v>
      </c>
      <c r="G156" s="2" t="s">
        <v>52</v>
      </c>
      <c r="H156" s="10">
        <v>9.7424242424242422</v>
      </c>
      <c r="I156" s="9">
        <v>100</v>
      </c>
      <c r="J156" s="2">
        <v>2</v>
      </c>
      <c r="K156" s="3">
        <v>0.62</v>
      </c>
      <c r="L156" s="2" t="s">
        <v>65</v>
      </c>
      <c r="M156" s="2" t="s">
        <v>58</v>
      </c>
      <c r="N156" s="2">
        <v>4</v>
      </c>
      <c r="O156" s="2">
        <v>1</v>
      </c>
    </row>
    <row r="157" spans="1:15" x14ac:dyDescent="0.3">
      <c r="A157" s="2" t="s">
        <v>393</v>
      </c>
      <c r="B157" s="2" t="s">
        <v>394</v>
      </c>
      <c r="C157" s="2" t="s">
        <v>95</v>
      </c>
      <c r="D157" s="2">
        <v>42</v>
      </c>
      <c r="E157" s="2" t="s">
        <v>120</v>
      </c>
      <c r="F157" s="2" t="s">
        <v>121</v>
      </c>
      <c r="G157" s="2" t="s">
        <v>87</v>
      </c>
      <c r="H157" s="2">
        <v>2</v>
      </c>
      <c r="I157" s="9" t="s">
        <v>64</v>
      </c>
      <c r="J157" s="2">
        <v>5</v>
      </c>
      <c r="K157" s="3">
        <v>0.95</v>
      </c>
      <c r="L157" s="2" t="s">
        <v>19</v>
      </c>
      <c r="M157" s="2" t="s">
        <v>27</v>
      </c>
      <c r="N157" s="2">
        <v>2</v>
      </c>
      <c r="O157" s="2">
        <v>3</v>
      </c>
    </row>
    <row r="158" spans="1:15" x14ac:dyDescent="0.3">
      <c r="A158" s="2" t="s">
        <v>395</v>
      </c>
      <c r="B158" s="2" t="s">
        <v>396</v>
      </c>
      <c r="C158" s="2" t="s">
        <v>77</v>
      </c>
      <c r="D158" s="2">
        <v>20</v>
      </c>
      <c r="E158" s="2" t="s">
        <v>183</v>
      </c>
      <c r="F158" s="2" t="s">
        <v>73</v>
      </c>
      <c r="G158" s="2" t="s">
        <v>32</v>
      </c>
      <c r="H158" s="2">
        <v>0</v>
      </c>
      <c r="I158" s="9">
        <v>40</v>
      </c>
      <c r="J158" s="2">
        <v>3</v>
      </c>
      <c r="K158" s="3">
        <v>0.79</v>
      </c>
      <c r="L158" s="2" t="s">
        <v>19</v>
      </c>
      <c r="M158" s="2" t="s">
        <v>33</v>
      </c>
      <c r="N158" s="2">
        <v>4</v>
      </c>
      <c r="O158" s="2">
        <v>2</v>
      </c>
    </row>
    <row r="159" spans="1:15" x14ac:dyDescent="0.3">
      <c r="A159" s="2" t="s">
        <v>397</v>
      </c>
      <c r="B159" s="2" t="s">
        <v>398</v>
      </c>
      <c r="C159" s="2" t="s">
        <v>77</v>
      </c>
      <c r="D159" s="2">
        <v>47</v>
      </c>
      <c r="E159" s="2" t="s">
        <v>50</v>
      </c>
      <c r="F159" s="2" t="s">
        <v>51</v>
      </c>
      <c r="G159" s="2" t="s">
        <v>74</v>
      </c>
      <c r="H159" s="2">
        <v>12</v>
      </c>
      <c r="I159" s="9">
        <v>40</v>
      </c>
      <c r="J159" s="2">
        <v>2</v>
      </c>
      <c r="K159" s="3">
        <v>0.62</v>
      </c>
      <c r="L159" s="2" t="s">
        <v>69</v>
      </c>
      <c r="M159" s="2" t="s">
        <v>20</v>
      </c>
      <c r="N159" s="2">
        <v>15</v>
      </c>
      <c r="O159" s="2">
        <v>10</v>
      </c>
    </row>
    <row r="160" spans="1:15" x14ac:dyDescent="0.3">
      <c r="A160" s="2" t="s">
        <v>399</v>
      </c>
      <c r="B160" s="2" t="s">
        <v>400</v>
      </c>
      <c r="C160" s="2" t="s">
        <v>95</v>
      </c>
      <c r="D160" s="2">
        <v>41</v>
      </c>
      <c r="E160" s="2" t="s">
        <v>72</v>
      </c>
      <c r="F160" s="2" t="s">
        <v>73</v>
      </c>
      <c r="G160" s="2" t="s">
        <v>52</v>
      </c>
      <c r="H160" s="2">
        <v>12</v>
      </c>
      <c r="I160" s="9" t="s">
        <v>45</v>
      </c>
      <c r="J160" s="2">
        <v>2</v>
      </c>
      <c r="K160" s="3">
        <v>0.68</v>
      </c>
      <c r="L160" s="2" t="s">
        <v>65</v>
      </c>
      <c r="M160" s="2" t="s">
        <v>58</v>
      </c>
      <c r="N160" s="2">
        <v>15</v>
      </c>
      <c r="O160" s="2">
        <v>11</v>
      </c>
    </row>
    <row r="161" spans="1:15" x14ac:dyDescent="0.3">
      <c r="A161" s="2" t="s">
        <v>401</v>
      </c>
      <c r="B161" s="2" t="s">
        <v>402</v>
      </c>
      <c r="C161" s="2" t="s">
        <v>95</v>
      </c>
      <c r="D161" s="2">
        <v>56</v>
      </c>
      <c r="E161" s="2" t="s">
        <v>50</v>
      </c>
      <c r="F161" s="2" t="s">
        <v>51</v>
      </c>
      <c r="G161" s="2" t="s">
        <v>87</v>
      </c>
      <c r="H161" s="2">
        <v>15</v>
      </c>
      <c r="I161" s="9" t="s">
        <v>163</v>
      </c>
      <c r="J161" s="2">
        <v>1</v>
      </c>
      <c r="K161" s="3">
        <v>0.5</v>
      </c>
      <c r="L161" s="2" t="s">
        <v>46</v>
      </c>
      <c r="M161" s="2" t="s">
        <v>27</v>
      </c>
      <c r="N161" s="2">
        <v>9</v>
      </c>
      <c r="O161" s="2">
        <v>9</v>
      </c>
    </row>
    <row r="162" spans="1:15" x14ac:dyDescent="0.3">
      <c r="A162" s="2" t="s">
        <v>403</v>
      </c>
      <c r="B162" s="2" t="s">
        <v>404</v>
      </c>
      <c r="C162" s="2" t="s">
        <v>95</v>
      </c>
      <c r="D162" s="2">
        <v>59</v>
      </c>
      <c r="E162" s="2" t="s">
        <v>68</v>
      </c>
      <c r="F162" s="2" t="s">
        <v>25</v>
      </c>
      <c r="G162" s="2" t="s">
        <v>87</v>
      </c>
      <c r="H162" s="2">
        <v>29</v>
      </c>
      <c r="I162" s="9" t="s">
        <v>163</v>
      </c>
      <c r="J162" s="2">
        <v>4</v>
      </c>
      <c r="K162" s="3">
        <v>0.8</v>
      </c>
      <c r="L162" s="2" t="s">
        <v>19</v>
      </c>
      <c r="M162" s="2" t="s">
        <v>20</v>
      </c>
      <c r="N162" s="2">
        <v>19</v>
      </c>
      <c r="O162" s="2">
        <v>7</v>
      </c>
    </row>
    <row r="163" spans="1:15" x14ac:dyDescent="0.3">
      <c r="A163" s="2" t="s">
        <v>405</v>
      </c>
      <c r="B163" s="2" t="s">
        <v>406</v>
      </c>
      <c r="C163" s="2" t="s">
        <v>95</v>
      </c>
      <c r="D163" s="2">
        <v>56</v>
      </c>
      <c r="E163" s="2" t="s">
        <v>83</v>
      </c>
      <c r="F163" s="2" t="s">
        <v>84</v>
      </c>
      <c r="G163" s="2" t="s">
        <v>78</v>
      </c>
      <c r="H163" s="2">
        <v>15</v>
      </c>
      <c r="I163" s="9">
        <v>40</v>
      </c>
      <c r="J163" s="2">
        <v>5</v>
      </c>
      <c r="K163" s="3">
        <v>0.92</v>
      </c>
      <c r="L163" s="2" t="s">
        <v>46</v>
      </c>
      <c r="M163" s="2" t="s">
        <v>33</v>
      </c>
      <c r="N163" s="2">
        <v>14</v>
      </c>
      <c r="O163" s="2">
        <v>9</v>
      </c>
    </row>
    <row r="164" spans="1:15" x14ac:dyDescent="0.3">
      <c r="A164" s="2" t="s">
        <v>407</v>
      </c>
      <c r="B164" s="2" t="s">
        <v>408</v>
      </c>
      <c r="C164" s="2" t="s">
        <v>77</v>
      </c>
      <c r="D164" s="2">
        <v>31</v>
      </c>
      <c r="E164" s="2" t="s">
        <v>147</v>
      </c>
      <c r="F164" s="2" t="s">
        <v>148</v>
      </c>
      <c r="G164" s="2" t="s">
        <v>37</v>
      </c>
      <c r="H164" s="10">
        <v>12.357142857142858</v>
      </c>
      <c r="I164" s="9" t="s">
        <v>163</v>
      </c>
      <c r="J164" s="2">
        <v>2</v>
      </c>
      <c r="K164" s="3">
        <v>0.65</v>
      </c>
      <c r="L164" s="2" t="s">
        <v>46</v>
      </c>
      <c r="M164" s="2" t="s">
        <v>27</v>
      </c>
      <c r="N164" s="2">
        <v>1</v>
      </c>
      <c r="O164" s="2">
        <v>1</v>
      </c>
    </row>
    <row r="165" spans="1:15" x14ac:dyDescent="0.3">
      <c r="A165" s="2" t="s">
        <v>409</v>
      </c>
      <c r="B165" s="2" t="s">
        <v>410</v>
      </c>
      <c r="C165" s="2" t="s">
        <v>95</v>
      </c>
      <c r="D165" s="2">
        <v>60</v>
      </c>
      <c r="E165" s="2" t="s">
        <v>108</v>
      </c>
      <c r="F165" s="2" t="s">
        <v>109</v>
      </c>
      <c r="G165" s="2" t="s">
        <v>26</v>
      </c>
      <c r="H165" s="2">
        <v>33</v>
      </c>
      <c r="I165" s="9">
        <v>40</v>
      </c>
      <c r="J165" s="2">
        <v>4</v>
      </c>
      <c r="K165" s="3">
        <v>0.87</v>
      </c>
      <c r="L165" s="2" t="s">
        <v>65</v>
      </c>
      <c r="M165" s="2" t="s">
        <v>58</v>
      </c>
      <c r="N165" s="2">
        <v>13</v>
      </c>
      <c r="O165" s="2">
        <v>10</v>
      </c>
    </row>
    <row r="166" spans="1:15" x14ac:dyDescent="0.3">
      <c r="A166" s="2" t="s">
        <v>411</v>
      </c>
      <c r="B166" s="2" t="s">
        <v>412</v>
      </c>
      <c r="C166" s="2" t="s">
        <v>77</v>
      </c>
      <c r="D166" s="2">
        <v>31</v>
      </c>
      <c r="E166" s="2" t="s">
        <v>124</v>
      </c>
      <c r="F166" s="2" t="s">
        <v>25</v>
      </c>
      <c r="G166" s="2" t="s">
        <v>37</v>
      </c>
      <c r="H166" s="2">
        <v>10</v>
      </c>
      <c r="I166" s="9">
        <v>75</v>
      </c>
      <c r="J166" s="2">
        <v>3</v>
      </c>
      <c r="K166" s="3">
        <v>0.7</v>
      </c>
      <c r="L166" s="2" t="s">
        <v>65</v>
      </c>
      <c r="M166" s="2" t="s">
        <v>20</v>
      </c>
      <c r="N166" s="2">
        <v>11</v>
      </c>
      <c r="O166" s="2">
        <v>9</v>
      </c>
    </row>
    <row r="167" spans="1:15" x14ac:dyDescent="0.3">
      <c r="A167" s="2" t="s">
        <v>413</v>
      </c>
      <c r="B167" s="2" t="s">
        <v>414</v>
      </c>
      <c r="C167" s="2" t="s">
        <v>95</v>
      </c>
      <c r="D167" s="2">
        <v>60</v>
      </c>
      <c r="E167" s="2" t="s">
        <v>72</v>
      </c>
      <c r="F167" s="2" t="s">
        <v>73</v>
      </c>
      <c r="G167" s="2" t="s">
        <v>78</v>
      </c>
      <c r="H167" s="2">
        <v>20</v>
      </c>
      <c r="I167" s="9">
        <v>40</v>
      </c>
      <c r="J167" s="2">
        <v>4</v>
      </c>
      <c r="K167" s="3">
        <v>0.87</v>
      </c>
      <c r="L167" s="2" t="s">
        <v>19</v>
      </c>
      <c r="M167" s="2" t="s">
        <v>58</v>
      </c>
      <c r="N167" s="2">
        <v>18</v>
      </c>
      <c r="O167" s="2">
        <v>17</v>
      </c>
    </row>
    <row r="168" spans="1:15" x14ac:dyDescent="0.3">
      <c r="A168" s="2" t="s">
        <v>415</v>
      </c>
      <c r="B168" s="2" t="s">
        <v>416</v>
      </c>
      <c r="C168" s="2" t="s">
        <v>95</v>
      </c>
      <c r="D168" s="2">
        <v>46</v>
      </c>
      <c r="E168" s="2" t="s">
        <v>131</v>
      </c>
      <c r="F168" s="2" t="s">
        <v>132</v>
      </c>
      <c r="G168" s="2" t="s">
        <v>87</v>
      </c>
      <c r="H168" s="2">
        <v>23</v>
      </c>
      <c r="I168" s="9">
        <v>20</v>
      </c>
      <c r="J168" s="2">
        <v>3</v>
      </c>
      <c r="K168" s="3">
        <v>0.72</v>
      </c>
      <c r="L168" s="2" t="s">
        <v>65</v>
      </c>
      <c r="M168" s="2" t="s">
        <v>33</v>
      </c>
      <c r="N168" s="2">
        <v>19</v>
      </c>
      <c r="O168" s="2">
        <v>5</v>
      </c>
    </row>
    <row r="169" spans="1:15" x14ac:dyDescent="0.3">
      <c r="A169" s="2" t="s">
        <v>417</v>
      </c>
      <c r="B169" s="2" t="s">
        <v>418</v>
      </c>
      <c r="C169" s="2" t="s">
        <v>77</v>
      </c>
      <c r="D169" s="2">
        <v>41</v>
      </c>
      <c r="E169" s="2" t="s">
        <v>42</v>
      </c>
      <c r="F169" s="2" t="s">
        <v>43</v>
      </c>
      <c r="G169" s="2" t="s">
        <v>18</v>
      </c>
      <c r="H169" s="10">
        <v>10.380952380952381</v>
      </c>
      <c r="I169" s="9">
        <v>40</v>
      </c>
      <c r="J169" s="2">
        <v>4</v>
      </c>
      <c r="K169" s="3">
        <v>0.8</v>
      </c>
      <c r="L169" s="2" t="s">
        <v>65</v>
      </c>
      <c r="M169" s="2" t="s">
        <v>20</v>
      </c>
      <c r="N169" s="2">
        <v>4</v>
      </c>
      <c r="O169" s="2">
        <v>1</v>
      </c>
    </row>
    <row r="170" spans="1:15" x14ac:dyDescent="0.3">
      <c r="A170" s="2" t="s">
        <v>419</v>
      </c>
      <c r="B170" s="2" t="s">
        <v>420</v>
      </c>
      <c r="C170" s="2" t="s">
        <v>95</v>
      </c>
      <c r="D170" s="2">
        <v>34</v>
      </c>
      <c r="E170" s="2" t="s">
        <v>83</v>
      </c>
      <c r="F170" s="2" t="s">
        <v>84</v>
      </c>
      <c r="G170" s="2" t="s">
        <v>74</v>
      </c>
      <c r="H170" s="2">
        <v>0</v>
      </c>
      <c r="I170" s="9">
        <v>20</v>
      </c>
      <c r="J170" s="2">
        <v>2</v>
      </c>
      <c r="K170" s="3">
        <v>0.66</v>
      </c>
      <c r="L170" s="2" t="s">
        <v>65</v>
      </c>
      <c r="M170" s="2" t="s">
        <v>33</v>
      </c>
      <c r="N170" s="2">
        <v>1</v>
      </c>
      <c r="O170" s="2">
        <v>3</v>
      </c>
    </row>
    <row r="171" spans="1:15" x14ac:dyDescent="0.3">
      <c r="A171" s="2" t="s">
        <v>421</v>
      </c>
      <c r="B171" s="2" t="s">
        <v>422</v>
      </c>
      <c r="C171" s="2" t="s">
        <v>77</v>
      </c>
      <c r="D171" s="2">
        <v>42</v>
      </c>
      <c r="E171" s="2" t="s">
        <v>42</v>
      </c>
      <c r="F171" s="2" t="s">
        <v>43</v>
      </c>
      <c r="G171" s="2" t="s">
        <v>32</v>
      </c>
      <c r="H171" s="2">
        <v>7</v>
      </c>
      <c r="I171" s="9" t="s">
        <v>38</v>
      </c>
      <c r="J171" s="2">
        <v>1</v>
      </c>
      <c r="K171" s="3">
        <v>0.5</v>
      </c>
      <c r="L171" s="2" t="s">
        <v>46</v>
      </c>
      <c r="M171" s="2" t="s">
        <v>33</v>
      </c>
      <c r="N171" s="2">
        <v>14</v>
      </c>
      <c r="O171" s="2">
        <v>5</v>
      </c>
    </row>
    <row r="172" spans="1:15" x14ac:dyDescent="0.3">
      <c r="A172" s="2" t="s">
        <v>423</v>
      </c>
      <c r="B172" s="2" t="s">
        <v>424</v>
      </c>
      <c r="C172" s="2" t="s">
        <v>95</v>
      </c>
      <c r="D172" s="2">
        <v>31</v>
      </c>
      <c r="E172" s="2" t="s">
        <v>68</v>
      </c>
      <c r="F172" s="2" t="s">
        <v>25</v>
      </c>
      <c r="G172" s="2" t="s">
        <v>52</v>
      </c>
      <c r="H172" s="2">
        <v>4</v>
      </c>
      <c r="I172" s="9" t="s">
        <v>163</v>
      </c>
      <c r="J172" s="2">
        <v>2</v>
      </c>
      <c r="K172" s="3">
        <v>0.64</v>
      </c>
      <c r="L172" s="2" t="s">
        <v>19</v>
      </c>
      <c r="M172" s="2" t="s">
        <v>27</v>
      </c>
      <c r="N172" s="2">
        <v>4</v>
      </c>
      <c r="O172" s="2">
        <v>2</v>
      </c>
    </row>
    <row r="173" spans="1:15" x14ac:dyDescent="0.3">
      <c r="A173" s="2" t="s">
        <v>425</v>
      </c>
      <c r="B173" s="2" t="s">
        <v>426</v>
      </c>
      <c r="C173" s="2" t="s">
        <v>95</v>
      </c>
      <c r="D173" s="2">
        <v>29</v>
      </c>
      <c r="E173" s="2" t="s">
        <v>104</v>
      </c>
      <c r="F173" s="2" t="s">
        <v>105</v>
      </c>
      <c r="G173" s="2" t="s">
        <v>74</v>
      </c>
      <c r="H173" s="2">
        <v>9</v>
      </c>
      <c r="I173" s="9">
        <v>20</v>
      </c>
      <c r="J173" s="2">
        <v>2</v>
      </c>
      <c r="K173" s="3">
        <v>0.68</v>
      </c>
      <c r="L173" s="2" t="s">
        <v>69</v>
      </c>
      <c r="M173" s="2" t="s">
        <v>58</v>
      </c>
      <c r="N173" s="2">
        <v>11</v>
      </c>
      <c r="O173" s="2">
        <v>5</v>
      </c>
    </row>
    <row r="174" spans="1:15" x14ac:dyDescent="0.3">
      <c r="A174" s="2" t="s">
        <v>427</v>
      </c>
      <c r="B174" s="2" t="s">
        <v>428</v>
      </c>
      <c r="C174" s="2" t="s">
        <v>77</v>
      </c>
      <c r="D174" s="2">
        <v>57</v>
      </c>
      <c r="E174" s="2" t="s">
        <v>24</v>
      </c>
      <c r="F174" s="2" t="s">
        <v>25</v>
      </c>
      <c r="G174" s="2" t="s">
        <v>32</v>
      </c>
      <c r="H174" s="2">
        <v>17</v>
      </c>
      <c r="I174" s="9">
        <v>20</v>
      </c>
      <c r="J174" s="2">
        <v>2</v>
      </c>
      <c r="K174" s="3">
        <v>0.63</v>
      </c>
      <c r="L174" s="2" t="s">
        <v>46</v>
      </c>
      <c r="M174" s="2" t="s">
        <v>20</v>
      </c>
      <c r="N174" s="2">
        <v>10</v>
      </c>
      <c r="O174" s="2">
        <v>4</v>
      </c>
    </row>
    <row r="175" spans="1:15" x14ac:dyDescent="0.3">
      <c r="A175" s="2" t="s">
        <v>429</v>
      </c>
      <c r="B175" s="2" t="s">
        <v>430</v>
      </c>
      <c r="C175" s="2" t="s">
        <v>95</v>
      </c>
      <c r="D175" s="2">
        <v>47</v>
      </c>
      <c r="E175" s="2" t="s">
        <v>91</v>
      </c>
      <c r="F175" s="2" t="s">
        <v>92</v>
      </c>
      <c r="G175" s="2" t="s">
        <v>87</v>
      </c>
      <c r="H175" s="2">
        <v>8</v>
      </c>
      <c r="I175" s="9">
        <v>20</v>
      </c>
      <c r="J175" s="2">
        <v>3</v>
      </c>
      <c r="K175" s="3">
        <v>0.72</v>
      </c>
      <c r="L175" s="2" t="s">
        <v>65</v>
      </c>
      <c r="M175" s="2" t="s">
        <v>33</v>
      </c>
      <c r="N175" s="2">
        <v>12</v>
      </c>
      <c r="O175" s="2">
        <v>10</v>
      </c>
    </row>
    <row r="176" spans="1:15" x14ac:dyDescent="0.3">
      <c r="A176" s="2" t="s">
        <v>431</v>
      </c>
      <c r="B176" s="2" t="s">
        <v>432</v>
      </c>
      <c r="C176" s="2" t="s">
        <v>95</v>
      </c>
      <c r="D176" s="2">
        <v>47</v>
      </c>
      <c r="E176" s="2" t="s">
        <v>147</v>
      </c>
      <c r="F176" s="2" t="s">
        <v>148</v>
      </c>
      <c r="G176" s="2" t="s">
        <v>44</v>
      </c>
      <c r="H176" s="2">
        <v>14</v>
      </c>
      <c r="I176" s="9" t="s">
        <v>45</v>
      </c>
      <c r="J176" s="2">
        <v>4</v>
      </c>
      <c r="K176" s="3">
        <v>0.86</v>
      </c>
      <c r="L176" s="2" t="s">
        <v>46</v>
      </c>
      <c r="M176" s="2" t="s">
        <v>33</v>
      </c>
      <c r="N176" s="2">
        <v>14</v>
      </c>
      <c r="O176" s="2">
        <v>3</v>
      </c>
    </row>
    <row r="177" spans="1:15" x14ac:dyDescent="0.3">
      <c r="A177" s="2" t="s">
        <v>433</v>
      </c>
      <c r="B177" s="2" t="s">
        <v>434</v>
      </c>
      <c r="C177" s="2" t="s">
        <v>77</v>
      </c>
      <c r="D177" s="2">
        <v>45</v>
      </c>
      <c r="E177" s="2" t="s">
        <v>131</v>
      </c>
      <c r="F177" s="2" t="s">
        <v>132</v>
      </c>
      <c r="G177" s="2" t="s">
        <v>32</v>
      </c>
      <c r="H177" s="2">
        <v>21</v>
      </c>
      <c r="I177" s="9" t="s">
        <v>45</v>
      </c>
      <c r="J177" s="2">
        <v>3</v>
      </c>
      <c r="K177" s="3">
        <v>0.73</v>
      </c>
      <c r="L177" s="2" t="s">
        <v>65</v>
      </c>
      <c r="M177" s="2" t="s">
        <v>20</v>
      </c>
      <c r="N177" s="2">
        <v>15</v>
      </c>
      <c r="O177" s="2">
        <v>17</v>
      </c>
    </row>
    <row r="178" spans="1:15" x14ac:dyDescent="0.3">
      <c r="A178" s="2" t="s">
        <v>435</v>
      </c>
      <c r="B178" s="2" t="s">
        <v>436</v>
      </c>
      <c r="C178" s="2" t="s">
        <v>95</v>
      </c>
      <c r="D178" s="2">
        <v>24</v>
      </c>
      <c r="E178" s="2" t="s">
        <v>62</v>
      </c>
      <c r="F178" s="2" t="s">
        <v>63</v>
      </c>
      <c r="G178" s="2" t="s">
        <v>110</v>
      </c>
      <c r="H178" s="2">
        <v>1</v>
      </c>
      <c r="I178" s="9" t="s">
        <v>45</v>
      </c>
      <c r="J178" s="2">
        <v>5</v>
      </c>
      <c r="K178" s="3">
        <v>0.95</v>
      </c>
      <c r="L178" s="2" t="s">
        <v>65</v>
      </c>
      <c r="M178" s="2" t="s">
        <v>33</v>
      </c>
      <c r="N178" s="2">
        <v>3</v>
      </c>
      <c r="O178" s="2">
        <v>1</v>
      </c>
    </row>
    <row r="179" spans="1:15" x14ac:dyDescent="0.3">
      <c r="A179" s="2" t="s">
        <v>437</v>
      </c>
      <c r="B179" s="2" t="s">
        <v>438</v>
      </c>
      <c r="C179" s="2" t="s">
        <v>77</v>
      </c>
      <c r="D179" s="2">
        <v>31</v>
      </c>
      <c r="E179" s="2" t="s">
        <v>72</v>
      </c>
      <c r="F179" s="2" t="s">
        <v>73</v>
      </c>
      <c r="G179" s="2" t="s">
        <v>26</v>
      </c>
      <c r="H179" s="2">
        <v>12</v>
      </c>
      <c r="I179" s="9">
        <v>20</v>
      </c>
      <c r="J179" s="2">
        <v>5</v>
      </c>
      <c r="K179" s="3">
        <v>0.9</v>
      </c>
      <c r="L179" s="2" t="s">
        <v>46</v>
      </c>
      <c r="M179" s="2" t="s">
        <v>27</v>
      </c>
      <c r="N179" s="2">
        <v>11</v>
      </c>
      <c r="O179" s="2">
        <v>6</v>
      </c>
    </row>
    <row r="180" spans="1:15" x14ac:dyDescent="0.3">
      <c r="A180" s="2" t="s">
        <v>439</v>
      </c>
      <c r="B180" s="2" t="s">
        <v>440</v>
      </c>
      <c r="C180" s="2" t="s">
        <v>77</v>
      </c>
      <c r="D180" s="2">
        <v>20</v>
      </c>
      <c r="E180" s="2" t="s">
        <v>172</v>
      </c>
      <c r="F180" s="2" t="s">
        <v>73</v>
      </c>
      <c r="G180" s="2" t="s">
        <v>32</v>
      </c>
      <c r="H180" s="2">
        <v>2</v>
      </c>
      <c r="I180" s="9" t="s">
        <v>117</v>
      </c>
      <c r="J180" s="2">
        <v>3</v>
      </c>
      <c r="K180" s="3">
        <v>0.78</v>
      </c>
      <c r="L180" s="2" t="s">
        <v>19</v>
      </c>
      <c r="M180" s="2" t="s">
        <v>27</v>
      </c>
      <c r="N180" s="2">
        <v>5</v>
      </c>
      <c r="O180" s="2">
        <v>1</v>
      </c>
    </row>
    <row r="181" spans="1:15" x14ac:dyDescent="0.3">
      <c r="A181" s="2" t="s">
        <v>441</v>
      </c>
      <c r="B181" s="2" t="s">
        <v>442</v>
      </c>
      <c r="C181" s="2" t="s">
        <v>95</v>
      </c>
      <c r="D181" s="2">
        <v>38</v>
      </c>
      <c r="E181" s="2" t="s">
        <v>83</v>
      </c>
      <c r="F181" s="2" t="s">
        <v>84</v>
      </c>
      <c r="G181" s="2" t="s">
        <v>37</v>
      </c>
      <c r="H181" s="2">
        <v>3</v>
      </c>
      <c r="I181" s="9">
        <v>30</v>
      </c>
      <c r="J181" s="2">
        <v>5</v>
      </c>
      <c r="K181" s="3">
        <v>0.97</v>
      </c>
      <c r="L181" s="2" t="s">
        <v>65</v>
      </c>
      <c r="M181" s="2" t="s">
        <v>27</v>
      </c>
      <c r="N181" s="2">
        <v>3</v>
      </c>
      <c r="O181" s="2">
        <v>1</v>
      </c>
    </row>
    <row r="182" spans="1:15" x14ac:dyDescent="0.3">
      <c r="A182" s="2" t="s">
        <v>443</v>
      </c>
      <c r="B182" s="2" t="s">
        <v>444</v>
      </c>
      <c r="C182" s="2" t="s">
        <v>77</v>
      </c>
      <c r="D182" s="2">
        <v>33</v>
      </c>
      <c r="E182" s="2" t="s">
        <v>31</v>
      </c>
      <c r="F182" s="2" t="s">
        <v>31</v>
      </c>
      <c r="G182" s="2" t="s">
        <v>74</v>
      </c>
      <c r="H182" s="2">
        <v>11</v>
      </c>
      <c r="I182" s="9">
        <v>55.405982905982903</v>
      </c>
      <c r="J182" s="2">
        <v>2</v>
      </c>
      <c r="K182" s="3">
        <v>0.65</v>
      </c>
      <c r="L182" s="2" t="s">
        <v>19</v>
      </c>
      <c r="M182" s="2" t="s">
        <v>27</v>
      </c>
      <c r="N182" s="2">
        <v>12</v>
      </c>
      <c r="O182" s="2">
        <v>7</v>
      </c>
    </row>
    <row r="183" spans="1:15" x14ac:dyDescent="0.3">
      <c r="A183" s="2" t="s">
        <v>445</v>
      </c>
      <c r="B183" s="2" t="s">
        <v>446</v>
      </c>
      <c r="C183" s="2" t="s">
        <v>77</v>
      </c>
      <c r="D183" s="2">
        <v>31</v>
      </c>
      <c r="E183" s="2" t="s">
        <v>24</v>
      </c>
      <c r="F183" s="2" t="s">
        <v>25</v>
      </c>
      <c r="G183" s="2" t="s">
        <v>37</v>
      </c>
      <c r="H183" s="2">
        <v>4</v>
      </c>
      <c r="I183" s="9">
        <v>40</v>
      </c>
      <c r="J183" s="2">
        <v>3</v>
      </c>
      <c r="K183" s="3">
        <v>0.78</v>
      </c>
      <c r="L183" s="2" t="s">
        <v>69</v>
      </c>
      <c r="M183" s="2" t="s">
        <v>33</v>
      </c>
      <c r="N183" s="2">
        <v>4</v>
      </c>
      <c r="O183" s="2">
        <v>1</v>
      </c>
    </row>
    <row r="184" spans="1:15" x14ac:dyDescent="0.3">
      <c r="A184" s="2" t="s">
        <v>447</v>
      </c>
      <c r="B184" s="2" t="s">
        <v>448</v>
      </c>
      <c r="C184" s="2" t="s">
        <v>95</v>
      </c>
      <c r="D184" s="2">
        <v>41</v>
      </c>
      <c r="E184" s="2" t="s">
        <v>183</v>
      </c>
      <c r="F184" s="2" t="s">
        <v>73</v>
      </c>
      <c r="G184" s="2" t="s">
        <v>110</v>
      </c>
      <c r="H184" s="2">
        <v>21</v>
      </c>
      <c r="I184" s="9">
        <v>50</v>
      </c>
      <c r="J184" s="2">
        <v>2</v>
      </c>
      <c r="K184" s="3">
        <v>0.65</v>
      </c>
      <c r="L184" s="2" t="s">
        <v>65</v>
      </c>
      <c r="M184" s="2" t="s">
        <v>20</v>
      </c>
      <c r="N184" s="2">
        <v>20</v>
      </c>
      <c r="O184" s="2">
        <v>4</v>
      </c>
    </row>
    <row r="185" spans="1:15" x14ac:dyDescent="0.3">
      <c r="A185" s="2" t="s">
        <v>449</v>
      </c>
      <c r="B185" s="2" t="s">
        <v>450</v>
      </c>
      <c r="C185" s="2" t="s">
        <v>95</v>
      </c>
      <c r="D185" s="2">
        <v>54</v>
      </c>
      <c r="E185" s="2" t="s">
        <v>62</v>
      </c>
      <c r="F185" s="2" t="s">
        <v>63</v>
      </c>
      <c r="G185" s="2" t="s">
        <v>37</v>
      </c>
      <c r="H185" s="2">
        <v>0</v>
      </c>
      <c r="I185" s="9" t="s">
        <v>117</v>
      </c>
      <c r="J185" s="2">
        <v>1</v>
      </c>
      <c r="K185" s="3">
        <v>0.5</v>
      </c>
      <c r="L185" s="2" t="s">
        <v>19</v>
      </c>
      <c r="M185" s="2" t="s">
        <v>20</v>
      </c>
      <c r="N185" s="2">
        <v>2</v>
      </c>
      <c r="O185" s="2">
        <v>4</v>
      </c>
    </row>
    <row r="186" spans="1:15" x14ac:dyDescent="0.3">
      <c r="A186" s="2" t="s">
        <v>451</v>
      </c>
      <c r="B186" s="2" t="s">
        <v>452</v>
      </c>
      <c r="C186" s="2" t="s">
        <v>95</v>
      </c>
      <c r="D186" s="2">
        <v>50</v>
      </c>
      <c r="E186" s="2" t="s">
        <v>172</v>
      </c>
      <c r="F186" s="2" t="s">
        <v>73</v>
      </c>
      <c r="G186" s="2" t="s">
        <v>52</v>
      </c>
      <c r="H186" s="2">
        <v>6</v>
      </c>
      <c r="I186" s="9">
        <v>30</v>
      </c>
      <c r="J186" s="2">
        <v>5</v>
      </c>
      <c r="K186" s="3">
        <v>0.95</v>
      </c>
      <c r="L186" s="2" t="s">
        <v>19</v>
      </c>
      <c r="M186" s="2" t="s">
        <v>20</v>
      </c>
      <c r="N186" s="2">
        <v>13</v>
      </c>
      <c r="O186" s="2">
        <v>2</v>
      </c>
    </row>
    <row r="187" spans="1:15" x14ac:dyDescent="0.3">
      <c r="A187" s="2" t="s">
        <v>453</v>
      </c>
      <c r="B187" s="2" t="s">
        <v>454</v>
      </c>
      <c r="C187" s="2" t="s">
        <v>95</v>
      </c>
      <c r="D187" s="2">
        <v>48</v>
      </c>
      <c r="E187" s="2" t="s">
        <v>104</v>
      </c>
      <c r="F187" s="2" t="s">
        <v>105</v>
      </c>
      <c r="G187" s="2" t="s">
        <v>110</v>
      </c>
      <c r="H187" s="2">
        <v>18</v>
      </c>
      <c r="I187" s="9" t="s">
        <v>38</v>
      </c>
      <c r="J187" s="2">
        <v>4</v>
      </c>
      <c r="K187" s="3">
        <v>0.88</v>
      </c>
      <c r="L187" s="2" t="s">
        <v>69</v>
      </c>
      <c r="M187" s="2" t="s">
        <v>20</v>
      </c>
      <c r="N187" s="2">
        <v>14</v>
      </c>
      <c r="O187" s="2">
        <v>2</v>
      </c>
    </row>
    <row r="188" spans="1:15" x14ac:dyDescent="0.3">
      <c r="A188" s="2" t="s">
        <v>455</v>
      </c>
      <c r="B188" s="2" t="s">
        <v>456</v>
      </c>
      <c r="C188" s="2" t="s">
        <v>77</v>
      </c>
      <c r="D188" s="2">
        <v>49</v>
      </c>
      <c r="E188" s="2" t="s">
        <v>172</v>
      </c>
      <c r="F188" s="2" t="s">
        <v>73</v>
      </c>
      <c r="G188" s="2" t="s">
        <v>32</v>
      </c>
      <c r="H188" s="10">
        <v>12.295081967213115</v>
      </c>
      <c r="I188" s="9">
        <v>55.606060606060609</v>
      </c>
      <c r="J188" s="2">
        <v>1</v>
      </c>
      <c r="K188" s="3">
        <v>0.5</v>
      </c>
      <c r="L188" s="2" t="s">
        <v>19</v>
      </c>
      <c r="M188" s="2" t="s">
        <v>58</v>
      </c>
      <c r="N188" s="2">
        <v>5</v>
      </c>
      <c r="O188" s="2">
        <v>5</v>
      </c>
    </row>
    <row r="189" spans="1:15" x14ac:dyDescent="0.3">
      <c r="A189" s="2" t="s">
        <v>457</v>
      </c>
      <c r="B189" s="2" t="s">
        <v>458</v>
      </c>
      <c r="C189" s="2" t="s">
        <v>95</v>
      </c>
      <c r="D189" s="2">
        <v>21</v>
      </c>
      <c r="E189" s="2" t="s">
        <v>108</v>
      </c>
      <c r="F189" s="2" t="s">
        <v>109</v>
      </c>
      <c r="G189" s="2" t="s">
        <v>32</v>
      </c>
      <c r="H189" s="2">
        <v>1</v>
      </c>
      <c r="I189" s="9">
        <v>75</v>
      </c>
      <c r="J189" s="2">
        <v>5</v>
      </c>
      <c r="K189" s="3">
        <v>0.92</v>
      </c>
      <c r="L189" s="2" t="s">
        <v>19</v>
      </c>
      <c r="M189" s="2" t="s">
        <v>20</v>
      </c>
      <c r="N189" s="2">
        <v>2</v>
      </c>
      <c r="O189" s="2">
        <v>1</v>
      </c>
    </row>
    <row r="190" spans="1:15" x14ac:dyDescent="0.3">
      <c r="A190" s="2" t="s">
        <v>459</v>
      </c>
      <c r="B190" s="2" t="s">
        <v>460</v>
      </c>
      <c r="C190" s="2" t="s">
        <v>95</v>
      </c>
      <c r="D190" s="2">
        <v>58</v>
      </c>
      <c r="E190" s="2" t="s">
        <v>24</v>
      </c>
      <c r="F190" s="2" t="s">
        <v>25</v>
      </c>
      <c r="G190" s="2" t="s">
        <v>32</v>
      </c>
      <c r="H190" s="2">
        <v>20</v>
      </c>
      <c r="I190" s="9">
        <v>75</v>
      </c>
      <c r="J190" s="2">
        <v>3</v>
      </c>
      <c r="K190" s="3">
        <v>0.75</v>
      </c>
      <c r="L190" s="2" t="s">
        <v>69</v>
      </c>
      <c r="M190" s="2" t="s">
        <v>58</v>
      </c>
      <c r="N190" s="2">
        <v>13</v>
      </c>
      <c r="O190" s="2">
        <v>1</v>
      </c>
    </row>
    <row r="191" spans="1:15" x14ac:dyDescent="0.3">
      <c r="A191" s="2" t="s">
        <v>461</v>
      </c>
      <c r="B191" s="2" t="s">
        <v>256</v>
      </c>
      <c r="C191" s="2" t="s">
        <v>95</v>
      </c>
      <c r="D191" s="2">
        <v>41</v>
      </c>
      <c r="E191" s="2" t="s">
        <v>16</v>
      </c>
      <c r="F191" s="2" t="s">
        <v>17</v>
      </c>
      <c r="G191" s="2" t="s">
        <v>87</v>
      </c>
      <c r="H191" s="10">
        <v>11.191780821917808</v>
      </c>
      <c r="I191" s="9" t="s">
        <v>45</v>
      </c>
      <c r="J191" s="2">
        <v>3</v>
      </c>
      <c r="K191" s="3">
        <v>0.74</v>
      </c>
      <c r="L191" s="2" t="s">
        <v>65</v>
      </c>
      <c r="M191" s="2" t="s">
        <v>58</v>
      </c>
      <c r="N191" s="2">
        <v>2</v>
      </c>
      <c r="O191" s="2">
        <v>4</v>
      </c>
    </row>
    <row r="192" spans="1:15" x14ac:dyDescent="0.3">
      <c r="A192" s="2" t="s">
        <v>462</v>
      </c>
      <c r="B192" s="2" t="s">
        <v>463</v>
      </c>
      <c r="C192" s="2" t="s">
        <v>77</v>
      </c>
      <c r="D192" s="2">
        <v>58</v>
      </c>
      <c r="E192" s="2" t="s">
        <v>120</v>
      </c>
      <c r="F192" s="2" t="s">
        <v>121</v>
      </c>
      <c r="G192" s="2" t="s">
        <v>18</v>
      </c>
      <c r="H192" s="2">
        <v>25</v>
      </c>
      <c r="I192" s="9" t="s">
        <v>45</v>
      </c>
      <c r="J192" s="2">
        <v>3</v>
      </c>
      <c r="K192" s="3">
        <v>0.71</v>
      </c>
      <c r="L192" s="2" t="s">
        <v>19</v>
      </c>
      <c r="M192" s="2" t="s">
        <v>27</v>
      </c>
      <c r="N192" s="2">
        <v>11</v>
      </c>
      <c r="O192" s="2">
        <v>13</v>
      </c>
    </row>
    <row r="193" spans="1:15" x14ac:dyDescent="0.3">
      <c r="A193" s="2" t="s">
        <v>464</v>
      </c>
      <c r="B193" s="2" t="s">
        <v>465</v>
      </c>
      <c r="C193" s="2" t="s">
        <v>77</v>
      </c>
      <c r="D193" s="2">
        <v>50</v>
      </c>
      <c r="E193" s="2" t="s">
        <v>147</v>
      </c>
      <c r="F193" s="2" t="s">
        <v>148</v>
      </c>
      <c r="G193" s="2" t="s">
        <v>32</v>
      </c>
      <c r="H193" s="2">
        <v>20</v>
      </c>
      <c r="I193" s="9" t="s">
        <v>38</v>
      </c>
      <c r="J193" s="2">
        <v>4</v>
      </c>
      <c r="K193" s="3">
        <v>0.89</v>
      </c>
      <c r="L193" s="2" t="s">
        <v>19</v>
      </c>
      <c r="M193" s="2" t="s">
        <v>58</v>
      </c>
      <c r="N193" s="2">
        <v>17</v>
      </c>
      <c r="O193" s="2">
        <v>2</v>
      </c>
    </row>
    <row r="194" spans="1:15" x14ac:dyDescent="0.3">
      <c r="A194" s="2" t="s">
        <v>466</v>
      </c>
      <c r="B194" s="2" t="s">
        <v>467</v>
      </c>
      <c r="C194" s="2" t="s">
        <v>95</v>
      </c>
      <c r="D194" s="2">
        <v>52</v>
      </c>
      <c r="E194" s="2" t="s">
        <v>50</v>
      </c>
      <c r="F194" s="2" t="s">
        <v>51</v>
      </c>
      <c r="G194" s="2" t="s">
        <v>37</v>
      </c>
      <c r="H194" s="2">
        <v>33</v>
      </c>
      <c r="I194" s="9" t="s">
        <v>222</v>
      </c>
      <c r="J194" s="2">
        <v>2</v>
      </c>
      <c r="K194" s="3">
        <v>0.66</v>
      </c>
      <c r="L194" s="2" t="s">
        <v>19</v>
      </c>
      <c r="M194" s="2" t="s">
        <v>33</v>
      </c>
      <c r="N194" s="2">
        <v>14</v>
      </c>
      <c r="O194" s="2">
        <v>17</v>
      </c>
    </row>
    <row r="195" spans="1:15" x14ac:dyDescent="0.3">
      <c r="A195" s="2" t="s">
        <v>468</v>
      </c>
      <c r="B195" s="2" t="s">
        <v>469</v>
      </c>
      <c r="C195" s="2" t="s">
        <v>95</v>
      </c>
      <c r="D195" s="2">
        <v>34</v>
      </c>
      <c r="E195" s="2" t="s">
        <v>42</v>
      </c>
      <c r="F195" s="2" t="s">
        <v>43</v>
      </c>
      <c r="G195" s="2" t="s">
        <v>52</v>
      </c>
      <c r="H195" s="2">
        <v>6</v>
      </c>
      <c r="I195" s="9" t="s">
        <v>222</v>
      </c>
      <c r="J195" s="2">
        <v>1</v>
      </c>
      <c r="K195" s="3">
        <v>0.5</v>
      </c>
      <c r="L195" s="2" t="s">
        <v>46</v>
      </c>
      <c r="M195" s="2" t="s">
        <v>58</v>
      </c>
      <c r="N195" s="2">
        <v>13</v>
      </c>
      <c r="O195" s="2">
        <v>1</v>
      </c>
    </row>
    <row r="196" spans="1:15" x14ac:dyDescent="0.3">
      <c r="A196" s="2" t="s">
        <v>470</v>
      </c>
      <c r="B196" s="2" t="s">
        <v>471</v>
      </c>
      <c r="C196" s="2" t="s">
        <v>95</v>
      </c>
      <c r="D196" s="2">
        <v>32</v>
      </c>
      <c r="E196" s="2" t="s">
        <v>131</v>
      </c>
      <c r="F196" s="2" t="s">
        <v>132</v>
      </c>
      <c r="G196" s="2" t="s">
        <v>110</v>
      </c>
      <c r="H196" s="2">
        <v>11</v>
      </c>
      <c r="I196" s="9">
        <v>40</v>
      </c>
      <c r="J196" s="2">
        <v>4</v>
      </c>
      <c r="K196" s="3">
        <v>0.86</v>
      </c>
      <c r="L196" s="2" t="s">
        <v>69</v>
      </c>
      <c r="M196" s="2" t="s">
        <v>27</v>
      </c>
      <c r="N196" s="2">
        <v>9</v>
      </c>
      <c r="O196" s="2">
        <v>2</v>
      </c>
    </row>
    <row r="197" spans="1:15" x14ac:dyDescent="0.3">
      <c r="A197" s="2" t="s">
        <v>472</v>
      </c>
      <c r="B197" s="2" t="s">
        <v>473</v>
      </c>
      <c r="C197" s="2" t="s">
        <v>77</v>
      </c>
      <c r="D197" s="2">
        <v>50</v>
      </c>
      <c r="E197" s="2" t="s">
        <v>91</v>
      </c>
      <c r="F197" s="2" t="s">
        <v>92</v>
      </c>
      <c r="G197" s="2" t="s">
        <v>32</v>
      </c>
      <c r="H197" s="2">
        <v>28</v>
      </c>
      <c r="I197" s="9" t="s">
        <v>222</v>
      </c>
      <c r="J197" s="2">
        <v>4</v>
      </c>
      <c r="K197" s="3">
        <v>0.86</v>
      </c>
      <c r="L197" s="2" t="s">
        <v>46</v>
      </c>
      <c r="M197" s="2" t="s">
        <v>58</v>
      </c>
      <c r="N197" s="2">
        <v>12</v>
      </c>
      <c r="O197" s="2">
        <v>3</v>
      </c>
    </row>
    <row r="198" spans="1:15" x14ac:dyDescent="0.3">
      <c r="A198" s="2" t="s">
        <v>474</v>
      </c>
      <c r="B198" s="2" t="s">
        <v>475</v>
      </c>
      <c r="C198" s="2" t="s">
        <v>77</v>
      </c>
      <c r="D198" s="2">
        <v>39</v>
      </c>
      <c r="E198" s="2" t="s">
        <v>72</v>
      </c>
      <c r="F198" s="2" t="s">
        <v>73</v>
      </c>
      <c r="G198" s="2" t="s">
        <v>52</v>
      </c>
      <c r="H198" s="2">
        <v>11</v>
      </c>
      <c r="I198" s="9">
        <v>100</v>
      </c>
      <c r="J198" s="2">
        <v>4</v>
      </c>
      <c r="K198" s="3">
        <v>0.82</v>
      </c>
      <c r="L198" s="2" t="s">
        <v>69</v>
      </c>
      <c r="M198" s="2" t="s">
        <v>33</v>
      </c>
      <c r="N198" s="2">
        <v>12</v>
      </c>
      <c r="O198" s="2">
        <v>2</v>
      </c>
    </row>
    <row r="199" spans="1:15" x14ac:dyDescent="0.3">
      <c r="A199" s="2" t="s">
        <v>476</v>
      </c>
      <c r="B199" s="2" t="s">
        <v>477</v>
      </c>
      <c r="C199" s="2" t="s">
        <v>77</v>
      </c>
      <c r="D199" s="2">
        <v>25</v>
      </c>
      <c r="E199" s="2" t="s">
        <v>183</v>
      </c>
      <c r="F199" s="2" t="s">
        <v>73</v>
      </c>
      <c r="G199" s="2" t="s">
        <v>44</v>
      </c>
      <c r="H199" s="2">
        <v>2</v>
      </c>
      <c r="I199" s="9">
        <v>100</v>
      </c>
      <c r="J199" s="2">
        <v>4</v>
      </c>
      <c r="K199" s="3">
        <v>0.87</v>
      </c>
      <c r="L199" s="2" t="s">
        <v>65</v>
      </c>
      <c r="M199" s="2" t="s">
        <v>33</v>
      </c>
      <c r="N199" s="2">
        <v>1</v>
      </c>
      <c r="O199" s="2">
        <v>1</v>
      </c>
    </row>
    <row r="200" spans="1:15" x14ac:dyDescent="0.3">
      <c r="A200" s="2" t="s">
        <v>478</v>
      </c>
      <c r="B200" s="2" t="s">
        <v>479</v>
      </c>
      <c r="C200" s="2" t="s">
        <v>77</v>
      </c>
      <c r="D200" s="2">
        <v>55</v>
      </c>
      <c r="E200" s="2" t="s">
        <v>168</v>
      </c>
      <c r="F200" s="2" t="s">
        <v>169</v>
      </c>
      <c r="G200" s="2" t="s">
        <v>110</v>
      </c>
      <c r="H200" s="2">
        <v>7</v>
      </c>
      <c r="I200" s="9">
        <v>100</v>
      </c>
      <c r="J200" s="2">
        <v>4</v>
      </c>
      <c r="K200" s="3">
        <v>0.8</v>
      </c>
      <c r="L200" s="2" t="s">
        <v>65</v>
      </c>
      <c r="M200" s="2" t="s">
        <v>33</v>
      </c>
      <c r="N200" s="2">
        <v>14</v>
      </c>
      <c r="O200" s="2">
        <v>4</v>
      </c>
    </row>
    <row r="201" spans="1:15" x14ac:dyDescent="0.3">
      <c r="A201" s="2" t="s">
        <v>480</v>
      </c>
      <c r="B201" s="2" t="s">
        <v>481</v>
      </c>
      <c r="C201" s="2" t="s">
        <v>95</v>
      </c>
      <c r="D201" s="2">
        <v>42</v>
      </c>
      <c r="E201" s="2" t="s">
        <v>16</v>
      </c>
      <c r="F201" s="2" t="s">
        <v>17</v>
      </c>
      <c r="G201" s="2" t="s">
        <v>87</v>
      </c>
      <c r="H201" s="2">
        <v>10</v>
      </c>
      <c r="I201" s="9" t="s">
        <v>222</v>
      </c>
      <c r="J201" s="2">
        <v>3</v>
      </c>
      <c r="K201" s="3">
        <v>0.71</v>
      </c>
      <c r="L201" s="2" t="s">
        <v>19</v>
      </c>
      <c r="M201" s="2" t="s">
        <v>27</v>
      </c>
      <c r="N201" s="2">
        <v>15</v>
      </c>
      <c r="O201" s="2">
        <v>10</v>
      </c>
    </row>
    <row r="202" spans="1:15" x14ac:dyDescent="0.3">
      <c r="A202" s="2" t="s">
        <v>482</v>
      </c>
      <c r="B202" s="2" t="s">
        <v>483</v>
      </c>
      <c r="C202" s="2" t="s">
        <v>95</v>
      </c>
      <c r="D202" s="2">
        <v>43</v>
      </c>
      <c r="E202" s="2" t="s">
        <v>120</v>
      </c>
      <c r="F202" s="2" t="s">
        <v>121</v>
      </c>
      <c r="G202" s="2" t="s">
        <v>26</v>
      </c>
      <c r="H202" s="2">
        <v>6</v>
      </c>
      <c r="I202" s="9">
        <v>50</v>
      </c>
      <c r="J202" s="2">
        <v>3</v>
      </c>
      <c r="K202" s="3">
        <v>0.77</v>
      </c>
      <c r="L202" s="2" t="s">
        <v>69</v>
      </c>
      <c r="M202" s="2" t="s">
        <v>27</v>
      </c>
      <c r="N202" s="2">
        <v>6</v>
      </c>
      <c r="O202" s="2">
        <v>9</v>
      </c>
    </row>
    <row r="203" spans="1:15" x14ac:dyDescent="0.3">
      <c r="A203" s="2" t="s">
        <v>484</v>
      </c>
      <c r="B203" s="2" t="s">
        <v>485</v>
      </c>
      <c r="C203" s="2" t="s">
        <v>95</v>
      </c>
      <c r="D203" s="2">
        <v>54</v>
      </c>
      <c r="E203" s="2" t="s">
        <v>16</v>
      </c>
      <c r="F203" s="2" t="s">
        <v>17</v>
      </c>
      <c r="G203" s="2" t="s">
        <v>87</v>
      </c>
      <c r="H203" s="2">
        <v>29</v>
      </c>
      <c r="I203" s="9" t="s">
        <v>45</v>
      </c>
      <c r="J203" s="2">
        <v>2</v>
      </c>
      <c r="K203" s="3">
        <v>0.68</v>
      </c>
      <c r="L203" s="2" t="s">
        <v>65</v>
      </c>
      <c r="M203" s="2" t="s">
        <v>20</v>
      </c>
      <c r="N203" s="2">
        <v>19</v>
      </c>
      <c r="O203" s="2">
        <v>2</v>
      </c>
    </row>
    <row r="204" spans="1:15" x14ac:dyDescent="0.3">
      <c r="A204" s="2" t="s">
        <v>486</v>
      </c>
      <c r="B204" s="2" t="s">
        <v>487</v>
      </c>
      <c r="C204" s="2" t="s">
        <v>77</v>
      </c>
      <c r="D204" s="2">
        <v>21</v>
      </c>
      <c r="E204" s="2" t="s">
        <v>135</v>
      </c>
      <c r="F204" s="2" t="s">
        <v>136</v>
      </c>
      <c r="G204" s="2" t="s">
        <v>32</v>
      </c>
      <c r="H204" s="2">
        <v>0</v>
      </c>
      <c r="I204" s="9">
        <v>20</v>
      </c>
      <c r="J204" s="2">
        <v>5</v>
      </c>
      <c r="K204" s="3">
        <v>0.91</v>
      </c>
      <c r="L204" s="2" t="s">
        <v>69</v>
      </c>
      <c r="M204" s="2" t="s">
        <v>27</v>
      </c>
      <c r="N204" s="2">
        <v>4</v>
      </c>
      <c r="O204" s="2">
        <v>1</v>
      </c>
    </row>
    <row r="205" spans="1:15" x14ac:dyDescent="0.3">
      <c r="A205" s="2" t="s">
        <v>488</v>
      </c>
      <c r="B205" s="2" t="s">
        <v>489</v>
      </c>
      <c r="C205" s="2" t="s">
        <v>95</v>
      </c>
      <c r="D205" s="2">
        <v>46</v>
      </c>
      <c r="E205" s="2" t="s">
        <v>124</v>
      </c>
      <c r="F205" s="2" t="s">
        <v>25</v>
      </c>
      <c r="G205" s="2" t="s">
        <v>74</v>
      </c>
      <c r="H205" s="2">
        <v>5</v>
      </c>
      <c r="I205" s="9">
        <v>20</v>
      </c>
      <c r="J205" s="2">
        <v>3</v>
      </c>
      <c r="K205" s="3">
        <v>0.75</v>
      </c>
      <c r="L205" s="2" t="s">
        <v>65</v>
      </c>
      <c r="M205" s="2" t="s">
        <v>33</v>
      </c>
      <c r="N205" s="2">
        <v>1</v>
      </c>
      <c r="O205" s="2">
        <v>5</v>
      </c>
    </row>
    <row r="206" spans="1:15" x14ac:dyDescent="0.3">
      <c r="A206" s="2" t="s">
        <v>490</v>
      </c>
      <c r="B206" s="2" t="s">
        <v>491</v>
      </c>
      <c r="C206" s="2" t="s">
        <v>77</v>
      </c>
      <c r="D206" s="2">
        <v>30</v>
      </c>
      <c r="E206" s="2" t="s">
        <v>183</v>
      </c>
      <c r="F206" s="2" t="s">
        <v>73</v>
      </c>
      <c r="G206" s="2" t="s">
        <v>18</v>
      </c>
      <c r="H206" s="2">
        <v>11</v>
      </c>
      <c r="I206" s="9">
        <v>40</v>
      </c>
      <c r="J206" s="2">
        <v>5</v>
      </c>
      <c r="K206" s="3">
        <v>0.9</v>
      </c>
      <c r="L206" s="2" t="s">
        <v>46</v>
      </c>
      <c r="M206" s="2" t="s">
        <v>33</v>
      </c>
      <c r="N206" s="2">
        <v>11</v>
      </c>
      <c r="O206" s="2">
        <v>1</v>
      </c>
    </row>
    <row r="207" spans="1:15" x14ac:dyDescent="0.3">
      <c r="A207" s="2" t="s">
        <v>492</v>
      </c>
      <c r="B207" s="2" t="s">
        <v>493</v>
      </c>
      <c r="C207" s="2" t="s">
        <v>95</v>
      </c>
      <c r="D207" s="2">
        <v>36</v>
      </c>
      <c r="E207" s="2" t="s">
        <v>168</v>
      </c>
      <c r="F207" s="2" t="s">
        <v>169</v>
      </c>
      <c r="G207" s="2" t="s">
        <v>110</v>
      </c>
      <c r="H207" s="2">
        <v>11</v>
      </c>
      <c r="I207" s="9" t="s">
        <v>163</v>
      </c>
      <c r="J207" s="2">
        <v>5</v>
      </c>
      <c r="K207" s="3">
        <v>0.93</v>
      </c>
      <c r="L207" s="2" t="s">
        <v>65</v>
      </c>
      <c r="M207" s="2" t="s">
        <v>27</v>
      </c>
      <c r="N207" s="2">
        <v>10</v>
      </c>
      <c r="O207" s="2">
        <v>3</v>
      </c>
    </row>
    <row r="208" spans="1:15" x14ac:dyDescent="0.3">
      <c r="A208" s="2" t="s">
        <v>494</v>
      </c>
      <c r="B208" s="2" t="s">
        <v>495</v>
      </c>
      <c r="C208" s="2" t="s">
        <v>77</v>
      </c>
      <c r="D208" s="2">
        <v>47</v>
      </c>
      <c r="E208" s="2" t="s">
        <v>31</v>
      </c>
      <c r="F208" s="2" t="s">
        <v>31</v>
      </c>
      <c r="G208" s="2" t="s">
        <v>52</v>
      </c>
      <c r="H208" s="2">
        <v>15</v>
      </c>
      <c r="I208" s="9">
        <v>40</v>
      </c>
      <c r="J208" s="2">
        <v>5</v>
      </c>
      <c r="K208" s="3">
        <v>0.94</v>
      </c>
      <c r="L208" s="2" t="s">
        <v>46</v>
      </c>
      <c r="M208" s="2" t="s">
        <v>58</v>
      </c>
      <c r="N208" s="2">
        <v>8</v>
      </c>
      <c r="O208" s="2">
        <v>10</v>
      </c>
    </row>
    <row r="209" spans="1:15" x14ac:dyDescent="0.3">
      <c r="A209" s="2" t="s">
        <v>496</v>
      </c>
      <c r="B209" s="2" t="s">
        <v>497</v>
      </c>
      <c r="C209" s="2" t="s">
        <v>77</v>
      </c>
      <c r="D209" s="2">
        <v>43</v>
      </c>
      <c r="E209" s="2" t="s">
        <v>124</v>
      </c>
      <c r="F209" s="2" t="s">
        <v>25</v>
      </c>
      <c r="G209" s="2" t="s">
        <v>26</v>
      </c>
      <c r="H209" s="2">
        <v>1</v>
      </c>
      <c r="I209" s="9" t="s">
        <v>64</v>
      </c>
      <c r="J209" s="2">
        <v>2</v>
      </c>
      <c r="K209" s="3">
        <v>0.64</v>
      </c>
      <c r="L209" s="2" t="s">
        <v>65</v>
      </c>
      <c r="M209" s="2" t="s">
        <v>27</v>
      </c>
      <c r="N209" s="2">
        <v>4</v>
      </c>
      <c r="O209" s="2">
        <v>2</v>
      </c>
    </row>
    <row r="210" spans="1:15" x14ac:dyDescent="0.3">
      <c r="A210" s="2" t="s">
        <v>498</v>
      </c>
      <c r="B210" s="2" t="s">
        <v>499</v>
      </c>
      <c r="C210" s="2" t="s">
        <v>95</v>
      </c>
      <c r="D210" s="2">
        <v>57</v>
      </c>
      <c r="E210" s="2" t="s">
        <v>108</v>
      </c>
      <c r="F210" s="2" t="s">
        <v>109</v>
      </c>
      <c r="G210" s="2" t="s">
        <v>78</v>
      </c>
      <c r="H210" s="2">
        <v>8</v>
      </c>
      <c r="I210" s="9" t="s">
        <v>117</v>
      </c>
      <c r="J210" s="2">
        <v>4</v>
      </c>
      <c r="K210" s="3">
        <v>0.84</v>
      </c>
      <c r="L210" s="2" t="s">
        <v>19</v>
      </c>
      <c r="M210" s="2" t="s">
        <v>27</v>
      </c>
      <c r="N210" s="2">
        <v>8</v>
      </c>
      <c r="O210" s="2">
        <v>5</v>
      </c>
    </row>
    <row r="211" spans="1:15" x14ac:dyDescent="0.3">
      <c r="A211" s="2" t="s">
        <v>500</v>
      </c>
      <c r="B211" s="2" t="s">
        <v>501</v>
      </c>
      <c r="C211" s="2" t="s">
        <v>95</v>
      </c>
      <c r="D211" s="2">
        <v>52</v>
      </c>
      <c r="E211" s="2" t="s">
        <v>16</v>
      </c>
      <c r="F211" s="2" t="s">
        <v>17</v>
      </c>
      <c r="G211" s="2" t="s">
        <v>110</v>
      </c>
      <c r="H211" s="2">
        <v>30</v>
      </c>
      <c r="I211" s="9" t="s">
        <v>117</v>
      </c>
      <c r="J211" s="2">
        <v>4</v>
      </c>
      <c r="K211" s="3">
        <v>0.87</v>
      </c>
      <c r="L211" s="2" t="s">
        <v>46</v>
      </c>
      <c r="M211" s="2" t="s">
        <v>33</v>
      </c>
      <c r="N211" s="2">
        <v>12</v>
      </c>
      <c r="O211" s="2">
        <v>5</v>
      </c>
    </row>
    <row r="212" spans="1:15" x14ac:dyDescent="0.3">
      <c r="A212" s="2" t="s">
        <v>502</v>
      </c>
      <c r="B212" s="2" t="s">
        <v>503</v>
      </c>
      <c r="C212" s="2" t="s">
        <v>95</v>
      </c>
      <c r="D212" s="2">
        <v>41</v>
      </c>
      <c r="E212" s="2" t="s">
        <v>31</v>
      </c>
      <c r="F212" s="2" t="s">
        <v>31</v>
      </c>
      <c r="G212" s="2" t="s">
        <v>18</v>
      </c>
      <c r="H212" s="2">
        <v>8</v>
      </c>
      <c r="I212" s="9" t="s">
        <v>38</v>
      </c>
      <c r="J212" s="2">
        <v>2</v>
      </c>
      <c r="K212" s="3">
        <v>0.64</v>
      </c>
      <c r="L212" s="2" t="s">
        <v>65</v>
      </c>
      <c r="M212" s="2" t="s">
        <v>20</v>
      </c>
      <c r="N212" s="2">
        <v>14</v>
      </c>
      <c r="O212" s="2">
        <v>4</v>
      </c>
    </row>
    <row r="213" spans="1:15" x14ac:dyDescent="0.3">
      <c r="A213" s="2" t="s">
        <v>504</v>
      </c>
      <c r="B213" s="2" t="s">
        <v>505</v>
      </c>
      <c r="C213" s="2" t="s">
        <v>77</v>
      </c>
      <c r="D213" s="2">
        <v>22</v>
      </c>
      <c r="E213" s="2" t="s">
        <v>50</v>
      </c>
      <c r="F213" s="2" t="s">
        <v>51</v>
      </c>
      <c r="G213" s="2" t="s">
        <v>110</v>
      </c>
      <c r="H213" s="2">
        <v>0</v>
      </c>
      <c r="I213" s="9">
        <v>100</v>
      </c>
      <c r="J213" s="2">
        <v>2</v>
      </c>
      <c r="K213" s="3">
        <v>0.64</v>
      </c>
      <c r="L213" s="2" t="s">
        <v>19</v>
      </c>
      <c r="M213" s="2" t="s">
        <v>33</v>
      </c>
      <c r="N213" s="2">
        <v>1</v>
      </c>
      <c r="O213" s="2">
        <v>1</v>
      </c>
    </row>
    <row r="214" spans="1:15" x14ac:dyDescent="0.3">
      <c r="A214" s="2" t="s">
        <v>506</v>
      </c>
      <c r="B214" s="2" t="s">
        <v>507</v>
      </c>
      <c r="C214" s="2" t="s">
        <v>95</v>
      </c>
      <c r="D214" s="2">
        <v>41</v>
      </c>
      <c r="E214" s="2" t="s">
        <v>91</v>
      </c>
      <c r="F214" s="2" t="s">
        <v>92</v>
      </c>
      <c r="G214" s="2" t="s">
        <v>110</v>
      </c>
      <c r="H214" s="2">
        <v>12</v>
      </c>
      <c r="I214" s="9" t="s">
        <v>117</v>
      </c>
      <c r="J214" s="2">
        <v>4</v>
      </c>
      <c r="K214" s="3">
        <v>0.8</v>
      </c>
      <c r="L214" s="2" t="s">
        <v>46</v>
      </c>
      <c r="M214" s="2" t="s">
        <v>20</v>
      </c>
      <c r="N214" s="2">
        <v>8</v>
      </c>
      <c r="O214" s="2">
        <v>13</v>
      </c>
    </row>
    <row r="215" spans="1:15" x14ac:dyDescent="0.3">
      <c r="A215" s="2" t="s">
        <v>508</v>
      </c>
      <c r="B215" s="2" t="s">
        <v>509</v>
      </c>
      <c r="C215" s="2" t="s">
        <v>77</v>
      </c>
      <c r="D215" s="2">
        <v>58</v>
      </c>
      <c r="E215" s="2" t="s">
        <v>183</v>
      </c>
      <c r="F215" s="2" t="s">
        <v>73</v>
      </c>
      <c r="G215" s="2" t="s">
        <v>26</v>
      </c>
      <c r="H215" s="2">
        <v>4</v>
      </c>
      <c r="I215" s="9" t="s">
        <v>64</v>
      </c>
      <c r="J215" s="2">
        <v>5</v>
      </c>
      <c r="K215" s="3">
        <v>0.9</v>
      </c>
      <c r="L215" s="2" t="s">
        <v>19</v>
      </c>
      <c r="M215" s="2" t="s">
        <v>33</v>
      </c>
      <c r="N215" s="2">
        <v>2</v>
      </c>
      <c r="O215" s="2">
        <v>1</v>
      </c>
    </row>
    <row r="216" spans="1:15" x14ac:dyDescent="0.3">
      <c r="A216" s="2" t="s">
        <v>510</v>
      </c>
      <c r="B216" s="2" t="s">
        <v>511</v>
      </c>
      <c r="C216" s="2" t="s">
        <v>95</v>
      </c>
      <c r="D216" s="2">
        <v>39</v>
      </c>
      <c r="E216" s="2" t="s">
        <v>108</v>
      </c>
      <c r="F216" s="2" t="s">
        <v>109</v>
      </c>
      <c r="G216" s="2" t="s">
        <v>37</v>
      </c>
      <c r="H216" s="2">
        <v>14</v>
      </c>
      <c r="I216" s="9" t="s">
        <v>222</v>
      </c>
      <c r="J216" s="2">
        <v>5</v>
      </c>
      <c r="K216" s="3">
        <v>0.92</v>
      </c>
      <c r="L216" s="2" t="s">
        <v>69</v>
      </c>
      <c r="M216" s="2" t="s">
        <v>27</v>
      </c>
      <c r="N216" s="2">
        <v>7</v>
      </c>
      <c r="O216" s="2">
        <v>9</v>
      </c>
    </row>
    <row r="217" spans="1:15" x14ac:dyDescent="0.3">
      <c r="A217" s="2" t="s">
        <v>512</v>
      </c>
      <c r="B217" s="2" t="s">
        <v>513</v>
      </c>
      <c r="C217" s="2" t="s">
        <v>95</v>
      </c>
      <c r="D217" s="2">
        <v>32</v>
      </c>
      <c r="E217" s="2" t="s">
        <v>50</v>
      </c>
      <c r="F217" s="2" t="s">
        <v>51</v>
      </c>
      <c r="G217" s="2" t="s">
        <v>32</v>
      </c>
      <c r="H217" s="2">
        <v>14</v>
      </c>
      <c r="I217" s="9">
        <v>55.182648401826484</v>
      </c>
      <c r="J217" s="2">
        <v>5</v>
      </c>
      <c r="K217" s="3">
        <v>0.96</v>
      </c>
      <c r="L217" s="2" t="s">
        <v>69</v>
      </c>
      <c r="M217" s="2" t="s">
        <v>33</v>
      </c>
      <c r="N217" s="2">
        <v>14</v>
      </c>
      <c r="O217" s="2">
        <v>3</v>
      </c>
    </row>
    <row r="218" spans="1:15" x14ac:dyDescent="0.3">
      <c r="A218" s="2" t="s">
        <v>514</v>
      </c>
      <c r="B218" s="2" t="s">
        <v>515</v>
      </c>
      <c r="C218" s="2" t="s">
        <v>95</v>
      </c>
      <c r="D218" s="2">
        <v>37</v>
      </c>
      <c r="E218" s="2" t="s">
        <v>124</v>
      </c>
      <c r="F218" s="2" t="s">
        <v>25</v>
      </c>
      <c r="G218" s="2" t="s">
        <v>74</v>
      </c>
      <c r="H218" s="2">
        <v>2</v>
      </c>
      <c r="I218" s="9" t="s">
        <v>45</v>
      </c>
      <c r="J218" s="2">
        <v>1</v>
      </c>
      <c r="K218" s="3">
        <v>0.5</v>
      </c>
      <c r="L218" s="2" t="s">
        <v>46</v>
      </c>
      <c r="M218" s="2" t="s">
        <v>33</v>
      </c>
      <c r="N218" s="2">
        <v>4</v>
      </c>
      <c r="O218" s="2">
        <v>4</v>
      </c>
    </row>
    <row r="219" spans="1:15" x14ac:dyDescent="0.3">
      <c r="A219" s="2" t="s">
        <v>516</v>
      </c>
      <c r="B219" s="2" t="s">
        <v>517</v>
      </c>
      <c r="C219" s="2" t="s">
        <v>77</v>
      </c>
      <c r="D219" s="2">
        <v>21</v>
      </c>
      <c r="E219" s="2" t="s">
        <v>168</v>
      </c>
      <c r="F219" s="2" t="s">
        <v>169</v>
      </c>
      <c r="G219" s="2" t="s">
        <v>78</v>
      </c>
      <c r="H219" s="2">
        <v>2</v>
      </c>
      <c r="I219" s="9">
        <v>100</v>
      </c>
      <c r="J219" s="2">
        <v>1</v>
      </c>
      <c r="K219" s="3">
        <v>0.5</v>
      </c>
      <c r="L219" s="2" t="s">
        <v>65</v>
      </c>
      <c r="M219" s="2" t="s">
        <v>33</v>
      </c>
      <c r="N219" s="2">
        <v>3</v>
      </c>
      <c r="O219" s="2">
        <v>1</v>
      </c>
    </row>
    <row r="220" spans="1:15" x14ac:dyDescent="0.3">
      <c r="A220" s="2" t="s">
        <v>518</v>
      </c>
      <c r="B220" s="2" t="s">
        <v>519</v>
      </c>
      <c r="C220" s="2" t="s">
        <v>95</v>
      </c>
      <c r="D220" s="2">
        <v>41</v>
      </c>
      <c r="E220" s="2" t="s">
        <v>108</v>
      </c>
      <c r="F220" s="2" t="s">
        <v>109</v>
      </c>
      <c r="G220" s="2" t="s">
        <v>110</v>
      </c>
      <c r="H220" s="2">
        <v>4</v>
      </c>
      <c r="I220" s="9">
        <v>75</v>
      </c>
      <c r="J220" s="2">
        <v>4</v>
      </c>
      <c r="K220" s="3">
        <v>0.85</v>
      </c>
      <c r="L220" s="2" t="s">
        <v>46</v>
      </c>
      <c r="M220" s="2" t="s">
        <v>27</v>
      </c>
      <c r="N220" s="2">
        <v>4</v>
      </c>
      <c r="O220" s="2">
        <v>1</v>
      </c>
    </row>
    <row r="221" spans="1:15" x14ac:dyDescent="0.3">
      <c r="A221" s="2" t="s">
        <v>520</v>
      </c>
      <c r="B221" s="2" t="s">
        <v>521</v>
      </c>
      <c r="C221" s="2" t="s">
        <v>77</v>
      </c>
      <c r="D221" s="2">
        <v>21</v>
      </c>
      <c r="E221" s="2" t="s">
        <v>124</v>
      </c>
      <c r="F221" s="2" t="s">
        <v>25</v>
      </c>
      <c r="G221" s="2" t="s">
        <v>44</v>
      </c>
      <c r="H221" s="2">
        <v>0</v>
      </c>
      <c r="I221" s="9" t="s">
        <v>38</v>
      </c>
      <c r="J221" s="2">
        <v>3</v>
      </c>
      <c r="K221" s="3">
        <v>0.79</v>
      </c>
      <c r="L221" s="2" t="s">
        <v>19</v>
      </c>
      <c r="M221" s="2" t="s">
        <v>27</v>
      </c>
      <c r="N221" s="2">
        <v>5</v>
      </c>
      <c r="O221" s="2">
        <v>2</v>
      </c>
    </row>
    <row r="222" spans="1:15" x14ac:dyDescent="0.3">
      <c r="A222" s="2" t="s">
        <v>522</v>
      </c>
      <c r="B222" s="2" t="s">
        <v>523</v>
      </c>
      <c r="C222" s="2" t="s">
        <v>77</v>
      </c>
      <c r="D222" s="2">
        <v>58</v>
      </c>
      <c r="E222" s="2" t="s">
        <v>168</v>
      </c>
      <c r="F222" s="2" t="s">
        <v>169</v>
      </c>
      <c r="G222" s="2" t="s">
        <v>110</v>
      </c>
      <c r="H222" s="2">
        <v>9</v>
      </c>
      <c r="I222" s="9">
        <v>30</v>
      </c>
      <c r="J222" s="2">
        <v>2</v>
      </c>
      <c r="K222" s="3">
        <v>0.65</v>
      </c>
      <c r="L222" s="2" t="s">
        <v>65</v>
      </c>
      <c r="M222" s="2" t="s">
        <v>27</v>
      </c>
      <c r="N222" s="2">
        <v>15</v>
      </c>
      <c r="O222" s="2">
        <v>6</v>
      </c>
    </row>
    <row r="223" spans="1:15" x14ac:dyDescent="0.3">
      <c r="A223" s="2" t="s">
        <v>524</v>
      </c>
      <c r="B223" s="2" t="s">
        <v>525</v>
      </c>
      <c r="C223" s="2" t="s">
        <v>95</v>
      </c>
      <c r="D223" s="2">
        <v>60</v>
      </c>
      <c r="E223" s="2" t="s">
        <v>124</v>
      </c>
      <c r="F223" s="2" t="s">
        <v>25</v>
      </c>
      <c r="G223" s="2" t="s">
        <v>110</v>
      </c>
      <c r="H223" s="2">
        <v>3</v>
      </c>
      <c r="I223" s="9">
        <v>40</v>
      </c>
      <c r="J223" s="2">
        <v>2</v>
      </c>
      <c r="K223" s="3">
        <v>0.63</v>
      </c>
      <c r="L223" s="2" t="s">
        <v>69</v>
      </c>
      <c r="M223" s="2" t="s">
        <v>27</v>
      </c>
      <c r="N223" s="2">
        <v>1</v>
      </c>
      <c r="O223" s="2">
        <v>5</v>
      </c>
    </row>
    <row r="224" spans="1:15" x14ac:dyDescent="0.3">
      <c r="A224" s="2" t="s">
        <v>526</v>
      </c>
      <c r="B224" s="2" t="s">
        <v>527</v>
      </c>
      <c r="C224" s="2" t="s">
        <v>95</v>
      </c>
      <c r="D224" s="2">
        <v>27</v>
      </c>
      <c r="E224" s="2" t="s">
        <v>147</v>
      </c>
      <c r="F224" s="2" t="s">
        <v>148</v>
      </c>
      <c r="G224" s="2" t="s">
        <v>37</v>
      </c>
      <c r="H224" s="2">
        <v>2</v>
      </c>
      <c r="I224" s="9" t="s">
        <v>38</v>
      </c>
      <c r="J224" s="2">
        <v>1</v>
      </c>
      <c r="K224" s="3">
        <v>0.5</v>
      </c>
      <c r="L224" s="2" t="s">
        <v>65</v>
      </c>
      <c r="M224" s="2" t="s">
        <v>20</v>
      </c>
      <c r="N224" s="2">
        <v>1</v>
      </c>
      <c r="O224" s="2">
        <v>1</v>
      </c>
    </row>
    <row r="225" spans="1:15" x14ac:dyDescent="0.3">
      <c r="A225" s="2" t="s">
        <v>528</v>
      </c>
      <c r="B225" s="2" t="s">
        <v>529</v>
      </c>
      <c r="C225" s="2" t="s">
        <v>77</v>
      </c>
      <c r="D225" s="2">
        <v>29</v>
      </c>
      <c r="E225" s="2" t="s">
        <v>31</v>
      </c>
      <c r="F225" s="2" t="s">
        <v>31</v>
      </c>
      <c r="G225" s="2" t="s">
        <v>110</v>
      </c>
      <c r="H225" s="2">
        <v>10</v>
      </c>
      <c r="I225" s="9" t="s">
        <v>38</v>
      </c>
      <c r="J225" s="2">
        <v>3</v>
      </c>
      <c r="K225" s="3">
        <v>0.78</v>
      </c>
      <c r="L225" s="2" t="s">
        <v>69</v>
      </c>
      <c r="M225" s="2" t="s">
        <v>20</v>
      </c>
      <c r="N225" s="2">
        <v>7</v>
      </c>
      <c r="O225" s="2">
        <v>6</v>
      </c>
    </row>
    <row r="226" spans="1:15" x14ac:dyDescent="0.3">
      <c r="A226" s="2" t="s">
        <v>530</v>
      </c>
      <c r="B226" s="2" t="s">
        <v>531</v>
      </c>
      <c r="C226" s="2" t="s">
        <v>77</v>
      </c>
      <c r="D226" s="2">
        <v>54</v>
      </c>
      <c r="E226" s="2" t="s">
        <v>124</v>
      </c>
      <c r="F226" s="2" t="s">
        <v>25</v>
      </c>
      <c r="G226" s="2" t="s">
        <v>32</v>
      </c>
      <c r="H226" s="2">
        <v>33</v>
      </c>
      <c r="I226" s="9" t="s">
        <v>163</v>
      </c>
      <c r="J226" s="2">
        <v>2</v>
      </c>
      <c r="K226" s="3">
        <v>0.62</v>
      </c>
      <c r="L226" s="2" t="s">
        <v>65</v>
      </c>
      <c r="M226" s="2" t="s">
        <v>58</v>
      </c>
      <c r="N226" s="2">
        <v>18</v>
      </c>
      <c r="O226" s="2">
        <v>9</v>
      </c>
    </row>
    <row r="227" spans="1:15" x14ac:dyDescent="0.3">
      <c r="A227" s="2" t="s">
        <v>532</v>
      </c>
      <c r="B227" s="2" t="s">
        <v>533</v>
      </c>
      <c r="C227" s="2" t="s">
        <v>95</v>
      </c>
      <c r="D227" s="2">
        <v>52</v>
      </c>
      <c r="E227" s="2" t="s">
        <v>172</v>
      </c>
      <c r="F227" s="2" t="s">
        <v>73</v>
      </c>
      <c r="G227" s="2" t="s">
        <v>110</v>
      </c>
      <c r="H227" s="2">
        <v>12</v>
      </c>
      <c r="I227" s="9">
        <v>40</v>
      </c>
      <c r="J227" s="2">
        <v>3</v>
      </c>
      <c r="K227" s="3">
        <v>0.76</v>
      </c>
      <c r="L227" s="2" t="s">
        <v>65</v>
      </c>
      <c r="M227" s="2" t="s">
        <v>27</v>
      </c>
      <c r="N227" s="2">
        <v>14</v>
      </c>
      <c r="O227" s="2">
        <v>3</v>
      </c>
    </row>
    <row r="228" spans="1:15" x14ac:dyDescent="0.3">
      <c r="A228" s="2" t="s">
        <v>534</v>
      </c>
      <c r="B228" s="2" t="s">
        <v>535</v>
      </c>
      <c r="C228" s="2" t="s">
        <v>77</v>
      </c>
      <c r="D228" s="2">
        <v>55</v>
      </c>
      <c r="E228" s="2" t="s">
        <v>50</v>
      </c>
      <c r="F228" s="2" t="s">
        <v>51</v>
      </c>
      <c r="G228" s="2" t="s">
        <v>18</v>
      </c>
      <c r="H228" s="2">
        <v>18</v>
      </c>
      <c r="I228" s="9">
        <v>100</v>
      </c>
      <c r="J228" s="2">
        <v>5</v>
      </c>
      <c r="K228" s="3">
        <v>0.97</v>
      </c>
      <c r="L228" s="2" t="s">
        <v>65</v>
      </c>
      <c r="M228" s="2" t="s">
        <v>20</v>
      </c>
      <c r="N228" s="2">
        <v>12</v>
      </c>
      <c r="O228" s="2">
        <v>9</v>
      </c>
    </row>
    <row r="229" spans="1:15" x14ac:dyDescent="0.3">
      <c r="A229" s="2" t="s">
        <v>536</v>
      </c>
      <c r="B229" s="2" t="s">
        <v>537</v>
      </c>
      <c r="C229" s="2" t="s">
        <v>95</v>
      </c>
      <c r="D229" s="2">
        <v>37</v>
      </c>
      <c r="E229" s="2" t="s">
        <v>104</v>
      </c>
      <c r="F229" s="2" t="s">
        <v>105</v>
      </c>
      <c r="G229" s="2" t="s">
        <v>18</v>
      </c>
      <c r="H229" s="2">
        <v>4</v>
      </c>
      <c r="I229" s="9">
        <v>54.929577464788736</v>
      </c>
      <c r="J229" s="2">
        <v>1</v>
      </c>
      <c r="K229" s="3">
        <v>0.5</v>
      </c>
      <c r="L229" s="2" t="s">
        <v>19</v>
      </c>
      <c r="M229" s="2" t="s">
        <v>33</v>
      </c>
      <c r="N229" s="2">
        <v>3</v>
      </c>
      <c r="O229" s="2">
        <v>2</v>
      </c>
    </row>
    <row r="230" spans="1:15" x14ac:dyDescent="0.3">
      <c r="A230" s="2" t="s">
        <v>538</v>
      </c>
      <c r="B230" s="2" t="s">
        <v>539</v>
      </c>
      <c r="C230" s="2" t="s">
        <v>77</v>
      </c>
      <c r="D230" s="2">
        <v>34</v>
      </c>
      <c r="E230" s="2" t="s">
        <v>135</v>
      </c>
      <c r="F230" s="2" t="s">
        <v>136</v>
      </c>
      <c r="G230" s="2" t="s">
        <v>52</v>
      </c>
      <c r="H230" s="2">
        <v>11</v>
      </c>
      <c r="I230" s="9" t="s">
        <v>64</v>
      </c>
      <c r="J230" s="2">
        <v>4</v>
      </c>
      <c r="K230" s="3">
        <v>0.82</v>
      </c>
      <c r="L230" s="2" t="s">
        <v>19</v>
      </c>
      <c r="M230" s="2" t="s">
        <v>27</v>
      </c>
      <c r="N230" s="2">
        <v>13</v>
      </c>
      <c r="O230" s="2">
        <v>2</v>
      </c>
    </row>
    <row r="231" spans="1:15" x14ac:dyDescent="0.3">
      <c r="A231" s="2" t="s">
        <v>540</v>
      </c>
      <c r="B231" s="2" t="s">
        <v>541</v>
      </c>
      <c r="C231" s="2" t="s">
        <v>95</v>
      </c>
      <c r="D231" s="2">
        <v>20</v>
      </c>
      <c r="E231" s="2" t="s">
        <v>131</v>
      </c>
      <c r="F231" s="2" t="s">
        <v>132</v>
      </c>
      <c r="G231" s="2" t="s">
        <v>52</v>
      </c>
      <c r="H231" s="2">
        <v>1</v>
      </c>
      <c r="I231" s="9">
        <v>50</v>
      </c>
      <c r="J231" s="2">
        <v>3</v>
      </c>
      <c r="K231" s="3">
        <v>0.71</v>
      </c>
      <c r="L231" s="2" t="s">
        <v>46</v>
      </c>
      <c r="M231" s="2" t="s">
        <v>58</v>
      </c>
      <c r="N231" s="2">
        <v>4</v>
      </c>
      <c r="O231" s="2">
        <v>3</v>
      </c>
    </row>
    <row r="232" spans="1:15" x14ac:dyDescent="0.3">
      <c r="A232" s="2" t="s">
        <v>542</v>
      </c>
      <c r="B232" s="2" t="s">
        <v>543</v>
      </c>
      <c r="C232" s="2" t="s">
        <v>95</v>
      </c>
      <c r="D232" s="2">
        <v>22</v>
      </c>
      <c r="E232" s="2" t="s">
        <v>172</v>
      </c>
      <c r="F232" s="2" t="s">
        <v>73</v>
      </c>
      <c r="G232" s="2" t="s">
        <v>74</v>
      </c>
      <c r="H232" s="2">
        <v>2</v>
      </c>
      <c r="I232" s="9">
        <v>54.952830188679243</v>
      </c>
      <c r="J232" s="2">
        <v>1</v>
      </c>
      <c r="K232" s="3">
        <v>0.5</v>
      </c>
      <c r="L232" s="2" t="s">
        <v>46</v>
      </c>
      <c r="M232" s="2" t="s">
        <v>58</v>
      </c>
      <c r="N232" s="2">
        <v>5</v>
      </c>
      <c r="O232" s="2">
        <v>1</v>
      </c>
    </row>
    <row r="233" spans="1:15" x14ac:dyDescent="0.3">
      <c r="A233" s="2" t="s">
        <v>544</v>
      </c>
      <c r="B233" s="2" t="s">
        <v>545</v>
      </c>
      <c r="C233" s="2" t="s">
        <v>77</v>
      </c>
      <c r="D233" s="2">
        <v>23</v>
      </c>
      <c r="E233" s="2" t="s">
        <v>108</v>
      </c>
      <c r="F233" s="2" t="s">
        <v>109</v>
      </c>
      <c r="G233" s="2" t="s">
        <v>32</v>
      </c>
      <c r="H233" s="2">
        <v>2</v>
      </c>
      <c r="I233" s="9">
        <v>50</v>
      </c>
      <c r="J233" s="2">
        <v>1</v>
      </c>
      <c r="K233" s="3">
        <v>0.5</v>
      </c>
      <c r="L233" s="2" t="s">
        <v>69</v>
      </c>
      <c r="M233" s="2" t="s">
        <v>58</v>
      </c>
      <c r="N233" s="2">
        <v>2</v>
      </c>
      <c r="O233" s="2">
        <v>1</v>
      </c>
    </row>
    <row r="234" spans="1:15" x14ac:dyDescent="0.3">
      <c r="A234" s="2" t="s">
        <v>546</v>
      </c>
      <c r="B234" s="2" t="s">
        <v>547</v>
      </c>
      <c r="C234" s="2" t="s">
        <v>77</v>
      </c>
      <c r="D234" s="2">
        <v>53</v>
      </c>
      <c r="E234" s="2" t="s">
        <v>108</v>
      </c>
      <c r="F234" s="2" t="s">
        <v>109</v>
      </c>
      <c r="G234" s="2" t="s">
        <v>18</v>
      </c>
      <c r="H234" s="2">
        <v>34</v>
      </c>
      <c r="I234" s="9">
        <v>30</v>
      </c>
      <c r="J234" s="2">
        <v>1</v>
      </c>
      <c r="K234" s="3">
        <v>0.5</v>
      </c>
      <c r="L234" s="2" t="s">
        <v>19</v>
      </c>
      <c r="M234" s="2" t="s">
        <v>33</v>
      </c>
      <c r="N234" s="2">
        <v>14</v>
      </c>
      <c r="O234" s="2">
        <v>9</v>
      </c>
    </row>
    <row r="235" spans="1:15" x14ac:dyDescent="0.3">
      <c r="A235" s="2" t="s">
        <v>548</v>
      </c>
      <c r="B235" s="2" t="s">
        <v>549</v>
      </c>
      <c r="C235" s="2" t="s">
        <v>77</v>
      </c>
      <c r="D235" s="2">
        <v>56</v>
      </c>
      <c r="E235" s="2" t="s">
        <v>108</v>
      </c>
      <c r="F235" s="2" t="s">
        <v>109</v>
      </c>
      <c r="G235" s="2" t="s">
        <v>32</v>
      </c>
      <c r="H235" s="2">
        <v>27</v>
      </c>
      <c r="I235" s="9">
        <v>100</v>
      </c>
      <c r="J235" s="2">
        <v>2</v>
      </c>
      <c r="K235" s="3">
        <v>0.69</v>
      </c>
      <c r="L235" s="2" t="s">
        <v>69</v>
      </c>
      <c r="M235" s="2" t="s">
        <v>20</v>
      </c>
      <c r="N235" s="2">
        <v>19</v>
      </c>
      <c r="O235" s="2">
        <v>7</v>
      </c>
    </row>
    <row r="236" spans="1:15" x14ac:dyDescent="0.3">
      <c r="A236" s="2" t="s">
        <v>550</v>
      </c>
      <c r="B236" s="2" t="s">
        <v>551</v>
      </c>
      <c r="C236" s="2" t="s">
        <v>95</v>
      </c>
      <c r="D236" s="2">
        <v>27</v>
      </c>
      <c r="E236" s="2" t="s">
        <v>124</v>
      </c>
      <c r="F236" s="2" t="s">
        <v>25</v>
      </c>
      <c r="G236" s="2" t="s">
        <v>44</v>
      </c>
      <c r="H236" s="2">
        <v>4</v>
      </c>
      <c r="I236" s="9">
        <v>75</v>
      </c>
      <c r="J236" s="2">
        <v>4</v>
      </c>
      <c r="K236" s="3">
        <v>0.88</v>
      </c>
      <c r="L236" s="2" t="s">
        <v>46</v>
      </c>
      <c r="M236" s="2" t="s">
        <v>33</v>
      </c>
      <c r="N236" s="2">
        <v>5</v>
      </c>
      <c r="O236" s="2">
        <v>1</v>
      </c>
    </row>
    <row r="237" spans="1:15" x14ac:dyDescent="0.3">
      <c r="A237" s="2" t="s">
        <v>552</v>
      </c>
      <c r="B237" s="2" t="s">
        <v>553</v>
      </c>
      <c r="C237" s="2" t="s">
        <v>95</v>
      </c>
      <c r="D237" s="2">
        <v>34</v>
      </c>
      <c r="E237" s="2" t="s">
        <v>16</v>
      </c>
      <c r="F237" s="2" t="s">
        <v>17</v>
      </c>
      <c r="G237" s="2" t="s">
        <v>26</v>
      </c>
      <c r="H237" s="2">
        <v>11</v>
      </c>
      <c r="I237" s="9" t="s">
        <v>38</v>
      </c>
      <c r="J237" s="2">
        <v>2</v>
      </c>
      <c r="K237" s="3">
        <v>0.67</v>
      </c>
      <c r="L237" s="2" t="s">
        <v>69</v>
      </c>
      <c r="M237" s="2" t="s">
        <v>27</v>
      </c>
      <c r="N237" s="2">
        <v>13</v>
      </c>
      <c r="O237" s="2">
        <v>9</v>
      </c>
    </row>
    <row r="238" spans="1:15" x14ac:dyDescent="0.3">
      <c r="A238" s="2" t="s">
        <v>554</v>
      </c>
      <c r="B238" s="2" t="s">
        <v>555</v>
      </c>
      <c r="C238" s="2" t="s">
        <v>95</v>
      </c>
      <c r="D238" s="2">
        <v>29</v>
      </c>
      <c r="E238" s="2" t="s">
        <v>57</v>
      </c>
      <c r="F238" s="2" t="s">
        <v>25</v>
      </c>
      <c r="G238" s="2" t="s">
        <v>37</v>
      </c>
      <c r="H238" s="2">
        <v>4</v>
      </c>
      <c r="I238" s="9" t="s">
        <v>64</v>
      </c>
      <c r="J238" s="2">
        <v>1</v>
      </c>
      <c r="K238" s="3">
        <v>0.5</v>
      </c>
      <c r="L238" s="2" t="s">
        <v>46</v>
      </c>
      <c r="M238" s="2" t="s">
        <v>58</v>
      </c>
      <c r="N238" s="2">
        <v>3</v>
      </c>
      <c r="O238" s="2">
        <v>2</v>
      </c>
    </row>
    <row r="239" spans="1:15" x14ac:dyDescent="0.3">
      <c r="A239" s="2" t="s">
        <v>556</v>
      </c>
      <c r="B239" s="2" t="s">
        <v>557</v>
      </c>
      <c r="C239" s="2" t="s">
        <v>95</v>
      </c>
      <c r="D239" s="2">
        <v>34</v>
      </c>
      <c r="E239" s="2" t="s">
        <v>91</v>
      </c>
      <c r="F239" s="2" t="s">
        <v>92</v>
      </c>
      <c r="G239" s="2" t="s">
        <v>44</v>
      </c>
      <c r="H239" s="2">
        <v>11</v>
      </c>
      <c r="I239" s="9">
        <v>54.783653846153847</v>
      </c>
      <c r="J239" s="2">
        <v>1</v>
      </c>
      <c r="K239" s="3">
        <v>0.5</v>
      </c>
      <c r="L239" s="2" t="s">
        <v>19</v>
      </c>
      <c r="M239" s="2" t="s">
        <v>33</v>
      </c>
      <c r="N239" s="2">
        <v>11</v>
      </c>
      <c r="O239" s="2">
        <v>4</v>
      </c>
    </row>
    <row r="240" spans="1:15" x14ac:dyDescent="0.3">
      <c r="A240" s="2" t="s">
        <v>558</v>
      </c>
      <c r="B240" s="2" t="s">
        <v>559</v>
      </c>
      <c r="C240" s="2" t="s">
        <v>77</v>
      </c>
      <c r="D240" s="2">
        <v>32</v>
      </c>
      <c r="E240" s="2" t="s">
        <v>172</v>
      </c>
      <c r="F240" s="2" t="s">
        <v>73</v>
      </c>
      <c r="G240" s="2" t="s">
        <v>44</v>
      </c>
      <c r="H240" s="2">
        <v>1</v>
      </c>
      <c r="I240" s="9">
        <v>100</v>
      </c>
      <c r="J240" s="2">
        <v>2</v>
      </c>
      <c r="K240" s="3">
        <v>0.67</v>
      </c>
      <c r="L240" s="2" t="s">
        <v>65</v>
      </c>
      <c r="M240" s="2" t="s">
        <v>33</v>
      </c>
      <c r="N240" s="2">
        <v>5</v>
      </c>
      <c r="O240" s="2">
        <v>1</v>
      </c>
    </row>
    <row r="241" spans="1:15" x14ac:dyDescent="0.3">
      <c r="A241" s="2" t="s">
        <v>560</v>
      </c>
      <c r="B241" s="2" t="s">
        <v>561</v>
      </c>
      <c r="C241" s="2" t="s">
        <v>77</v>
      </c>
      <c r="D241" s="2">
        <v>21</v>
      </c>
      <c r="E241" s="2" t="s">
        <v>147</v>
      </c>
      <c r="F241" s="2" t="s">
        <v>148</v>
      </c>
      <c r="G241" s="2" t="s">
        <v>110</v>
      </c>
      <c r="H241" s="2">
        <v>2</v>
      </c>
      <c r="I241" s="9">
        <v>20</v>
      </c>
      <c r="J241" s="2">
        <v>4</v>
      </c>
      <c r="K241" s="3">
        <v>0.86</v>
      </c>
      <c r="L241" s="2" t="s">
        <v>19</v>
      </c>
      <c r="M241" s="2" t="s">
        <v>20</v>
      </c>
      <c r="N241" s="2">
        <v>4</v>
      </c>
      <c r="O241" s="2">
        <v>2</v>
      </c>
    </row>
    <row r="242" spans="1:15" x14ac:dyDescent="0.3">
      <c r="A242" s="2" t="s">
        <v>562</v>
      </c>
      <c r="B242" s="2" t="s">
        <v>563</v>
      </c>
      <c r="C242" s="2" t="s">
        <v>95</v>
      </c>
      <c r="D242" s="2">
        <v>20</v>
      </c>
      <c r="E242" s="2" t="s">
        <v>172</v>
      </c>
      <c r="F242" s="2" t="s">
        <v>73</v>
      </c>
      <c r="G242" s="2" t="s">
        <v>32</v>
      </c>
      <c r="H242" s="2">
        <v>2</v>
      </c>
      <c r="I242" s="9">
        <v>54.733009708737868</v>
      </c>
      <c r="J242" s="2">
        <v>2</v>
      </c>
      <c r="K242" s="3">
        <v>0.69</v>
      </c>
      <c r="L242" s="2" t="s">
        <v>69</v>
      </c>
      <c r="M242" s="2" t="s">
        <v>20</v>
      </c>
      <c r="N242" s="2">
        <v>3</v>
      </c>
      <c r="O242" s="2">
        <v>1</v>
      </c>
    </row>
    <row r="243" spans="1:15" x14ac:dyDescent="0.3">
      <c r="A243" s="2" t="s">
        <v>564</v>
      </c>
      <c r="B243" s="2" t="s">
        <v>565</v>
      </c>
      <c r="C243" s="2" t="s">
        <v>77</v>
      </c>
      <c r="D243" s="2">
        <v>35</v>
      </c>
      <c r="E243" s="2" t="s">
        <v>57</v>
      </c>
      <c r="F243" s="2" t="s">
        <v>25</v>
      </c>
      <c r="G243" s="2" t="s">
        <v>26</v>
      </c>
      <c r="H243" s="2">
        <v>10</v>
      </c>
      <c r="I243" s="9">
        <v>50</v>
      </c>
      <c r="J243" s="2">
        <v>4</v>
      </c>
      <c r="K243" s="3">
        <v>0.85</v>
      </c>
      <c r="L243" s="2" t="s">
        <v>69</v>
      </c>
      <c r="M243" s="2" t="s">
        <v>58</v>
      </c>
      <c r="N243" s="2">
        <v>8</v>
      </c>
      <c r="O243" s="2">
        <v>4</v>
      </c>
    </row>
    <row r="244" spans="1:15" x14ac:dyDescent="0.3">
      <c r="A244" s="2" t="s">
        <v>566</v>
      </c>
      <c r="B244" s="2" t="s">
        <v>567</v>
      </c>
      <c r="C244" s="2" t="s">
        <v>77</v>
      </c>
      <c r="D244" s="2">
        <v>47</v>
      </c>
      <c r="E244" s="2" t="s">
        <v>57</v>
      </c>
      <c r="F244" s="2" t="s">
        <v>25</v>
      </c>
      <c r="G244" s="2" t="s">
        <v>74</v>
      </c>
      <c r="H244" s="2">
        <v>18</v>
      </c>
      <c r="I244" s="9">
        <v>40</v>
      </c>
      <c r="J244" s="2">
        <v>2</v>
      </c>
      <c r="K244" s="3">
        <v>0.6</v>
      </c>
      <c r="L244" s="2" t="s">
        <v>19</v>
      </c>
      <c r="M244" s="2" t="s">
        <v>33</v>
      </c>
      <c r="N244" s="2">
        <v>11</v>
      </c>
      <c r="O244" s="2">
        <v>10</v>
      </c>
    </row>
    <row r="245" spans="1:15" x14ac:dyDescent="0.3">
      <c r="A245" s="2" t="s">
        <v>568</v>
      </c>
      <c r="B245" s="2" t="s">
        <v>569</v>
      </c>
      <c r="C245" s="2" t="s">
        <v>77</v>
      </c>
      <c r="D245" s="2">
        <v>41</v>
      </c>
      <c r="E245" s="2" t="s">
        <v>62</v>
      </c>
      <c r="F245" s="2" t="s">
        <v>63</v>
      </c>
      <c r="G245" s="2" t="s">
        <v>18</v>
      </c>
      <c r="H245" s="2">
        <v>4</v>
      </c>
      <c r="I245" s="9">
        <v>40</v>
      </c>
      <c r="J245" s="2">
        <v>3</v>
      </c>
      <c r="K245" s="3">
        <v>0.7</v>
      </c>
      <c r="L245" s="2" t="s">
        <v>19</v>
      </c>
      <c r="M245" s="2" t="s">
        <v>33</v>
      </c>
      <c r="N245" s="2">
        <v>2</v>
      </c>
      <c r="O245" s="2">
        <v>2</v>
      </c>
    </row>
    <row r="246" spans="1:15" x14ac:dyDescent="0.3">
      <c r="A246" s="2" t="s">
        <v>570</v>
      </c>
      <c r="B246" s="2" t="s">
        <v>571</v>
      </c>
      <c r="C246" s="2" t="s">
        <v>95</v>
      </c>
      <c r="D246" s="2">
        <v>58</v>
      </c>
      <c r="E246" s="2" t="s">
        <v>72</v>
      </c>
      <c r="F246" s="2" t="s">
        <v>73</v>
      </c>
      <c r="G246" s="2" t="s">
        <v>37</v>
      </c>
      <c r="H246" s="2">
        <v>23</v>
      </c>
      <c r="I246" s="9">
        <v>54.901477832512313</v>
      </c>
      <c r="J246" s="2">
        <v>1</v>
      </c>
      <c r="K246" s="3">
        <v>0.5</v>
      </c>
      <c r="L246" s="2" t="s">
        <v>46</v>
      </c>
      <c r="M246" s="2" t="s">
        <v>20</v>
      </c>
      <c r="N246" s="2">
        <v>19</v>
      </c>
      <c r="O246" s="2">
        <v>5</v>
      </c>
    </row>
    <row r="247" spans="1:15" x14ac:dyDescent="0.3">
      <c r="A247" s="2" t="s">
        <v>572</v>
      </c>
      <c r="B247" s="2" t="s">
        <v>573</v>
      </c>
      <c r="C247" s="2" t="s">
        <v>95</v>
      </c>
      <c r="D247" s="2">
        <v>34</v>
      </c>
      <c r="E247" s="2" t="s">
        <v>168</v>
      </c>
      <c r="F247" s="2" t="s">
        <v>169</v>
      </c>
      <c r="G247" s="2" t="s">
        <v>52</v>
      </c>
      <c r="H247" s="2">
        <v>6</v>
      </c>
      <c r="I247" s="9">
        <v>75</v>
      </c>
      <c r="J247" s="2">
        <v>4</v>
      </c>
      <c r="K247" s="3">
        <v>0.81</v>
      </c>
      <c r="L247" s="2" t="s">
        <v>69</v>
      </c>
      <c r="M247" s="2" t="s">
        <v>33</v>
      </c>
      <c r="N247" s="2">
        <v>9</v>
      </c>
      <c r="O247" s="2">
        <v>6</v>
      </c>
    </row>
    <row r="248" spans="1:15" x14ac:dyDescent="0.3">
      <c r="A248" s="2" t="s">
        <v>574</v>
      </c>
      <c r="B248" s="2" t="s">
        <v>575</v>
      </c>
      <c r="C248" s="2" t="s">
        <v>77</v>
      </c>
      <c r="D248" s="2">
        <v>50</v>
      </c>
      <c r="E248" s="2" t="s">
        <v>91</v>
      </c>
      <c r="F248" s="2" t="s">
        <v>92</v>
      </c>
      <c r="G248" s="2" t="s">
        <v>26</v>
      </c>
      <c r="H248" s="2">
        <v>5</v>
      </c>
      <c r="I248" s="9">
        <v>100</v>
      </c>
      <c r="J248" s="2">
        <v>1</v>
      </c>
      <c r="K248" s="3">
        <v>0.5</v>
      </c>
      <c r="L248" s="2" t="s">
        <v>69</v>
      </c>
      <c r="M248" s="2" t="s">
        <v>33</v>
      </c>
      <c r="N248" s="2">
        <v>4</v>
      </c>
      <c r="O248" s="2">
        <v>1</v>
      </c>
    </row>
    <row r="249" spans="1:15" x14ac:dyDescent="0.3">
      <c r="A249" s="2" t="s">
        <v>576</v>
      </c>
      <c r="B249" s="2" t="s">
        <v>577</v>
      </c>
      <c r="C249" s="2" t="s">
        <v>77</v>
      </c>
      <c r="D249" s="2">
        <v>42</v>
      </c>
      <c r="E249" s="2" t="s">
        <v>172</v>
      </c>
      <c r="F249" s="2" t="s">
        <v>73</v>
      </c>
      <c r="G249" s="2" t="s">
        <v>87</v>
      </c>
      <c r="H249" s="2">
        <v>19</v>
      </c>
      <c r="I249" s="9" t="s">
        <v>163</v>
      </c>
      <c r="J249" s="2">
        <v>3</v>
      </c>
      <c r="K249" s="3">
        <v>0.78</v>
      </c>
      <c r="L249" s="2" t="s">
        <v>19</v>
      </c>
      <c r="M249" s="2" t="s">
        <v>33</v>
      </c>
      <c r="N249" s="2">
        <v>18</v>
      </c>
      <c r="O249" s="2">
        <v>13</v>
      </c>
    </row>
    <row r="250" spans="1:15" x14ac:dyDescent="0.3">
      <c r="A250" s="2" t="s">
        <v>578</v>
      </c>
      <c r="B250" s="2" t="s">
        <v>579</v>
      </c>
      <c r="C250" s="2" t="s">
        <v>95</v>
      </c>
      <c r="D250" s="2">
        <v>43</v>
      </c>
      <c r="E250" s="2" t="s">
        <v>31</v>
      </c>
      <c r="F250" s="2" t="s">
        <v>31</v>
      </c>
      <c r="G250" s="2" t="s">
        <v>74</v>
      </c>
      <c r="H250" s="2">
        <v>6</v>
      </c>
      <c r="I250" s="9">
        <v>50</v>
      </c>
      <c r="J250" s="2">
        <v>4</v>
      </c>
      <c r="K250" s="3">
        <v>0.81</v>
      </c>
      <c r="L250" s="2" t="s">
        <v>65</v>
      </c>
      <c r="M250" s="2" t="s">
        <v>20</v>
      </c>
      <c r="N250" s="2">
        <v>8</v>
      </c>
      <c r="O250" s="2">
        <v>13</v>
      </c>
    </row>
    <row r="251" spans="1:15" x14ac:dyDescent="0.3">
      <c r="A251" s="2" t="s">
        <v>580</v>
      </c>
      <c r="B251" s="2" t="s">
        <v>581</v>
      </c>
      <c r="C251" s="2" t="s">
        <v>95</v>
      </c>
      <c r="D251" s="2">
        <v>34</v>
      </c>
      <c r="E251" s="2" t="s">
        <v>31</v>
      </c>
      <c r="F251" s="2" t="s">
        <v>31</v>
      </c>
      <c r="G251" s="2" t="s">
        <v>52</v>
      </c>
      <c r="H251" s="2">
        <v>8</v>
      </c>
      <c r="I251" s="9">
        <v>75</v>
      </c>
      <c r="J251" s="2">
        <v>3</v>
      </c>
      <c r="K251" s="3">
        <v>0.71</v>
      </c>
      <c r="L251" s="2" t="s">
        <v>69</v>
      </c>
      <c r="M251" s="2" t="s">
        <v>58</v>
      </c>
      <c r="N251" s="2">
        <v>8</v>
      </c>
      <c r="O251" s="2">
        <v>9</v>
      </c>
    </row>
    <row r="252" spans="1:15" x14ac:dyDescent="0.3">
      <c r="A252" s="2" t="s">
        <v>582</v>
      </c>
      <c r="B252" s="2" t="s">
        <v>583</v>
      </c>
      <c r="C252" s="2" t="s">
        <v>95</v>
      </c>
      <c r="D252" s="2">
        <v>24</v>
      </c>
      <c r="E252" s="2" t="s">
        <v>183</v>
      </c>
      <c r="F252" s="2" t="s">
        <v>73</v>
      </c>
      <c r="G252" s="2" t="s">
        <v>26</v>
      </c>
      <c r="H252" s="2">
        <v>3</v>
      </c>
      <c r="I252" s="9">
        <v>75</v>
      </c>
      <c r="J252" s="2">
        <v>1</v>
      </c>
      <c r="K252" s="3">
        <v>0.5</v>
      </c>
      <c r="L252" s="2" t="s">
        <v>65</v>
      </c>
      <c r="M252" s="2" t="s">
        <v>27</v>
      </c>
      <c r="N252" s="2">
        <v>2</v>
      </c>
      <c r="O252" s="2">
        <v>1</v>
      </c>
    </row>
    <row r="253" spans="1:15" x14ac:dyDescent="0.3">
      <c r="A253" s="2" t="s">
        <v>584</v>
      </c>
      <c r="B253" s="2" t="s">
        <v>585</v>
      </c>
      <c r="C253" s="2" t="s">
        <v>95</v>
      </c>
      <c r="D253" s="2">
        <v>48</v>
      </c>
      <c r="E253" s="2" t="s">
        <v>147</v>
      </c>
      <c r="F253" s="2" t="s">
        <v>148</v>
      </c>
      <c r="G253" s="2" t="s">
        <v>74</v>
      </c>
      <c r="H253" s="2">
        <v>8</v>
      </c>
      <c r="I253" s="9">
        <v>30</v>
      </c>
      <c r="J253" s="2">
        <v>5</v>
      </c>
      <c r="K253" s="3">
        <v>0.99</v>
      </c>
      <c r="L253" s="2" t="s">
        <v>19</v>
      </c>
      <c r="M253" s="2" t="s">
        <v>58</v>
      </c>
      <c r="N253" s="2">
        <v>6</v>
      </c>
      <c r="O253" s="2">
        <v>9</v>
      </c>
    </row>
    <row r="254" spans="1:15" x14ac:dyDescent="0.3">
      <c r="A254" s="2" t="s">
        <v>586</v>
      </c>
      <c r="B254" s="2" t="s">
        <v>587</v>
      </c>
      <c r="C254" s="2" t="s">
        <v>77</v>
      </c>
      <c r="D254" s="2">
        <v>39</v>
      </c>
      <c r="E254" s="2" t="s">
        <v>108</v>
      </c>
      <c r="F254" s="2" t="s">
        <v>109</v>
      </c>
      <c r="G254" s="2" t="s">
        <v>52</v>
      </c>
      <c r="H254" s="2">
        <v>12</v>
      </c>
      <c r="I254" s="9" t="s">
        <v>117</v>
      </c>
      <c r="J254" s="2">
        <v>2</v>
      </c>
      <c r="K254" s="3">
        <v>0.66</v>
      </c>
      <c r="L254" s="2" t="s">
        <v>19</v>
      </c>
      <c r="M254" s="2" t="s">
        <v>27</v>
      </c>
      <c r="N254" s="2">
        <v>15</v>
      </c>
      <c r="O254" s="2">
        <v>6</v>
      </c>
    </row>
    <row r="255" spans="1:15" x14ac:dyDescent="0.3">
      <c r="A255" s="2" t="s">
        <v>588</v>
      </c>
      <c r="B255" s="2" t="s">
        <v>589</v>
      </c>
      <c r="C255" s="2" t="s">
        <v>77</v>
      </c>
      <c r="D255" s="2">
        <v>57</v>
      </c>
      <c r="E255" s="2" t="s">
        <v>24</v>
      </c>
      <c r="F255" s="2" t="s">
        <v>25</v>
      </c>
      <c r="G255" s="2" t="s">
        <v>18</v>
      </c>
      <c r="H255" s="2">
        <v>30</v>
      </c>
      <c r="I255" s="9" t="s">
        <v>45</v>
      </c>
      <c r="J255" s="2">
        <v>4</v>
      </c>
      <c r="K255" s="3">
        <v>0.8</v>
      </c>
      <c r="L255" s="2" t="s">
        <v>46</v>
      </c>
      <c r="M255" s="2" t="s">
        <v>33</v>
      </c>
      <c r="N255" s="2">
        <v>13</v>
      </c>
      <c r="O255" s="2">
        <v>8</v>
      </c>
    </row>
    <row r="256" spans="1:15" x14ac:dyDescent="0.3">
      <c r="A256" s="2" t="s">
        <v>590</v>
      </c>
      <c r="B256" s="2" t="s">
        <v>591</v>
      </c>
      <c r="C256" s="2" t="s">
        <v>77</v>
      </c>
      <c r="D256" s="2">
        <v>44</v>
      </c>
      <c r="E256" s="2" t="s">
        <v>124</v>
      </c>
      <c r="F256" s="2" t="s">
        <v>25</v>
      </c>
      <c r="G256" s="2" t="s">
        <v>37</v>
      </c>
      <c r="H256" s="2">
        <v>21</v>
      </c>
      <c r="I256" s="9">
        <v>100</v>
      </c>
      <c r="J256" s="2">
        <v>4</v>
      </c>
      <c r="K256" s="3">
        <v>0.83</v>
      </c>
      <c r="L256" s="2" t="s">
        <v>69</v>
      </c>
      <c r="M256" s="2" t="s">
        <v>58</v>
      </c>
      <c r="N256" s="2">
        <v>17</v>
      </c>
      <c r="O256" s="2">
        <v>1</v>
      </c>
    </row>
    <row r="257" spans="1:15" x14ac:dyDescent="0.3">
      <c r="A257" s="2" t="s">
        <v>592</v>
      </c>
      <c r="B257" s="2" t="s">
        <v>593</v>
      </c>
      <c r="C257" s="2" t="s">
        <v>95</v>
      </c>
      <c r="D257" s="2">
        <v>37</v>
      </c>
      <c r="E257" s="2" t="s">
        <v>104</v>
      </c>
      <c r="F257" s="2" t="s">
        <v>105</v>
      </c>
      <c r="G257" s="2" t="s">
        <v>74</v>
      </c>
      <c r="H257" s="2">
        <v>17</v>
      </c>
      <c r="I257" s="9" t="s">
        <v>117</v>
      </c>
      <c r="J257" s="2">
        <v>4</v>
      </c>
      <c r="K257" s="3">
        <v>0.87</v>
      </c>
      <c r="L257" s="2" t="s">
        <v>65</v>
      </c>
      <c r="M257" s="2" t="s">
        <v>27</v>
      </c>
      <c r="N257" s="2">
        <v>16</v>
      </c>
      <c r="O257" s="2">
        <v>7</v>
      </c>
    </row>
    <row r="258" spans="1:15" x14ac:dyDescent="0.3">
      <c r="A258" s="2" t="s">
        <v>594</v>
      </c>
      <c r="B258" s="2" t="s">
        <v>595</v>
      </c>
      <c r="C258" s="2" t="s">
        <v>95</v>
      </c>
      <c r="D258" s="2">
        <v>50</v>
      </c>
      <c r="E258" s="2" t="s">
        <v>62</v>
      </c>
      <c r="F258" s="2" t="s">
        <v>63</v>
      </c>
      <c r="G258" s="2" t="s">
        <v>52</v>
      </c>
      <c r="H258" s="2">
        <v>9</v>
      </c>
      <c r="I258" s="9">
        <v>30</v>
      </c>
      <c r="J258" s="2">
        <v>3</v>
      </c>
      <c r="K258" s="3">
        <v>0.76</v>
      </c>
      <c r="L258" s="2" t="s">
        <v>46</v>
      </c>
      <c r="M258" s="2" t="s">
        <v>20</v>
      </c>
      <c r="N258" s="2">
        <v>15</v>
      </c>
      <c r="O258" s="2">
        <v>3</v>
      </c>
    </row>
    <row r="259" spans="1:15" x14ac:dyDescent="0.3">
      <c r="A259" s="2" t="s">
        <v>596</v>
      </c>
      <c r="B259" s="2" t="s">
        <v>597</v>
      </c>
      <c r="C259" s="2" t="s">
        <v>95</v>
      </c>
      <c r="D259" s="2">
        <v>50</v>
      </c>
      <c r="E259" s="2" t="s">
        <v>183</v>
      </c>
      <c r="F259" s="2" t="s">
        <v>73</v>
      </c>
      <c r="G259" s="2" t="s">
        <v>74</v>
      </c>
      <c r="H259" s="2">
        <v>2</v>
      </c>
      <c r="I259" s="9">
        <v>50</v>
      </c>
      <c r="J259" s="2">
        <v>4</v>
      </c>
      <c r="K259" s="3">
        <v>0.89</v>
      </c>
      <c r="L259" s="2" t="s">
        <v>69</v>
      </c>
      <c r="M259" s="2" t="s">
        <v>20</v>
      </c>
      <c r="N259" s="2">
        <v>3</v>
      </c>
      <c r="O259" s="2">
        <v>1</v>
      </c>
    </row>
    <row r="260" spans="1:15" x14ac:dyDescent="0.3">
      <c r="A260" s="2" t="s">
        <v>598</v>
      </c>
      <c r="B260" s="2" t="s">
        <v>599</v>
      </c>
      <c r="C260" s="2" t="s">
        <v>77</v>
      </c>
      <c r="D260" s="2">
        <v>28</v>
      </c>
      <c r="E260" s="2" t="s">
        <v>131</v>
      </c>
      <c r="F260" s="2" t="s">
        <v>132</v>
      </c>
      <c r="G260" s="2" t="s">
        <v>32</v>
      </c>
      <c r="H260" s="2">
        <v>1</v>
      </c>
      <c r="I260" s="9">
        <v>20</v>
      </c>
      <c r="J260" s="2">
        <v>5</v>
      </c>
      <c r="K260" s="3">
        <v>0.94</v>
      </c>
      <c r="L260" s="2" t="s">
        <v>46</v>
      </c>
      <c r="M260" s="2" t="s">
        <v>58</v>
      </c>
      <c r="N260" s="2">
        <v>3</v>
      </c>
      <c r="O260" s="2">
        <v>1</v>
      </c>
    </row>
    <row r="261" spans="1:15" x14ac:dyDescent="0.3">
      <c r="A261" s="2" t="s">
        <v>600</v>
      </c>
      <c r="B261" s="2" t="s">
        <v>601</v>
      </c>
      <c r="C261" s="2" t="s">
        <v>95</v>
      </c>
      <c r="D261" s="2">
        <v>48</v>
      </c>
      <c r="E261" s="2" t="s">
        <v>16</v>
      </c>
      <c r="F261" s="2" t="s">
        <v>17</v>
      </c>
      <c r="G261" s="2" t="s">
        <v>37</v>
      </c>
      <c r="H261" s="2">
        <v>23</v>
      </c>
      <c r="I261" s="9">
        <v>54.611398963730572</v>
      </c>
      <c r="J261" s="2">
        <v>2</v>
      </c>
      <c r="K261" s="3">
        <v>0.68</v>
      </c>
      <c r="L261" s="2" t="s">
        <v>19</v>
      </c>
      <c r="M261" s="2" t="s">
        <v>58</v>
      </c>
      <c r="N261" s="2">
        <v>14</v>
      </c>
      <c r="O261" s="2">
        <v>7</v>
      </c>
    </row>
    <row r="262" spans="1:15" x14ac:dyDescent="0.3">
      <c r="A262" s="2" t="s">
        <v>602</v>
      </c>
      <c r="B262" s="2" t="s">
        <v>603</v>
      </c>
      <c r="C262" s="2" t="s">
        <v>95</v>
      </c>
      <c r="D262" s="2">
        <v>42</v>
      </c>
      <c r="E262" s="2" t="s">
        <v>31</v>
      </c>
      <c r="F262" s="2" t="s">
        <v>31</v>
      </c>
      <c r="G262" s="2" t="s">
        <v>87</v>
      </c>
      <c r="H262" s="2">
        <v>8</v>
      </c>
      <c r="I262" s="9">
        <v>30</v>
      </c>
      <c r="J262" s="2">
        <v>5</v>
      </c>
      <c r="K262" s="3">
        <v>0.96</v>
      </c>
      <c r="L262" s="2" t="s">
        <v>69</v>
      </c>
      <c r="M262" s="2" t="s">
        <v>33</v>
      </c>
      <c r="N262" s="2">
        <v>9</v>
      </c>
      <c r="O262" s="2">
        <v>7</v>
      </c>
    </row>
    <row r="263" spans="1:15" x14ac:dyDescent="0.3">
      <c r="A263" s="2" t="s">
        <v>604</v>
      </c>
      <c r="B263" s="2" t="s">
        <v>605</v>
      </c>
      <c r="C263" s="2" t="s">
        <v>77</v>
      </c>
      <c r="D263" s="2">
        <v>37</v>
      </c>
      <c r="E263" s="2" t="s">
        <v>124</v>
      </c>
      <c r="F263" s="2" t="s">
        <v>25</v>
      </c>
      <c r="G263" s="2" t="s">
        <v>52</v>
      </c>
      <c r="H263" s="2">
        <v>6</v>
      </c>
      <c r="I263" s="9" t="s">
        <v>117</v>
      </c>
      <c r="J263" s="2">
        <v>5</v>
      </c>
      <c r="K263" s="3">
        <v>0.91</v>
      </c>
      <c r="L263" s="2" t="s">
        <v>46</v>
      </c>
      <c r="M263" s="2" t="s">
        <v>58</v>
      </c>
      <c r="N263" s="2">
        <v>6</v>
      </c>
      <c r="O263" s="2">
        <v>4</v>
      </c>
    </row>
    <row r="264" spans="1:15" x14ac:dyDescent="0.3">
      <c r="A264" s="2" t="s">
        <v>606</v>
      </c>
      <c r="B264" s="2" t="s">
        <v>607</v>
      </c>
      <c r="C264" s="2" t="s">
        <v>95</v>
      </c>
      <c r="D264" s="2">
        <v>21</v>
      </c>
      <c r="E264" s="2" t="s">
        <v>91</v>
      </c>
      <c r="F264" s="2" t="s">
        <v>92</v>
      </c>
      <c r="G264" s="2" t="s">
        <v>18</v>
      </c>
      <c r="H264" s="2">
        <v>1</v>
      </c>
      <c r="I264" s="9">
        <v>100</v>
      </c>
      <c r="J264" s="2">
        <v>5</v>
      </c>
      <c r="K264" s="3">
        <v>0.92</v>
      </c>
      <c r="L264" s="2" t="s">
        <v>46</v>
      </c>
      <c r="M264" s="2" t="s">
        <v>33</v>
      </c>
      <c r="N264" s="2">
        <v>5</v>
      </c>
      <c r="O264" s="2">
        <v>4</v>
      </c>
    </row>
    <row r="265" spans="1:15" x14ac:dyDescent="0.3">
      <c r="A265" s="2" t="s">
        <v>608</v>
      </c>
      <c r="B265" s="2" t="s">
        <v>609</v>
      </c>
      <c r="C265" s="2" t="s">
        <v>95</v>
      </c>
      <c r="D265" s="2">
        <v>50</v>
      </c>
      <c r="E265" s="2" t="s">
        <v>108</v>
      </c>
      <c r="F265" s="2" t="s">
        <v>109</v>
      </c>
      <c r="G265" s="2" t="s">
        <v>37</v>
      </c>
      <c r="H265" s="2">
        <v>19</v>
      </c>
      <c r="I265" s="9" t="s">
        <v>38</v>
      </c>
      <c r="J265" s="2">
        <v>4</v>
      </c>
      <c r="K265" s="3">
        <v>0.82</v>
      </c>
      <c r="L265" s="2" t="s">
        <v>65</v>
      </c>
      <c r="M265" s="2" t="s">
        <v>33</v>
      </c>
      <c r="N265" s="2">
        <v>15</v>
      </c>
      <c r="O265" s="2">
        <v>15</v>
      </c>
    </row>
    <row r="266" spans="1:15" x14ac:dyDescent="0.3">
      <c r="A266" s="2" t="s">
        <v>610</v>
      </c>
      <c r="B266" s="2" t="s">
        <v>611</v>
      </c>
      <c r="C266" s="2" t="s">
        <v>77</v>
      </c>
      <c r="D266" s="2">
        <v>22</v>
      </c>
      <c r="E266" s="2" t="s">
        <v>72</v>
      </c>
      <c r="F266" s="2" t="s">
        <v>73</v>
      </c>
      <c r="G266" s="2" t="s">
        <v>44</v>
      </c>
      <c r="H266" s="2">
        <v>2</v>
      </c>
      <c r="I266" s="9">
        <v>30</v>
      </c>
      <c r="J266" s="2">
        <v>1</v>
      </c>
      <c r="K266" s="3">
        <v>0.5</v>
      </c>
      <c r="L266" s="2" t="s">
        <v>46</v>
      </c>
      <c r="M266" s="2" t="s">
        <v>20</v>
      </c>
      <c r="N266" s="2">
        <v>2</v>
      </c>
      <c r="O266" s="2">
        <v>2</v>
      </c>
    </row>
    <row r="267" spans="1:15" x14ac:dyDescent="0.3">
      <c r="A267" s="2" t="s">
        <v>612</v>
      </c>
      <c r="B267" s="2" t="s">
        <v>613</v>
      </c>
      <c r="C267" s="2" t="s">
        <v>77</v>
      </c>
      <c r="D267" s="2">
        <v>39</v>
      </c>
      <c r="E267" s="2" t="s">
        <v>83</v>
      </c>
      <c r="F267" s="2" t="s">
        <v>84</v>
      </c>
      <c r="G267" s="2" t="s">
        <v>37</v>
      </c>
      <c r="H267" s="2">
        <v>21</v>
      </c>
      <c r="I267" s="9">
        <v>100</v>
      </c>
      <c r="J267" s="2">
        <v>5</v>
      </c>
      <c r="K267" s="3">
        <v>0.91</v>
      </c>
      <c r="L267" s="2" t="s">
        <v>69</v>
      </c>
      <c r="M267" s="2" t="s">
        <v>20</v>
      </c>
      <c r="N267" s="2">
        <v>17</v>
      </c>
      <c r="O267" s="2">
        <v>13</v>
      </c>
    </row>
    <row r="268" spans="1:15" x14ac:dyDescent="0.3">
      <c r="A268" s="2" t="s">
        <v>614</v>
      </c>
      <c r="B268" s="2" t="s">
        <v>615</v>
      </c>
      <c r="C268" s="2" t="s">
        <v>77</v>
      </c>
      <c r="D268" s="2">
        <v>25</v>
      </c>
      <c r="E268" s="2" t="s">
        <v>83</v>
      </c>
      <c r="F268" s="2" t="s">
        <v>84</v>
      </c>
      <c r="G268" s="2" t="s">
        <v>110</v>
      </c>
      <c r="H268" s="2">
        <v>3</v>
      </c>
      <c r="I268" s="9" t="s">
        <v>64</v>
      </c>
      <c r="J268" s="2">
        <v>4</v>
      </c>
      <c r="K268" s="3">
        <v>0.86</v>
      </c>
      <c r="L268" s="2" t="s">
        <v>69</v>
      </c>
      <c r="M268" s="2" t="s">
        <v>27</v>
      </c>
      <c r="N268" s="2">
        <v>3</v>
      </c>
      <c r="O268" s="2">
        <v>2</v>
      </c>
    </row>
    <row r="269" spans="1:15" x14ac:dyDescent="0.3">
      <c r="A269" s="2" t="s">
        <v>616</v>
      </c>
      <c r="B269" s="2" t="s">
        <v>617</v>
      </c>
      <c r="C269" s="2" t="s">
        <v>77</v>
      </c>
      <c r="D269" s="2">
        <v>47</v>
      </c>
      <c r="E269" s="2" t="s">
        <v>147</v>
      </c>
      <c r="F269" s="2" t="s">
        <v>148</v>
      </c>
      <c r="G269" s="2" t="s">
        <v>26</v>
      </c>
      <c r="H269" s="2">
        <v>14</v>
      </c>
      <c r="I269" s="9">
        <v>54.391534391534393</v>
      </c>
      <c r="J269" s="2">
        <v>2</v>
      </c>
      <c r="K269" s="3">
        <v>0.69</v>
      </c>
      <c r="L269" s="2" t="s">
        <v>65</v>
      </c>
      <c r="M269" s="2" t="s">
        <v>20</v>
      </c>
      <c r="N269" s="2">
        <v>12</v>
      </c>
      <c r="O269" s="2">
        <v>13</v>
      </c>
    </row>
    <row r="270" spans="1:15" x14ac:dyDescent="0.3">
      <c r="A270" s="2" t="s">
        <v>618</v>
      </c>
      <c r="B270" s="2" t="s">
        <v>619</v>
      </c>
      <c r="C270" s="2" t="s">
        <v>77</v>
      </c>
      <c r="D270" s="2">
        <v>35</v>
      </c>
      <c r="E270" s="2" t="s">
        <v>147</v>
      </c>
      <c r="F270" s="2" t="s">
        <v>148</v>
      </c>
      <c r="G270" s="2" t="s">
        <v>74</v>
      </c>
      <c r="H270" s="2">
        <v>10</v>
      </c>
      <c r="I270" s="9" t="s">
        <v>222</v>
      </c>
      <c r="J270" s="2">
        <v>4</v>
      </c>
      <c r="K270" s="3">
        <v>0.84</v>
      </c>
      <c r="L270" s="2" t="s">
        <v>69</v>
      </c>
      <c r="M270" s="2" t="s">
        <v>20</v>
      </c>
      <c r="N270" s="2">
        <v>7</v>
      </c>
      <c r="O270" s="2">
        <v>13</v>
      </c>
    </row>
    <row r="271" spans="1:15" x14ac:dyDescent="0.3">
      <c r="A271" s="2" t="s">
        <v>620</v>
      </c>
      <c r="B271" s="2" t="s">
        <v>621</v>
      </c>
      <c r="C271" s="2" t="s">
        <v>77</v>
      </c>
      <c r="D271" s="2">
        <v>41</v>
      </c>
      <c r="E271" s="2" t="s">
        <v>68</v>
      </c>
      <c r="F271" s="2" t="s">
        <v>25</v>
      </c>
      <c r="G271" s="2" t="s">
        <v>78</v>
      </c>
      <c r="H271" s="2">
        <v>5</v>
      </c>
      <c r="I271" s="9">
        <v>100</v>
      </c>
      <c r="J271" s="2">
        <v>2</v>
      </c>
      <c r="K271" s="3">
        <v>0.6</v>
      </c>
      <c r="L271" s="2" t="s">
        <v>19</v>
      </c>
      <c r="M271" s="2" t="s">
        <v>58</v>
      </c>
      <c r="N271" s="2">
        <v>5</v>
      </c>
      <c r="O271" s="2">
        <v>2</v>
      </c>
    </row>
    <row r="272" spans="1:15" x14ac:dyDescent="0.3">
      <c r="A272" s="2" t="s">
        <v>622</v>
      </c>
      <c r="B272" s="2" t="s">
        <v>623</v>
      </c>
      <c r="C272" s="2" t="s">
        <v>95</v>
      </c>
      <c r="D272" s="2">
        <v>35</v>
      </c>
      <c r="E272" s="2" t="s">
        <v>42</v>
      </c>
      <c r="F272" s="2" t="s">
        <v>43</v>
      </c>
      <c r="G272" s="2" t="s">
        <v>18</v>
      </c>
      <c r="H272" s="2">
        <v>6</v>
      </c>
      <c r="I272" s="9" t="s">
        <v>163</v>
      </c>
      <c r="J272" s="2">
        <v>5</v>
      </c>
      <c r="K272" s="3">
        <v>0.97</v>
      </c>
      <c r="L272" s="2" t="s">
        <v>69</v>
      </c>
      <c r="M272" s="2" t="s">
        <v>20</v>
      </c>
      <c r="N272" s="2">
        <v>13</v>
      </c>
      <c r="O272" s="2">
        <v>6</v>
      </c>
    </row>
    <row r="273" spans="1:15" x14ac:dyDescent="0.3">
      <c r="A273" s="2" t="s">
        <v>624</v>
      </c>
      <c r="B273" s="2" t="s">
        <v>625</v>
      </c>
      <c r="C273" s="2" t="s">
        <v>95</v>
      </c>
      <c r="D273" s="2">
        <v>59</v>
      </c>
      <c r="E273" s="2" t="s">
        <v>131</v>
      </c>
      <c r="F273" s="2" t="s">
        <v>132</v>
      </c>
      <c r="G273" s="2" t="s">
        <v>37</v>
      </c>
      <c r="H273" s="2">
        <v>21</v>
      </c>
      <c r="I273" s="9">
        <v>100</v>
      </c>
      <c r="J273" s="2">
        <v>3</v>
      </c>
      <c r="K273" s="3">
        <v>0.7</v>
      </c>
      <c r="L273" s="2" t="s">
        <v>69</v>
      </c>
      <c r="M273" s="2" t="s">
        <v>27</v>
      </c>
      <c r="N273" s="2">
        <v>17</v>
      </c>
      <c r="O273" s="2">
        <v>7</v>
      </c>
    </row>
    <row r="274" spans="1:15" x14ac:dyDescent="0.3">
      <c r="A274" s="2" t="s">
        <v>626</v>
      </c>
      <c r="B274" s="2" t="s">
        <v>627</v>
      </c>
      <c r="C274" s="2" t="s">
        <v>77</v>
      </c>
      <c r="D274" s="2">
        <v>26</v>
      </c>
      <c r="E274" s="2" t="s">
        <v>168</v>
      </c>
      <c r="F274" s="2" t="s">
        <v>169</v>
      </c>
      <c r="G274" s="2" t="s">
        <v>74</v>
      </c>
      <c r="H274" s="2">
        <v>4</v>
      </c>
      <c r="I274" s="9" t="s">
        <v>222</v>
      </c>
      <c r="J274" s="2">
        <v>4</v>
      </c>
      <c r="K274" s="3">
        <v>0.81</v>
      </c>
      <c r="L274" s="2" t="s">
        <v>46</v>
      </c>
      <c r="M274" s="2" t="s">
        <v>58</v>
      </c>
      <c r="N274" s="2">
        <v>5</v>
      </c>
      <c r="O274" s="2">
        <v>2</v>
      </c>
    </row>
    <row r="275" spans="1:15" x14ac:dyDescent="0.3">
      <c r="A275" s="2" t="s">
        <v>628</v>
      </c>
      <c r="B275" s="2" t="s">
        <v>629</v>
      </c>
      <c r="C275" s="2" t="s">
        <v>95</v>
      </c>
      <c r="D275" s="2">
        <v>44</v>
      </c>
      <c r="E275" s="2" t="s">
        <v>120</v>
      </c>
      <c r="F275" s="2" t="s">
        <v>121</v>
      </c>
      <c r="G275" s="2" t="s">
        <v>110</v>
      </c>
      <c r="H275" s="2">
        <v>18</v>
      </c>
      <c r="I275" s="9">
        <v>20</v>
      </c>
      <c r="J275" s="2">
        <v>4</v>
      </c>
      <c r="K275" s="3">
        <v>0.88</v>
      </c>
      <c r="L275" s="2" t="s">
        <v>46</v>
      </c>
      <c r="M275" s="2" t="s">
        <v>27</v>
      </c>
      <c r="N275" s="2">
        <v>15</v>
      </c>
      <c r="O275" s="2">
        <v>10</v>
      </c>
    </row>
    <row r="276" spans="1:15" x14ac:dyDescent="0.3">
      <c r="A276" s="2" t="s">
        <v>630</v>
      </c>
      <c r="B276" s="2" t="s">
        <v>631</v>
      </c>
      <c r="C276" s="2" t="s">
        <v>77</v>
      </c>
      <c r="D276" s="2">
        <v>31</v>
      </c>
      <c r="E276" s="2" t="s">
        <v>147</v>
      </c>
      <c r="F276" s="2" t="s">
        <v>148</v>
      </c>
      <c r="G276" s="2" t="s">
        <v>74</v>
      </c>
      <c r="H276" s="2">
        <v>12</v>
      </c>
      <c r="I276" s="9" t="s">
        <v>38</v>
      </c>
      <c r="J276" s="2">
        <v>5</v>
      </c>
      <c r="K276" s="3">
        <v>1</v>
      </c>
      <c r="L276" s="2" t="s">
        <v>69</v>
      </c>
      <c r="M276" s="2" t="s">
        <v>20</v>
      </c>
      <c r="N276" s="2">
        <v>15</v>
      </c>
      <c r="O276" s="2">
        <v>13</v>
      </c>
    </row>
    <row r="277" spans="1:15" x14ac:dyDescent="0.3">
      <c r="A277" s="2" t="s">
        <v>632</v>
      </c>
      <c r="B277" s="2" t="s">
        <v>633</v>
      </c>
      <c r="C277" s="2" t="s">
        <v>95</v>
      </c>
      <c r="D277" s="2">
        <v>60</v>
      </c>
      <c r="E277" s="2" t="s">
        <v>62</v>
      </c>
      <c r="F277" s="2" t="s">
        <v>63</v>
      </c>
      <c r="G277" s="2" t="s">
        <v>52</v>
      </c>
      <c r="H277" s="2">
        <v>6</v>
      </c>
      <c r="I277" s="9">
        <v>54.086021505376344</v>
      </c>
      <c r="J277" s="2">
        <v>5</v>
      </c>
      <c r="K277" s="3">
        <v>0.95</v>
      </c>
      <c r="L277" s="2" t="s">
        <v>65</v>
      </c>
      <c r="M277" s="2" t="s">
        <v>27</v>
      </c>
      <c r="N277" s="2">
        <v>10</v>
      </c>
      <c r="O277" s="2">
        <v>5</v>
      </c>
    </row>
    <row r="278" spans="1:15" x14ac:dyDescent="0.3">
      <c r="A278" s="2" t="s">
        <v>634</v>
      </c>
      <c r="B278" s="2" t="s">
        <v>635</v>
      </c>
      <c r="C278" s="2" t="s">
        <v>77</v>
      </c>
      <c r="D278" s="2">
        <v>23</v>
      </c>
      <c r="E278" s="2" t="s">
        <v>68</v>
      </c>
      <c r="F278" s="2" t="s">
        <v>25</v>
      </c>
      <c r="G278" s="2" t="s">
        <v>18</v>
      </c>
      <c r="H278" s="2">
        <v>4</v>
      </c>
      <c r="I278" s="9" t="s">
        <v>117</v>
      </c>
      <c r="J278" s="2">
        <v>3</v>
      </c>
      <c r="K278" s="3">
        <v>0.71</v>
      </c>
      <c r="L278" s="2" t="s">
        <v>46</v>
      </c>
      <c r="M278" s="2" t="s">
        <v>58</v>
      </c>
      <c r="N278" s="2">
        <v>3</v>
      </c>
      <c r="O278" s="2">
        <v>5</v>
      </c>
    </row>
    <row r="279" spans="1:15" x14ac:dyDescent="0.3">
      <c r="A279" s="2" t="s">
        <v>636</v>
      </c>
      <c r="B279" s="2" t="s">
        <v>637</v>
      </c>
      <c r="C279" s="2" t="s">
        <v>95</v>
      </c>
      <c r="D279" s="2">
        <v>42</v>
      </c>
      <c r="E279" s="2" t="s">
        <v>50</v>
      </c>
      <c r="F279" s="2" t="s">
        <v>51</v>
      </c>
      <c r="G279" s="2" t="s">
        <v>74</v>
      </c>
      <c r="H279" s="2">
        <v>13</v>
      </c>
      <c r="I279" s="9" t="s">
        <v>117</v>
      </c>
      <c r="J279" s="2">
        <v>4</v>
      </c>
      <c r="K279" s="3">
        <v>0.85</v>
      </c>
      <c r="L279" s="2" t="s">
        <v>65</v>
      </c>
      <c r="M279" s="2" t="s">
        <v>33</v>
      </c>
      <c r="N279" s="2">
        <v>9</v>
      </c>
      <c r="O279" s="2">
        <v>3</v>
      </c>
    </row>
    <row r="280" spans="1:15" x14ac:dyDescent="0.3">
      <c r="A280" s="2" t="s">
        <v>638</v>
      </c>
      <c r="B280" s="2" t="s">
        <v>639</v>
      </c>
      <c r="C280" s="2" t="s">
        <v>77</v>
      </c>
      <c r="D280" s="2">
        <v>48</v>
      </c>
      <c r="E280" s="2" t="s">
        <v>91</v>
      </c>
      <c r="F280" s="2" t="s">
        <v>92</v>
      </c>
      <c r="G280" s="2" t="s">
        <v>26</v>
      </c>
      <c r="H280" s="2">
        <v>6</v>
      </c>
      <c r="I280" s="9">
        <v>30</v>
      </c>
      <c r="J280" s="2">
        <v>5</v>
      </c>
      <c r="K280" s="3">
        <v>0.96</v>
      </c>
      <c r="L280" s="2" t="s">
        <v>69</v>
      </c>
      <c r="M280" s="2" t="s">
        <v>27</v>
      </c>
      <c r="N280" s="2">
        <v>11</v>
      </c>
      <c r="O280" s="2">
        <v>7</v>
      </c>
    </row>
    <row r="281" spans="1:15" x14ac:dyDescent="0.3">
      <c r="A281" s="2" t="s">
        <v>640</v>
      </c>
      <c r="B281" s="2" t="s">
        <v>641</v>
      </c>
      <c r="C281" s="2" t="s">
        <v>95</v>
      </c>
      <c r="D281" s="2">
        <v>42</v>
      </c>
      <c r="E281" s="2" t="s">
        <v>42</v>
      </c>
      <c r="F281" s="2" t="s">
        <v>43</v>
      </c>
      <c r="G281" s="2" t="s">
        <v>32</v>
      </c>
      <c r="H281" s="2">
        <v>10</v>
      </c>
      <c r="I281" s="9" t="s">
        <v>117</v>
      </c>
      <c r="J281" s="2">
        <v>5</v>
      </c>
      <c r="K281" s="3">
        <v>0.92</v>
      </c>
      <c r="L281" s="2" t="s">
        <v>69</v>
      </c>
      <c r="M281" s="2" t="s">
        <v>27</v>
      </c>
      <c r="N281" s="2">
        <v>11</v>
      </c>
      <c r="O281" s="2">
        <v>6</v>
      </c>
    </row>
    <row r="282" spans="1:15" x14ac:dyDescent="0.3">
      <c r="A282" s="2" t="s">
        <v>642</v>
      </c>
      <c r="B282" s="2" t="s">
        <v>643</v>
      </c>
      <c r="C282" s="2" t="s">
        <v>95</v>
      </c>
      <c r="D282" s="2">
        <v>52</v>
      </c>
      <c r="E282" s="2" t="s">
        <v>108</v>
      </c>
      <c r="F282" s="2" t="s">
        <v>109</v>
      </c>
      <c r="G282" s="2" t="s">
        <v>78</v>
      </c>
      <c r="H282" s="2">
        <v>20</v>
      </c>
      <c r="I282" s="9">
        <v>50</v>
      </c>
      <c r="J282" s="2">
        <v>3</v>
      </c>
      <c r="K282" s="3">
        <v>0.79</v>
      </c>
      <c r="L282" s="2" t="s">
        <v>19</v>
      </c>
      <c r="M282" s="2" t="s">
        <v>58</v>
      </c>
      <c r="N282" s="2">
        <v>14</v>
      </c>
      <c r="O282" s="2">
        <v>10</v>
      </c>
    </row>
    <row r="283" spans="1:15" x14ac:dyDescent="0.3">
      <c r="A283" s="2" t="s">
        <v>644</v>
      </c>
      <c r="B283" s="2" t="s">
        <v>645</v>
      </c>
      <c r="C283" s="2" t="s">
        <v>77</v>
      </c>
      <c r="D283" s="2">
        <v>55</v>
      </c>
      <c r="E283" s="2" t="s">
        <v>83</v>
      </c>
      <c r="F283" s="2" t="s">
        <v>84</v>
      </c>
      <c r="G283" s="2" t="s">
        <v>37</v>
      </c>
      <c r="H283" s="2">
        <v>20</v>
      </c>
      <c r="I283" s="9">
        <v>75</v>
      </c>
      <c r="J283" s="2">
        <v>1</v>
      </c>
      <c r="K283" s="3">
        <v>0.5</v>
      </c>
      <c r="L283" s="2" t="s">
        <v>46</v>
      </c>
      <c r="M283" s="2" t="s">
        <v>58</v>
      </c>
      <c r="N283" s="2">
        <v>12</v>
      </c>
      <c r="O283" s="2">
        <v>11</v>
      </c>
    </row>
    <row r="284" spans="1:15" x14ac:dyDescent="0.3">
      <c r="A284" s="2" t="s">
        <v>646</v>
      </c>
      <c r="B284" s="2" t="s">
        <v>647</v>
      </c>
      <c r="C284" s="2" t="s">
        <v>77</v>
      </c>
      <c r="D284" s="2">
        <v>58</v>
      </c>
      <c r="E284" s="2" t="s">
        <v>147</v>
      </c>
      <c r="F284" s="2" t="s">
        <v>148</v>
      </c>
      <c r="G284" s="2" t="s">
        <v>78</v>
      </c>
      <c r="H284" s="2">
        <v>11</v>
      </c>
      <c r="I284" s="9">
        <v>50</v>
      </c>
      <c r="J284" s="2">
        <v>1</v>
      </c>
      <c r="K284" s="3">
        <v>0.5</v>
      </c>
      <c r="L284" s="2" t="s">
        <v>69</v>
      </c>
      <c r="M284" s="2" t="s">
        <v>27</v>
      </c>
      <c r="N284" s="2">
        <v>8</v>
      </c>
      <c r="O284" s="2">
        <v>5</v>
      </c>
    </row>
    <row r="285" spans="1:15" x14ac:dyDescent="0.3">
      <c r="A285" s="2" t="s">
        <v>648</v>
      </c>
      <c r="B285" s="2" t="s">
        <v>649</v>
      </c>
      <c r="C285" s="2" t="s">
        <v>77</v>
      </c>
      <c r="D285" s="2">
        <v>46</v>
      </c>
      <c r="E285" s="2" t="s">
        <v>108</v>
      </c>
      <c r="F285" s="2" t="s">
        <v>109</v>
      </c>
      <c r="G285" s="2" t="s">
        <v>110</v>
      </c>
      <c r="H285" s="2">
        <v>12</v>
      </c>
      <c r="I285" s="9">
        <v>20</v>
      </c>
      <c r="J285" s="2">
        <v>4</v>
      </c>
      <c r="K285" s="3">
        <v>0.89</v>
      </c>
      <c r="L285" s="2" t="s">
        <v>19</v>
      </c>
      <c r="M285" s="2" t="s">
        <v>20</v>
      </c>
      <c r="N285" s="2">
        <v>10</v>
      </c>
      <c r="O285" s="2">
        <v>4</v>
      </c>
    </row>
    <row r="286" spans="1:15" x14ac:dyDescent="0.3">
      <c r="A286" s="2" t="s">
        <v>650</v>
      </c>
      <c r="B286" s="2" t="s">
        <v>651</v>
      </c>
      <c r="C286" s="2" t="s">
        <v>77</v>
      </c>
      <c r="D286" s="2">
        <v>45</v>
      </c>
      <c r="E286" s="2" t="s">
        <v>183</v>
      </c>
      <c r="F286" s="2" t="s">
        <v>73</v>
      </c>
      <c r="G286" s="2" t="s">
        <v>110</v>
      </c>
      <c r="H286" s="2">
        <v>1</v>
      </c>
      <c r="I286" s="9">
        <v>100</v>
      </c>
      <c r="J286" s="2">
        <v>5</v>
      </c>
      <c r="K286" s="3">
        <v>1</v>
      </c>
      <c r="L286" s="2" t="s">
        <v>46</v>
      </c>
      <c r="M286" s="2" t="s">
        <v>27</v>
      </c>
      <c r="N286" s="2">
        <v>4</v>
      </c>
      <c r="O286" s="2">
        <v>4</v>
      </c>
    </row>
    <row r="287" spans="1:15" x14ac:dyDescent="0.3">
      <c r="A287" s="2" t="s">
        <v>652</v>
      </c>
      <c r="B287" s="2" t="s">
        <v>653</v>
      </c>
      <c r="C287" s="2" t="s">
        <v>77</v>
      </c>
      <c r="D287" s="2">
        <v>56</v>
      </c>
      <c r="E287" s="2" t="s">
        <v>91</v>
      </c>
      <c r="F287" s="2" t="s">
        <v>92</v>
      </c>
      <c r="G287" s="2" t="s">
        <v>110</v>
      </c>
      <c r="H287" s="2">
        <v>2</v>
      </c>
      <c r="I287" s="9">
        <v>30</v>
      </c>
      <c r="J287" s="2">
        <v>4</v>
      </c>
      <c r="K287" s="3">
        <v>0.81</v>
      </c>
      <c r="L287" s="2" t="s">
        <v>69</v>
      </c>
      <c r="M287" s="2" t="s">
        <v>58</v>
      </c>
      <c r="N287" s="2">
        <v>1</v>
      </c>
      <c r="O287" s="2">
        <v>1</v>
      </c>
    </row>
    <row r="288" spans="1:15" x14ac:dyDescent="0.3">
      <c r="A288" s="2" t="s">
        <v>654</v>
      </c>
      <c r="B288" s="2" t="s">
        <v>655</v>
      </c>
      <c r="C288" s="2" t="s">
        <v>95</v>
      </c>
      <c r="D288" s="2">
        <v>44</v>
      </c>
      <c r="E288" s="2" t="s">
        <v>68</v>
      </c>
      <c r="F288" s="2" t="s">
        <v>25</v>
      </c>
      <c r="G288" s="2" t="s">
        <v>18</v>
      </c>
      <c r="H288" s="2">
        <v>13</v>
      </c>
      <c r="I288" s="9">
        <v>100</v>
      </c>
      <c r="J288" s="2">
        <v>5</v>
      </c>
      <c r="K288" s="3">
        <v>0.95</v>
      </c>
      <c r="L288" s="2" t="s">
        <v>69</v>
      </c>
      <c r="M288" s="2" t="s">
        <v>33</v>
      </c>
      <c r="N288" s="2">
        <v>10</v>
      </c>
      <c r="O288" s="2">
        <v>3</v>
      </c>
    </row>
    <row r="289" spans="1:15" x14ac:dyDescent="0.3">
      <c r="A289" s="2" t="s">
        <v>656</v>
      </c>
      <c r="B289" s="2" t="s">
        <v>657</v>
      </c>
      <c r="C289" s="2" t="s">
        <v>95</v>
      </c>
      <c r="D289" s="2">
        <v>46</v>
      </c>
      <c r="E289" s="2" t="s">
        <v>50</v>
      </c>
      <c r="F289" s="2" t="s">
        <v>51</v>
      </c>
      <c r="G289" s="2" t="s">
        <v>74</v>
      </c>
      <c r="H289" s="2">
        <v>0</v>
      </c>
      <c r="I289" s="9">
        <v>53.960674157303373</v>
      </c>
      <c r="J289" s="2">
        <v>4</v>
      </c>
      <c r="K289" s="3">
        <v>0.88</v>
      </c>
      <c r="L289" s="2" t="s">
        <v>46</v>
      </c>
      <c r="M289" s="2" t="s">
        <v>33</v>
      </c>
      <c r="N289" s="2">
        <v>3</v>
      </c>
      <c r="O289" s="2">
        <v>2</v>
      </c>
    </row>
    <row r="290" spans="1:15" x14ac:dyDescent="0.3">
      <c r="A290" s="2" t="s">
        <v>658</v>
      </c>
      <c r="B290" s="2" t="s">
        <v>659</v>
      </c>
      <c r="C290" s="2" t="s">
        <v>77</v>
      </c>
      <c r="D290" s="2">
        <v>27</v>
      </c>
      <c r="E290" s="2" t="s">
        <v>83</v>
      </c>
      <c r="F290" s="2" t="s">
        <v>84</v>
      </c>
      <c r="G290" s="2" t="s">
        <v>37</v>
      </c>
      <c r="H290" s="2">
        <v>7</v>
      </c>
      <c r="I290" s="9">
        <v>30</v>
      </c>
      <c r="J290" s="2">
        <v>2</v>
      </c>
      <c r="K290" s="3">
        <v>0.66</v>
      </c>
      <c r="L290" s="2" t="s">
        <v>46</v>
      </c>
      <c r="M290" s="2" t="s">
        <v>20</v>
      </c>
      <c r="N290" s="2">
        <v>12</v>
      </c>
      <c r="O290" s="2">
        <v>8</v>
      </c>
    </row>
    <row r="291" spans="1:15" x14ac:dyDescent="0.3">
      <c r="A291" s="2" t="s">
        <v>660</v>
      </c>
      <c r="B291" s="2" t="s">
        <v>661</v>
      </c>
      <c r="C291" s="2" t="s">
        <v>77</v>
      </c>
      <c r="D291" s="2">
        <v>49</v>
      </c>
      <c r="E291" s="2" t="s">
        <v>91</v>
      </c>
      <c r="F291" s="2" t="s">
        <v>92</v>
      </c>
      <c r="G291" s="2" t="s">
        <v>18</v>
      </c>
      <c r="H291" s="2">
        <v>13</v>
      </c>
      <c r="I291" s="9">
        <v>100</v>
      </c>
      <c r="J291" s="2">
        <v>4</v>
      </c>
      <c r="K291" s="3">
        <v>0.84</v>
      </c>
      <c r="L291" s="2" t="s">
        <v>46</v>
      </c>
      <c r="M291" s="2" t="s">
        <v>27</v>
      </c>
      <c r="N291" s="2">
        <v>7</v>
      </c>
      <c r="O291" s="2">
        <v>4</v>
      </c>
    </row>
    <row r="292" spans="1:15" x14ac:dyDescent="0.3">
      <c r="A292" s="2" t="s">
        <v>662</v>
      </c>
      <c r="B292" s="2" t="s">
        <v>663</v>
      </c>
      <c r="C292" s="2" t="s">
        <v>95</v>
      </c>
      <c r="D292" s="2">
        <v>53</v>
      </c>
      <c r="E292" s="2" t="s">
        <v>172</v>
      </c>
      <c r="F292" s="2" t="s">
        <v>73</v>
      </c>
      <c r="G292" s="2" t="s">
        <v>37</v>
      </c>
      <c r="H292" s="2">
        <v>21</v>
      </c>
      <c r="I292" s="9" t="s">
        <v>64</v>
      </c>
      <c r="J292" s="2">
        <v>1</v>
      </c>
      <c r="K292" s="3">
        <v>0.5</v>
      </c>
      <c r="L292" s="2" t="s">
        <v>69</v>
      </c>
      <c r="M292" s="2" t="s">
        <v>33</v>
      </c>
      <c r="N292" s="2">
        <v>20</v>
      </c>
      <c r="O292" s="2">
        <v>7</v>
      </c>
    </row>
    <row r="293" spans="1:15" x14ac:dyDescent="0.3">
      <c r="A293" s="2" t="s">
        <v>664</v>
      </c>
      <c r="B293" s="2" t="s">
        <v>665</v>
      </c>
      <c r="C293" s="2" t="s">
        <v>95</v>
      </c>
      <c r="D293" s="2">
        <v>56</v>
      </c>
      <c r="E293" s="2" t="s">
        <v>24</v>
      </c>
      <c r="F293" s="2" t="s">
        <v>25</v>
      </c>
      <c r="G293" s="2" t="s">
        <v>37</v>
      </c>
      <c r="H293" s="2">
        <v>19</v>
      </c>
      <c r="I293" s="9">
        <v>40</v>
      </c>
      <c r="J293" s="2">
        <v>4</v>
      </c>
      <c r="K293" s="3">
        <v>0.82</v>
      </c>
      <c r="L293" s="2" t="s">
        <v>69</v>
      </c>
      <c r="M293" s="2" t="s">
        <v>27</v>
      </c>
      <c r="N293" s="2">
        <v>11</v>
      </c>
      <c r="O293" s="2">
        <v>3</v>
      </c>
    </row>
    <row r="294" spans="1:15" x14ac:dyDescent="0.3">
      <c r="A294" s="2" t="s">
        <v>666</v>
      </c>
      <c r="B294" s="2" t="s">
        <v>667</v>
      </c>
      <c r="C294" s="2" t="s">
        <v>77</v>
      </c>
      <c r="D294" s="2">
        <v>56</v>
      </c>
      <c r="E294" s="2" t="s">
        <v>68</v>
      </c>
      <c r="F294" s="2" t="s">
        <v>25</v>
      </c>
      <c r="G294" s="2" t="s">
        <v>87</v>
      </c>
      <c r="H294" s="2">
        <v>34</v>
      </c>
      <c r="I294" s="9">
        <v>53.914285714285711</v>
      </c>
      <c r="J294" s="2">
        <v>4</v>
      </c>
      <c r="K294" s="3">
        <v>0.84</v>
      </c>
      <c r="L294" s="2" t="s">
        <v>19</v>
      </c>
      <c r="M294" s="2" t="s">
        <v>58</v>
      </c>
      <c r="N294" s="2">
        <v>17</v>
      </c>
      <c r="O294" s="2">
        <v>11</v>
      </c>
    </row>
    <row r="295" spans="1:15" x14ac:dyDescent="0.3">
      <c r="A295" s="2" t="s">
        <v>668</v>
      </c>
      <c r="B295" s="2" t="s">
        <v>669</v>
      </c>
      <c r="C295" s="2" t="s">
        <v>95</v>
      </c>
      <c r="D295" s="2">
        <v>38</v>
      </c>
      <c r="E295" s="2" t="s">
        <v>147</v>
      </c>
      <c r="F295" s="2" t="s">
        <v>148</v>
      </c>
      <c r="G295" s="2" t="s">
        <v>52</v>
      </c>
      <c r="H295" s="2">
        <v>3</v>
      </c>
      <c r="I295" s="9">
        <v>100</v>
      </c>
      <c r="J295" s="2">
        <v>3</v>
      </c>
      <c r="K295" s="3">
        <v>0.73</v>
      </c>
      <c r="L295" s="2" t="s">
        <v>65</v>
      </c>
      <c r="M295" s="2" t="s">
        <v>33</v>
      </c>
      <c r="N295" s="2">
        <v>3</v>
      </c>
      <c r="O295" s="2">
        <v>5</v>
      </c>
    </row>
    <row r="296" spans="1:15" x14ac:dyDescent="0.3">
      <c r="A296" s="2" t="s">
        <v>670</v>
      </c>
      <c r="B296" s="2" t="s">
        <v>671</v>
      </c>
      <c r="C296" s="2" t="s">
        <v>95</v>
      </c>
      <c r="D296" s="2">
        <v>20</v>
      </c>
      <c r="E296" s="2" t="s">
        <v>108</v>
      </c>
      <c r="F296" s="2" t="s">
        <v>109</v>
      </c>
      <c r="G296" s="2" t="s">
        <v>26</v>
      </c>
      <c r="H296" s="2">
        <v>0</v>
      </c>
      <c r="I296" s="9">
        <v>30</v>
      </c>
      <c r="J296" s="2">
        <v>5</v>
      </c>
      <c r="K296" s="3">
        <v>0.93</v>
      </c>
      <c r="L296" s="2" t="s">
        <v>46</v>
      </c>
      <c r="M296" s="2" t="s">
        <v>20</v>
      </c>
      <c r="N296" s="2">
        <v>5</v>
      </c>
      <c r="O296" s="2">
        <v>2</v>
      </c>
    </row>
    <row r="297" spans="1:15" x14ac:dyDescent="0.3">
      <c r="A297" s="2" t="s">
        <v>672</v>
      </c>
      <c r="B297" s="2" t="s">
        <v>673</v>
      </c>
      <c r="C297" s="2" t="s">
        <v>77</v>
      </c>
      <c r="D297" s="2">
        <v>38</v>
      </c>
      <c r="E297" s="2" t="s">
        <v>124</v>
      </c>
      <c r="F297" s="2" t="s">
        <v>25</v>
      </c>
      <c r="G297" s="2" t="s">
        <v>110</v>
      </c>
      <c r="H297" s="2">
        <v>20</v>
      </c>
      <c r="I297" s="9">
        <v>50</v>
      </c>
      <c r="J297" s="2">
        <v>2</v>
      </c>
      <c r="K297" s="3">
        <v>0.64</v>
      </c>
      <c r="L297" s="2" t="s">
        <v>69</v>
      </c>
      <c r="M297" s="2" t="s">
        <v>58</v>
      </c>
      <c r="N297" s="2">
        <v>10</v>
      </c>
      <c r="O297" s="2">
        <v>2</v>
      </c>
    </row>
    <row r="298" spans="1:15" x14ac:dyDescent="0.3">
      <c r="A298" s="2" t="s">
        <v>674</v>
      </c>
      <c r="B298" s="2" t="s">
        <v>675</v>
      </c>
      <c r="C298" s="2" t="s">
        <v>77</v>
      </c>
      <c r="D298" s="2">
        <v>41</v>
      </c>
      <c r="E298" s="2" t="s">
        <v>42</v>
      </c>
      <c r="F298" s="2" t="s">
        <v>43</v>
      </c>
      <c r="G298" s="2" t="s">
        <v>26</v>
      </c>
      <c r="H298" s="2">
        <v>6</v>
      </c>
      <c r="I298" s="9">
        <v>40</v>
      </c>
      <c r="J298" s="2">
        <v>3</v>
      </c>
      <c r="K298" s="3">
        <v>0.76</v>
      </c>
      <c r="L298" s="2" t="s">
        <v>69</v>
      </c>
      <c r="M298" s="2" t="s">
        <v>20</v>
      </c>
      <c r="N298" s="2">
        <v>15</v>
      </c>
      <c r="O298" s="2">
        <v>6</v>
      </c>
    </row>
    <row r="299" spans="1:15" x14ac:dyDescent="0.3">
      <c r="A299" s="2" t="s">
        <v>676</v>
      </c>
      <c r="B299" s="2" t="s">
        <v>677</v>
      </c>
      <c r="C299" s="2" t="s">
        <v>95</v>
      </c>
      <c r="D299" s="2">
        <v>46</v>
      </c>
      <c r="E299" s="2" t="s">
        <v>91</v>
      </c>
      <c r="F299" s="2" t="s">
        <v>92</v>
      </c>
      <c r="G299" s="2" t="s">
        <v>110</v>
      </c>
      <c r="H299" s="2">
        <v>13</v>
      </c>
      <c r="I299" s="9" t="s">
        <v>222</v>
      </c>
      <c r="J299" s="2">
        <v>5</v>
      </c>
      <c r="K299" s="3">
        <v>0.97</v>
      </c>
      <c r="L299" s="2" t="s">
        <v>46</v>
      </c>
      <c r="M299" s="2" t="s">
        <v>58</v>
      </c>
      <c r="N299" s="2">
        <v>9</v>
      </c>
      <c r="O299" s="2">
        <v>12</v>
      </c>
    </row>
    <row r="300" spans="1:15" x14ac:dyDescent="0.3">
      <c r="A300" s="2" t="s">
        <v>678</v>
      </c>
      <c r="B300" s="2" t="s">
        <v>679</v>
      </c>
      <c r="C300" s="2" t="s">
        <v>95</v>
      </c>
      <c r="D300" s="2">
        <v>36</v>
      </c>
      <c r="E300" s="2" t="s">
        <v>147</v>
      </c>
      <c r="F300" s="2" t="s">
        <v>148</v>
      </c>
      <c r="G300" s="2" t="s">
        <v>52</v>
      </c>
      <c r="H300" s="2">
        <v>9</v>
      </c>
      <c r="I300" s="9">
        <v>75</v>
      </c>
      <c r="J300" s="2">
        <v>5</v>
      </c>
      <c r="K300" s="3">
        <v>0.95</v>
      </c>
      <c r="L300" s="2" t="s">
        <v>65</v>
      </c>
      <c r="M300" s="2" t="s">
        <v>33</v>
      </c>
      <c r="N300" s="2">
        <v>11</v>
      </c>
      <c r="O300" s="2">
        <v>1</v>
      </c>
    </row>
    <row r="301" spans="1:15" x14ac:dyDescent="0.3">
      <c r="A301" s="2" t="s">
        <v>680</v>
      </c>
      <c r="B301" s="2" t="s">
        <v>681</v>
      </c>
      <c r="C301" s="2" t="s">
        <v>95</v>
      </c>
      <c r="D301" s="2">
        <v>33</v>
      </c>
      <c r="E301" s="2" t="s">
        <v>120</v>
      </c>
      <c r="F301" s="2" t="s">
        <v>121</v>
      </c>
      <c r="G301" s="2" t="s">
        <v>37</v>
      </c>
      <c r="H301" s="2">
        <v>2</v>
      </c>
      <c r="I301" s="9">
        <v>75</v>
      </c>
      <c r="J301" s="2">
        <v>2</v>
      </c>
      <c r="K301" s="3">
        <v>0.65</v>
      </c>
      <c r="L301" s="2" t="s">
        <v>46</v>
      </c>
      <c r="M301" s="2" t="s">
        <v>20</v>
      </c>
      <c r="N301" s="2">
        <v>4</v>
      </c>
      <c r="O301" s="2">
        <v>1</v>
      </c>
    </row>
    <row r="302" spans="1:15" x14ac:dyDescent="0.3">
      <c r="A302" s="2" t="s">
        <v>682</v>
      </c>
      <c r="B302" s="2" t="s">
        <v>683</v>
      </c>
      <c r="C302" s="2" t="s">
        <v>77</v>
      </c>
      <c r="D302" s="2">
        <v>37</v>
      </c>
      <c r="E302" s="2" t="s">
        <v>124</v>
      </c>
      <c r="F302" s="2" t="s">
        <v>25</v>
      </c>
      <c r="G302" s="2" t="s">
        <v>32</v>
      </c>
      <c r="H302" s="2">
        <v>0</v>
      </c>
      <c r="I302" s="9" t="s">
        <v>64</v>
      </c>
      <c r="J302" s="2">
        <v>3</v>
      </c>
      <c r="K302" s="3">
        <v>0.77</v>
      </c>
      <c r="L302" s="2" t="s">
        <v>65</v>
      </c>
      <c r="M302" s="2" t="s">
        <v>20</v>
      </c>
      <c r="N302" s="2">
        <v>3</v>
      </c>
      <c r="O302" s="2">
        <v>2</v>
      </c>
    </row>
    <row r="303" spans="1:15" x14ac:dyDescent="0.3">
      <c r="A303" s="2" t="s">
        <v>684</v>
      </c>
      <c r="B303" s="2" t="s">
        <v>685</v>
      </c>
      <c r="C303" s="2" t="s">
        <v>95</v>
      </c>
      <c r="D303" s="2">
        <v>20</v>
      </c>
      <c r="E303" s="2" t="s">
        <v>135</v>
      </c>
      <c r="F303" s="2" t="s">
        <v>136</v>
      </c>
      <c r="G303" s="2" t="s">
        <v>52</v>
      </c>
      <c r="H303" s="2">
        <v>0</v>
      </c>
      <c r="I303" s="9">
        <v>20</v>
      </c>
      <c r="J303" s="2">
        <v>1</v>
      </c>
      <c r="K303" s="3">
        <v>0.5</v>
      </c>
      <c r="L303" s="2" t="s">
        <v>69</v>
      </c>
      <c r="M303" s="2" t="s">
        <v>58</v>
      </c>
      <c r="N303" s="2">
        <v>1</v>
      </c>
      <c r="O303" s="2">
        <v>1</v>
      </c>
    </row>
    <row r="304" spans="1:15" x14ac:dyDescent="0.3">
      <c r="A304" s="2" t="s">
        <v>686</v>
      </c>
      <c r="B304" s="2" t="s">
        <v>687</v>
      </c>
      <c r="C304" s="2" t="s">
        <v>77</v>
      </c>
      <c r="D304" s="2">
        <v>48</v>
      </c>
      <c r="E304" s="2" t="s">
        <v>168</v>
      </c>
      <c r="F304" s="2" t="s">
        <v>169</v>
      </c>
      <c r="G304" s="2" t="s">
        <v>52</v>
      </c>
      <c r="H304" s="2">
        <v>2</v>
      </c>
      <c r="I304" s="9">
        <v>75</v>
      </c>
      <c r="J304" s="2">
        <v>2</v>
      </c>
      <c r="K304" s="3">
        <v>0.67</v>
      </c>
      <c r="L304" s="2" t="s">
        <v>65</v>
      </c>
      <c r="M304" s="2" t="s">
        <v>20</v>
      </c>
      <c r="N304" s="2">
        <v>5</v>
      </c>
      <c r="O304" s="2">
        <v>2</v>
      </c>
    </row>
    <row r="305" spans="1:15" x14ac:dyDescent="0.3">
      <c r="A305" s="2" t="s">
        <v>688</v>
      </c>
      <c r="B305" s="2" t="s">
        <v>689</v>
      </c>
      <c r="C305" s="2" t="s">
        <v>95</v>
      </c>
      <c r="D305" s="2">
        <v>27</v>
      </c>
      <c r="E305" s="2" t="s">
        <v>131</v>
      </c>
      <c r="F305" s="2" t="s">
        <v>132</v>
      </c>
      <c r="G305" s="2" t="s">
        <v>78</v>
      </c>
      <c r="H305" s="2">
        <v>2</v>
      </c>
      <c r="I305" s="9" t="s">
        <v>64</v>
      </c>
      <c r="J305" s="2">
        <v>4</v>
      </c>
      <c r="K305" s="3">
        <v>0.84</v>
      </c>
      <c r="L305" s="2" t="s">
        <v>19</v>
      </c>
      <c r="M305" s="2" t="s">
        <v>58</v>
      </c>
      <c r="N305" s="2">
        <v>2</v>
      </c>
      <c r="O305" s="2">
        <v>3</v>
      </c>
    </row>
    <row r="306" spans="1:15" x14ac:dyDescent="0.3">
      <c r="A306" s="2" t="s">
        <v>690</v>
      </c>
      <c r="B306" s="2" t="s">
        <v>691</v>
      </c>
      <c r="C306" s="2" t="s">
        <v>95</v>
      </c>
      <c r="D306" s="2">
        <v>34</v>
      </c>
      <c r="E306" s="2" t="s">
        <v>108</v>
      </c>
      <c r="F306" s="2" t="s">
        <v>109</v>
      </c>
      <c r="G306" s="2" t="s">
        <v>26</v>
      </c>
      <c r="H306" s="2">
        <v>1</v>
      </c>
      <c r="I306" s="9">
        <v>30</v>
      </c>
      <c r="J306" s="2">
        <v>4</v>
      </c>
      <c r="K306" s="3">
        <v>0.87</v>
      </c>
      <c r="L306" s="2" t="s">
        <v>69</v>
      </c>
      <c r="M306" s="2" t="s">
        <v>58</v>
      </c>
      <c r="N306" s="2">
        <v>2</v>
      </c>
      <c r="O306" s="2">
        <v>2</v>
      </c>
    </row>
    <row r="307" spans="1:15" x14ac:dyDescent="0.3">
      <c r="A307" s="2" t="s">
        <v>692</v>
      </c>
      <c r="B307" s="2" t="s">
        <v>693</v>
      </c>
      <c r="C307" s="2" t="s">
        <v>95</v>
      </c>
      <c r="D307" s="2">
        <v>55</v>
      </c>
      <c r="E307" s="2" t="s">
        <v>104</v>
      </c>
      <c r="F307" s="2" t="s">
        <v>105</v>
      </c>
      <c r="G307" s="2" t="s">
        <v>110</v>
      </c>
      <c r="H307" s="2">
        <v>14</v>
      </c>
      <c r="I307" s="9" t="s">
        <v>45</v>
      </c>
      <c r="J307" s="2">
        <v>5</v>
      </c>
      <c r="K307" s="3">
        <v>0.91</v>
      </c>
      <c r="L307" s="2" t="s">
        <v>19</v>
      </c>
      <c r="M307" s="2" t="s">
        <v>58</v>
      </c>
      <c r="N307" s="2">
        <v>7</v>
      </c>
      <c r="O307" s="2">
        <v>6</v>
      </c>
    </row>
    <row r="308" spans="1:15" x14ac:dyDescent="0.3">
      <c r="A308" s="2" t="s">
        <v>694</v>
      </c>
      <c r="B308" s="2" t="s">
        <v>695</v>
      </c>
      <c r="C308" s="2" t="s">
        <v>77</v>
      </c>
      <c r="D308" s="2">
        <v>44</v>
      </c>
      <c r="E308" s="2" t="s">
        <v>147</v>
      </c>
      <c r="F308" s="2" t="s">
        <v>148</v>
      </c>
      <c r="G308" s="2" t="s">
        <v>110</v>
      </c>
      <c r="H308" s="2">
        <v>14</v>
      </c>
      <c r="I308" s="9" t="s">
        <v>163</v>
      </c>
      <c r="J308" s="2">
        <v>3</v>
      </c>
      <c r="K308" s="3">
        <v>0.78</v>
      </c>
      <c r="L308" s="2" t="s">
        <v>46</v>
      </c>
      <c r="M308" s="2" t="s">
        <v>58</v>
      </c>
      <c r="N308" s="2">
        <v>13</v>
      </c>
      <c r="O308" s="2">
        <v>6</v>
      </c>
    </row>
    <row r="309" spans="1:15" x14ac:dyDescent="0.3">
      <c r="A309" s="2" t="s">
        <v>696</v>
      </c>
      <c r="B309" s="2" t="s">
        <v>697</v>
      </c>
      <c r="C309" s="2" t="s">
        <v>95</v>
      </c>
      <c r="D309" s="2">
        <v>31</v>
      </c>
      <c r="E309" s="2" t="s">
        <v>42</v>
      </c>
      <c r="F309" s="2" t="s">
        <v>43</v>
      </c>
      <c r="G309" s="2" t="s">
        <v>74</v>
      </c>
      <c r="H309" s="2">
        <v>2</v>
      </c>
      <c r="I309" s="9">
        <v>50</v>
      </c>
      <c r="J309" s="2">
        <v>1</v>
      </c>
      <c r="K309" s="3">
        <v>0.5</v>
      </c>
      <c r="L309" s="2" t="s">
        <v>46</v>
      </c>
      <c r="M309" s="2" t="s">
        <v>33</v>
      </c>
      <c r="N309" s="2">
        <v>4</v>
      </c>
      <c r="O309" s="2">
        <v>1</v>
      </c>
    </row>
    <row r="310" spans="1:15" x14ac:dyDescent="0.3">
      <c r="A310" s="2" t="s">
        <v>698</v>
      </c>
      <c r="B310" s="2" t="s">
        <v>699</v>
      </c>
      <c r="C310" s="2" t="s">
        <v>95</v>
      </c>
      <c r="D310" s="2">
        <v>34</v>
      </c>
      <c r="E310" s="2" t="s">
        <v>24</v>
      </c>
      <c r="F310" s="2" t="s">
        <v>25</v>
      </c>
      <c r="G310" s="2" t="s">
        <v>87</v>
      </c>
      <c r="H310" s="2">
        <v>1</v>
      </c>
      <c r="I310" s="9">
        <v>40</v>
      </c>
      <c r="J310" s="2">
        <v>3</v>
      </c>
      <c r="K310" s="3">
        <v>0.74</v>
      </c>
      <c r="L310" s="2" t="s">
        <v>46</v>
      </c>
      <c r="M310" s="2" t="s">
        <v>58</v>
      </c>
      <c r="N310" s="2">
        <v>4</v>
      </c>
      <c r="O310" s="2">
        <v>4</v>
      </c>
    </row>
    <row r="311" spans="1:15" x14ac:dyDescent="0.3">
      <c r="A311" s="2" t="s">
        <v>700</v>
      </c>
      <c r="B311" s="2" t="s">
        <v>701</v>
      </c>
      <c r="C311" s="2" t="s">
        <v>77</v>
      </c>
      <c r="D311" s="2">
        <v>47</v>
      </c>
      <c r="E311" s="2" t="s">
        <v>104</v>
      </c>
      <c r="F311" s="2" t="s">
        <v>105</v>
      </c>
      <c r="G311" s="2" t="s">
        <v>87</v>
      </c>
      <c r="H311" s="2">
        <v>13</v>
      </c>
      <c r="I311" s="9">
        <v>20</v>
      </c>
      <c r="J311" s="2">
        <v>5</v>
      </c>
      <c r="K311" s="3">
        <v>0.91</v>
      </c>
      <c r="L311" s="2" t="s">
        <v>65</v>
      </c>
      <c r="M311" s="2" t="s">
        <v>27</v>
      </c>
      <c r="N311" s="2">
        <v>7</v>
      </c>
      <c r="O311" s="2">
        <v>6</v>
      </c>
    </row>
    <row r="312" spans="1:15" x14ac:dyDescent="0.3">
      <c r="A312" s="2" t="s">
        <v>702</v>
      </c>
      <c r="B312" s="2" t="s">
        <v>703</v>
      </c>
      <c r="C312" s="2" t="s">
        <v>95</v>
      </c>
      <c r="D312" s="2">
        <v>50</v>
      </c>
      <c r="E312" s="2" t="s">
        <v>57</v>
      </c>
      <c r="F312" s="2" t="s">
        <v>25</v>
      </c>
      <c r="G312" s="2" t="s">
        <v>32</v>
      </c>
      <c r="H312" s="2">
        <v>23</v>
      </c>
      <c r="I312" s="9" t="s">
        <v>38</v>
      </c>
      <c r="J312" s="2">
        <v>3</v>
      </c>
      <c r="K312" s="3">
        <v>0.71</v>
      </c>
      <c r="L312" s="2" t="s">
        <v>69</v>
      </c>
      <c r="M312" s="2" t="s">
        <v>20</v>
      </c>
      <c r="N312" s="2">
        <v>12</v>
      </c>
      <c r="O312" s="2">
        <v>9</v>
      </c>
    </row>
    <row r="313" spans="1:15" x14ac:dyDescent="0.3">
      <c r="A313" s="2" t="s">
        <v>704</v>
      </c>
      <c r="B313" s="2" t="s">
        <v>705</v>
      </c>
      <c r="C313" s="2" t="s">
        <v>95</v>
      </c>
      <c r="D313" s="2">
        <v>39</v>
      </c>
      <c r="E313" s="2" t="s">
        <v>31</v>
      </c>
      <c r="F313" s="2" t="s">
        <v>31</v>
      </c>
      <c r="G313" s="2" t="s">
        <v>78</v>
      </c>
      <c r="H313" s="10">
        <v>12.833333333333334</v>
      </c>
      <c r="I313" s="9" t="s">
        <v>163</v>
      </c>
      <c r="J313" s="2">
        <v>4</v>
      </c>
      <c r="K313" s="3">
        <v>0.87</v>
      </c>
      <c r="L313" s="2" t="s">
        <v>46</v>
      </c>
      <c r="M313" s="2" t="s">
        <v>27</v>
      </c>
      <c r="N313" s="2">
        <v>5</v>
      </c>
      <c r="O313" s="2">
        <v>1</v>
      </c>
    </row>
    <row r="314" spans="1:15" x14ac:dyDescent="0.3">
      <c r="A314" s="2" t="s">
        <v>706</v>
      </c>
      <c r="B314" s="2" t="s">
        <v>707</v>
      </c>
      <c r="C314" s="2" t="s">
        <v>77</v>
      </c>
      <c r="D314" s="2">
        <v>26</v>
      </c>
      <c r="E314" s="2" t="s">
        <v>72</v>
      </c>
      <c r="F314" s="2" t="s">
        <v>73</v>
      </c>
      <c r="G314" s="2" t="s">
        <v>18</v>
      </c>
      <c r="H314" s="2">
        <v>3</v>
      </c>
      <c r="I314" s="9" t="s">
        <v>222</v>
      </c>
      <c r="J314" s="2">
        <v>2</v>
      </c>
      <c r="K314" s="3">
        <v>0.61</v>
      </c>
      <c r="L314" s="2" t="s">
        <v>46</v>
      </c>
      <c r="M314" s="2" t="s">
        <v>33</v>
      </c>
      <c r="N314" s="2">
        <v>1</v>
      </c>
      <c r="O314" s="2">
        <v>1</v>
      </c>
    </row>
    <row r="315" spans="1:15" x14ac:dyDescent="0.3">
      <c r="A315" s="2" t="s">
        <v>708</v>
      </c>
      <c r="B315" s="2" t="s">
        <v>709</v>
      </c>
      <c r="C315" s="2" t="s">
        <v>95</v>
      </c>
      <c r="D315" s="2">
        <v>41</v>
      </c>
      <c r="E315" s="2" t="s">
        <v>42</v>
      </c>
      <c r="F315" s="2" t="s">
        <v>43</v>
      </c>
      <c r="G315" s="2" t="s">
        <v>87</v>
      </c>
      <c r="H315" s="2">
        <v>0</v>
      </c>
      <c r="I315" s="9" t="s">
        <v>222</v>
      </c>
      <c r="J315" s="2">
        <v>1</v>
      </c>
      <c r="K315" s="3">
        <v>0.5</v>
      </c>
      <c r="L315" s="2" t="s">
        <v>69</v>
      </c>
      <c r="M315" s="2" t="s">
        <v>27</v>
      </c>
      <c r="N315" s="2">
        <v>1</v>
      </c>
      <c r="O315" s="2">
        <v>4</v>
      </c>
    </row>
    <row r="316" spans="1:15" x14ac:dyDescent="0.3">
      <c r="A316" s="2" t="s">
        <v>710</v>
      </c>
      <c r="B316" s="2" t="s">
        <v>711</v>
      </c>
      <c r="C316" s="2" t="s">
        <v>95</v>
      </c>
      <c r="D316" s="2">
        <v>32</v>
      </c>
      <c r="E316" s="2" t="s">
        <v>31</v>
      </c>
      <c r="F316" s="2" t="s">
        <v>31</v>
      </c>
      <c r="G316" s="2" t="s">
        <v>32</v>
      </c>
      <c r="H316" s="2">
        <v>0</v>
      </c>
      <c r="I316" s="9">
        <v>100</v>
      </c>
      <c r="J316" s="2">
        <v>4</v>
      </c>
      <c r="K316" s="3">
        <v>0.81</v>
      </c>
      <c r="L316" s="2" t="s">
        <v>46</v>
      </c>
      <c r="M316" s="2" t="s">
        <v>20</v>
      </c>
      <c r="N316" s="2">
        <v>2</v>
      </c>
      <c r="O316" s="2">
        <v>1</v>
      </c>
    </row>
    <row r="317" spans="1:15" x14ac:dyDescent="0.3">
      <c r="A317" s="2" t="s">
        <v>712</v>
      </c>
      <c r="B317" s="2" t="s">
        <v>713</v>
      </c>
      <c r="C317" s="2" t="s">
        <v>77</v>
      </c>
      <c r="D317" s="2">
        <v>55</v>
      </c>
      <c r="E317" s="2" t="s">
        <v>120</v>
      </c>
      <c r="F317" s="2" t="s">
        <v>121</v>
      </c>
      <c r="G317" s="2" t="s">
        <v>52</v>
      </c>
      <c r="H317" s="2">
        <v>17</v>
      </c>
      <c r="I317" s="9">
        <v>30</v>
      </c>
      <c r="J317" s="2">
        <v>1</v>
      </c>
      <c r="K317" s="3">
        <v>0.5</v>
      </c>
      <c r="L317" s="2" t="s">
        <v>19</v>
      </c>
      <c r="M317" s="2" t="s">
        <v>27</v>
      </c>
      <c r="N317" s="2">
        <v>18</v>
      </c>
      <c r="O317" s="2">
        <v>13</v>
      </c>
    </row>
    <row r="318" spans="1:15" x14ac:dyDescent="0.3">
      <c r="A318" s="2" t="s">
        <v>714</v>
      </c>
      <c r="B318" s="2" t="s">
        <v>715</v>
      </c>
      <c r="C318" s="2" t="s">
        <v>95</v>
      </c>
      <c r="D318" s="2">
        <v>32</v>
      </c>
      <c r="E318" s="2" t="s">
        <v>72</v>
      </c>
      <c r="F318" s="2" t="s">
        <v>73</v>
      </c>
      <c r="G318" s="2" t="s">
        <v>110</v>
      </c>
      <c r="H318" s="2">
        <v>9</v>
      </c>
      <c r="I318" s="9" t="s">
        <v>38</v>
      </c>
      <c r="J318" s="2">
        <v>4</v>
      </c>
      <c r="K318" s="3">
        <v>0.84</v>
      </c>
      <c r="L318" s="2" t="s">
        <v>69</v>
      </c>
      <c r="M318" s="2" t="s">
        <v>33</v>
      </c>
      <c r="N318" s="2">
        <v>9</v>
      </c>
      <c r="O318" s="2">
        <v>2</v>
      </c>
    </row>
    <row r="319" spans="1:15" x14ac:dyDescent="0.3">
      <c r="A319" s="2" t="s">
        <v>716</v>
      </c>
      <c r="B319" s="2" t="s">
        <v>717</v>
      </c>
      <c r="C319" s="2" t="s">
        <v>95</v>
      </c>
      <c r="D319" s="2">
        <v>30</v>
      </c>
      <c r="E319" s="2" t="s">
        <v>108</v>
      </c>
      <c r="F319" s="2" t="s">
        <v>109</v>
      </c>
      <c r="G319" s="2" t="s">
        <v>18</v>
      </c>
      <c r="H319" s="2">
        <v>4</v>
      </c>
      <c r="I319" s="9" t="s">
        <v>117</v>
      </c>
      <c r="J319" s="2">
        <v>1</v>
      </c>
      <c r="K319" s="3">
        <v>0.5</v>
      </c>
      <c r="L319" s="2" t="s">
        <v>69</v>
      </c>
      <c r="M319" s="2" t="s">
        <v>58</v>
      </c>
      <c r="N319" s="2">
        <v>4</v>
      </c>
      <c r="O319" s="2">
        <v>4</v>
      </c>
    </row>
    <row r="320" spans="1:15" x14ac:dyDescent="0.3">
      <c r="A320" s="2" t="s">
        <v>718</v>
      </c>
      <c r="B320" s="2" t="s">
        <v>719</v>
      </c>
      <c r="C320" s="2" t="s">
        <v>77</v>
      </c>
      <c r="D320" s="2">
        <v>37</v>
      </c>
      <c r="E320" s="2" t="s">
        <v>124</v>
      </c>
      <c r="F320" s="2" t="s">
        <v>25</v>
      </c>
      <c r="G320" s="2" t="s">
        <v>78</v>
      </c>
      <c r="H320" s="2">
        <v>0</v>
      </c>
      <c r="I320" s="9" t="s">
        <v>38</v>
      </c>
      <c r="J320" s="2">
        <v>1</v>
      </c>
      <c r="K320" s="3">
        <v>0.5</v>
      </c>
      <c r="L320" s="2" t="s">
        <v>69</v>
      </c>
      <c r="M320" s="2" t="s">
        <v>27</v>
      </c>
      <c r="N320" s="2">
        <v>3</v>
      </c>
      <c r="O320" s="2">
        <v>5</v>
      </c>
    </row>
    <row r="321" spans="1:15" x14ac:dyDescent="0.3">
      <c r="A321" s="2" t="s">
        <v>720</v>
      </c>
      <c r="B321" s="2" t="s">
        <v>721</v>
      </c>
      <c r="C321" s="2" t="s">
        <v>95</v>
      </c>
      <c r="D321" s="2">
        <v>52</v>
      </c>
      <c r="E321" s="2" t="s">
        <v>104</v>
      </c>
      <c r="F321" s="2" t="s">
        <v>105</v>
      </c>
      <c r="G321" s="2" t="s">
        <v>32</v>
      </c>
      <c r="H321" s="2">
        <v>33</v>
      </c>
      <c r="I321" s="9">
        <v>54.037267080745345</v>
      </c>
      <c r="J321" s="2">
        <v>2</v>
      </c>
      <c r="K321" s="3">
        <v>0.6</v>
      </c>
      <c r="L321" s="2" t="s">
        <v>19</v>
      </c>
      <c r="M321" s="2" t="s">
        <v>33</v>
      </c>
      <c r="N321" s="2">
        <v>13</v>
      </c>
      <c r="O321" s="2">
        <v>7</v>
      </c>
    </row>
    <row r="322" spans="1:15" x14ac:dyDescent="0.3">
      <c r="A322" s="2" t="s">
        <v>722</v>
      </c>
      <c r="B322" s="2" t="s">
        <v>723</v>
      </c>
      <c r="C322" s="2" t="s">
        <v>95</v>
      </c>
      <c r="D322" s="2">
        <v>48</v>
      </c>
      <c r="E322" s="2" t="s">
        <v>91</v>
      </c>
      <c r="F322" s="2" t="s">
        <v>92</v>
      </c>
      <c r="G322" s="2" t="s">
        <v>78</v>
      </c>
      <c r="H322" s="2">
        <v>18</v>
      </c>
      <c r="I322" s="9">
        <v>50</v>
      </c>
      <c r="J322" s="2">
        <v>2</v>
      </c>
      <c r="K322" s="3">
        <v>0.64</v>
      </c>
      <c r="L322" s="2" t="s">
        <v>69</v>
      </c>
      <c r="M322" s="2" t="s">
        <v>33</v>
      </c>
      <c r="N322" s="2">
        <v>11</v>
      </c>
      <c r="O322" s="2">
        <v>16</v>
      </c>
    </row>
    <row r="323" spans="1:15" x14ac:dyDescent="0.3">
      <c r="A323" s="2" t="s">
        <v>724</v>
      </c>
      <c r="B323" s="2" t="s">
        <v>725</v>
      </c>
      <c r="C323" s="2" t="s">
        <v>77</v>
      </c>
      <c r="D323" s="2">
        <v>28</v>
      </c>
      <c r="E323" s="2" t="s">
        <v>83</v>
      </c>
      <c r="F323" s="2" t="s">
        <v>84</v>
      </c>
      <c r="G323" s="2" t="s">
        <v>26</v>
      </c>
      <c r="H323" s="2">
        <v>9</v>
      </c>
      <c r="I323" s="9">
        <v>40</v>
      </c>
      <c r="J323" s="2">
        <v>2</v>
      </c>
      <c r="K323" s="3">
        <v>0.64</v>
      </c>
      <c r="L323" s="2" t="s">
        <v>19</v>
      </c>
      <c r="M323" s="2" t="s">
        <v>20</v>
      </c>
      <c r="N323" s="2">
        <v>14</v>
      </c>
      <c r="O323" s="2">
        <v>12</v>
      </c>
    </row>
    <row r="324" spans="1:15" x14ac:dyDescent="0.3">
      <c r="A324" s="2" t="s">
        <v>726</v>
      </c>
      <c r="B324" s="2" t="s">
        <v>727</v>
      </c>
      <c r="C324" s="2" t="s">
        <v>77</v>
      </c>
      <c r="D324" s="2">
        <v>58</v>
      </c>
      <c r="E324" s="2" t="s">
        <v>183</v>
      </c>
      <c r="F324" s="2" t="s">
        <v>73</v>
      </c>
      <c r="G324" s="2" t="s">
        <v>52</v>
      </c>
      <c r="H324" s="2">
        <v>40</v>
      </c>
      <c r="I324" s="9">
        <v>75</v>
      </c>
      <c r="J324" s="2">
        <v>5</v>
      </c>
      <c r="K324" s="3">
        <v>1</v>
      </c>
      <c r="L324" s="2" t="s">
        <v>69</v>
      </c>
      <c r="M324" s="2" t="s">
        <v>20</v>
      </c>
      <c r="N324" s="2">
        <v>11</v>
      </c>
      <c r="O324" s="2">
        <v>12</v>
      </c>
    </row>
    <row r="325" spans="1:15" x14ac:dyDescent="0.3">
      <c r="A325" s="2" t="s">
        <v>728</v>
      </c>
      <c r="B325" s="2" t="s">
        <v>729</v>
      </c>
      <c r="C325" s="2" t="s">
        <v>95</v>
      </c>
      <c r="D325" s="2">
        <v>30</v>
      </c>
      <c r="E325" s="2" t="s">
        <v>72</v>
      </c>
      <c r="F325" s="2" t="s">
        <v>73</v>
      </c>
      <c r="G325" s="2" t="s">
        <v>37</v>
      </c>
      <c r="H325" s="2">
        <v>1</v>
      </c>
      <c r="I325" s="9">
        <v>40</v>
      </c>
      <c r="J325" s="2">
        <v>5</v>
      </c>
      <c r="K325" s="3">
        <v>1</v>
      </c>
      <c r="L325" s="2" t="s">
        <v>65</v>
      </c>
      <c r="M325" s="2" t="s">
        <v>27</v>
      </c>
      <c r="N325" s="2">
        <v>4</v>
      </c>
      <c r="O325" s="2">
        <v>1</v>
      </c>
    </row>
    <row r="326" spans="1:15" x14ac:dyDescent="0.3">
      <c r="A326" s="2" t="s">
        <v>730</v>
      </c>
      <c r="B326" s="2" t="s">
        <v>731</v>
      </c>
      <c r="C326" s="2" t="s">
        <v>77</v>
      </c>
      <c r="D326" s="2">
        <v>47</v>
      </c>
      <c r="E326" s="2" t="s">
        <v>168</v>
      </c>
      <c r="F326" s="2" t="s">
        <v>169</v>
      </c>
      <c r="G326" s="2" t="s">
        <v>26</v>
      </c>
      <c r="H326" s="2">
        <v>5</v>
      </c>
      <c r="I326" s="9">
        <v>20</v>
      </c>
      <c r="J326" s="2">
        <v>1</v>
      </c>
      <c r="K326" s="3">
        <v>0.5</v>
      </c>
      <c r="L326" s="2" t="s">
        <v>46</v>
      </c>
      <c r="M326" s="2" t="s">
        <v>58</v>
      </c>
      <c r="N326" s="2">
        <v>5</v>
      </c>
      <c r="O326" s="2">
        <v>1</v>
      </c>
    </row>
    <row r="327" spans="1:15" x14ac:dyDescent="0.3">
      <c r="A327" s="2" t="s">
        <v>732</v>
      </c>
      <c r="B327" s="2" t="s">
        <v>733</v>
      </c>
      <c r="C327" s="2" t="s">
        <v>95</v>
      </c>
      <c r="D327" s="2">
        <v>44</v>
      </c>
      <c r="E327" s="2" t="s">
        <v>72</v>
      </c>
      <c r="F327" s="2" t="s">
        <v>73</v>
      </c>
      <c r="G327" s="2" t="s">
        <v>44</v>
      </c>
      <c r="H327" s="2">
        <v>4</v>
      </c>
      <c r="I327" s="9" t="s">
        <v>64</v>
      </c>
      <c r="J327" s="2">
        <v>4</v>
      </c>
      <c r="K327" s="3">
        <v>0.83</v>
      </c>
      <c r="L327" s="2" t="s">
        <v>65</v>
      </c>
      <c r="M327" s="2" t="s">
        <v>33</v>
      </c>
      <c r="N327" s="2">
        <v>5</v>
      </c>
      <c r="O327" s="2">
        <v>1</v>
      </c>
    </row>
    <row r="328" spans="1:15" x14ac:dyDescent="0.3">
      <c r="A328" s="2" t="s">
        <v>734</v>
      </c>
      <c r="B328" s="2" t="s">
        <v>735</v>
      </c>
      <c r="C328" s="2" t="s">
        <v>95</v>
      </c>
      <c r="D328" s="2">
        <v>56</v>
      </c>
      <c r="E328" s="2" t="s">
        <v>16</v>
      </c>
      <c r="F328" s="2" t="s">
        <v>17</v>
      </c>
      <c r="G328" s="2" t="s">
        <v>110</v>
      </c>
      <c r="H328" s="2">
        <v>13</v>
      </c>
      <c r="I328" s="9" t="s">
        <v>38</v>
      </c>
      <c r="J328" s="2">
        <v>4</v>
      </c>
      <c r="K328" s="3">
        <v>0.87</v>
      </c>
      <c r="L328" s="2" t="s">
        <v>46</v>
      </c>
      <c r="M328" s="2" t="s">
        <v>27</v>
      </c>
      <c r="N328" s="2">
        <v>9</v>
      </c>
      <c r="O328" s="2">
        <v>10</v>
      </c>
    </row>
    <row r="329" spans="1:15" x14ac:dyDescent="0.3">
      <c r="A329" s="2" t="s">
        <v>736</v>
      </c>
      <c r="B329" s="2" t="s">
        <v>737</v>
      </c>
      <c r="C329" s="2" t="s">
        <v>77</v>
      </c>
      <c r="D329" s="2">
        <v>53</v>
      </c>
      <c r="E329" s="2" t="s">
        <v>57</v>
      </c>
      <c r="F329" s="2" t="s">
        <v>25</v>
      </c>
      <c r="G329" s="2" t="s">
        <v>26</v>
      </c>
      <c r="H329" s="2">
        <v>33</v>
      </c>
      <c r="I329" s="9" t="s">
        <v>222</v>
      </c>
      <c r="J329" s="2">
        <v>3</v>
      </c>
      <c r="K329" s="3">
        <v>0.75</v>
      </c>
      <c r="L329" s="2" t="s">
        <v>19</v>
      </c>
      <c r="M329" s="2" t="s">
        <v>33</v>
      </c>
      <c r="N329" s="2">
        <v>12</v>
      </c>
      <c r="O329" s="2">
        <v>1</v>
      </c>
    </row>
    <row r="330" spans="1:15" x14ac:dyDescent="0.3">
      <c r="A330" s="2" t="s">
        <v>738</v>
      </c>
      <c r="B330" s="2" t="s">
        <v>739</v>
      </c>
      <c r="C330" s="2" t="s">
        <v>95</v>
      </c>
      <c r="D330" s="2">
        <v>59</v>
      </c>
      <c r="E330" s="2" t="s">
        <v>68</v>
      </c>
      <c r="F330" s="2" t="s">
        <v>25</v>
      </c>
      <c r="G330" s="2" t="s">
        <v>26</v>
      </c>
      <c r="H330" s="2">
        <v>22</v>
      </c>
      <c r="I330" s="9">
        <v>40</v>
      </c>
      <c r="J330" s="2">
        <v>2</v>
      </c>
      <c r="K330" s="3">
        <v>0.61</v>
      </c>
      <c r="L330" s="2" t="s">
        <v>65</v>
      </c>
      <c r="M330" s="2" t="s">
        <v>33</v>
      </c>
      <c r="N330" s="2">
        <v>10</v>
      </c>
      <c r="O330" s="2">
        <v>19</v>
      </c>
    </row>
    <row r="331" spans="1:15" x14ac:dyDescent="0.3">
      <c r="A331" s="2" t="s">
        <v>740</v>
      </c>
      <c r="B331" s="2" t="s">
        <v>741</v>
      </c>
      <c r="C331" s="2" t="s">
        <v>95</v>
      </c>
      <c r="D331" s="2">
        <v>60</v>
      </c>
      <c r="E331" s="2" t="s">
        <v>57</v>
      </c>
      <c r="F331" s="2" t="s">
        <v>25</v>
      </c>
      <c r="G331" s="2" t="s">
        <v>87</v>
      </c>
      <c r="H331" s="2">
        <v>34</v>
      </c>
      <c r="I331" s="9">
        <v>54.41935483870968</v>
      </c>
      <c r="J331" s="2">
        <v>5</v>
      </c>
      <c r="K331" s="3">
        <v>0.93</v>
      </c>
      <c r="L331" s="2" t="s">
        <v>69</v>
      </c>
      <c r="M331" s="2" t="s">
        <v>58</v>
      </c>
      <c r="N331" s="2">
        <v>20</v>
      </c>
      <c r="O331" s="2">
        <v>9</v>
      </c>
    </row>
    <row r="332" spans="1:15" x14ac:dyDescent="0.3">
      <c r="A332" s="2" t="s">
        <v>742</v>
      </c>
      <c r="B332" s="2" t="s">
        <v>743</v>
      </c>
      <c r="C332" s="2" t="s">
        <v>77</v>
      </c>
      <c r="D332" s="2">
        <v>33</v>
      </c>
      <c r="E332" s="2" t="s">
        <v>31</v>
      </c>
      <c r="F332" s="2" t="s">
        <v>31</v>
      </c>
      <c r="G332" s="2" t="s">
        <v>26</v>
      </c>
      <c r="H332" s="2">
        <v>8</v>
      </c>
      <c r="I332" s="9" t="s">
        <v>45</v>
      </c>
      <c r="J332" s="2">
        <v>1</v>
      </c>
      <c r="K332" s="3">
        <v>0.5</v>
      </c>
      <c r="L332" s="2" t="s">
        <v>46</v>
      </c>
      <c r="M332" s="2" t="s">
        <v>58</v>
      </c>
      <c r="N332" s="2">
        <v>8</v>
      </c>
      <c r="O332" s="2">
        <v>3</v>
      </c>
    </row>
    <row r="333" spans="1:15" x14ac:dyDescent="0.3">
      <c r="A333" s="2" t="s">
        <v>744</v>
      </c>
      <c r="B333" s="2" t="s">
        <v>745</v>
      </c>
      <c r="C333" s="2" t="s">
        <v>77</v>
      </c>
      <c r="D333" s="2">
        <v>21</v>
      </c>
      <c r="E333" s="2" t="s">
        <v>72</v>
      </c>
      <c r="F333" s="2" t="s">
        <v>73</v>
      </c>
      <c r="G333" s="2" t="s">
        <v>37</v>
      </c>
      <c r="H333" s="2">
        <v>1</v>
      </c>
      <c r="I333" s="9" t="s">
        <v>117</v>
      </c>
      <c r="J333" s="2">
        <v>5</v>
      </c>
      <c r="K333" s="3">
        <v>0.99</v>
      </c>
      <c r="L333" s="2" t="s">
        <v>46</v>
      </c>
      <c r="M333" s="2" t="s">
        <v>27</v>
      </c>
      <c r="N333" s="2">
        <v>4</v>
      </c>
      <c r="O333" s="2">
        <v>2</v>
      </c>
    </row>
    <row r="334" spans="1:15" x14ac:dyDescent="0.3">
      <c r="A334" s="2" t="s">
        <v>746</v>
      </c>
      <c r="B334" s="2" t="s">
        <v>747</v>
      </c>
      <c r="C334" s="2" t="s">
        <v>95</v>
      </c>
      <c r="D334" s="2">
        <v>54</v>
      </c>
      <c r="E334" s="2" t="s">
        <v>68</v>
      </c>
      <c r="F334" s="2" t="s">
        <v>25</v>
      </c>
      <c r="G334" s="2" t="s">
        <v>74</v>
      </c>
      <c r="H334" s="2">
        <v>20</v>
      </c>
      <c r="I334" s="9">
        <v>50</v>
      </c>
      <c r="J334" s="2">
        <v>3</v>
      </c>
      <c r="K334" s="3">
        <v>0.73</v>
      </c>
      <c r="L334" s="2" t="s">
        <v>65</v>
      </c>
      <c r="M334" s="2" t="s">
        <v>58</v>
      </c>
      <c r="N334" s="2">
        <v>20</v>
      </c>
      <c r="O334" s="2">
        <v>12</v>
      </c>
    </row>
    <row r="335" spans="1:15" x14ac:dyDescent="0.3">
      <c r="A335" s="2" t="s">
        <v>748</v>
      </c>
      <c r="B335" s="2" t="s">
        <v>749</v>
      </c>
      <c r="C335" s="2" t="s">
        <v>77</v>
      </c>
      <c r="D335" s="2">
        <v>33</v>
      </c>
      <c r="E335" s="2" t="s">
        <v>57</v>
      </c>
      <c r="F335" s="2" t="s">
        <v>25</v>
      </c>
      <c r="G335" s="2" t="s">
        <v>32</v>
      </c>
      <c r="H335" s="2">
        <v>11</v>
      </c>
      <c r="I335" s="9">
        <v>75</v>
      </c>
      <c r="J335" s="2">
        <v>5</v>
      </c>
      <c r="K335" s="3">
        <v>0.96</v>
      </c>
      <c r="L335" s="2" t="s">
        <v>19</v>
      </c>
      <c r="M335" s="2" t="s">
        <v>58</v>
      </c>
      <c r="N335" s="2">
        <v>7</v>
      </c>
      <c r="O335" s="2">
        <v>5</v>
      </c>
    </row>
    <row r="336" spans="1:15" x14ac:dyDescent="0.3">
      <c r="A336" s="2" t="s">
        <v>750</v>
      </c>
      <c r="B336" s="2" t="s">
        <v>751</v>
      </c>
      <c r="C336" s="2" t="s">
        <v>77</v>
      </c>
      <c r="D336" s="2">
        <v>57</v>
      </c>
      <c r="E336" s="2" t="s">
        <v>62</v>
      </c>
      <c r="F336" s="2" t="s">
        <v>63</v>
      </c>
      <c r="G336" s="2" t="s">
        <v>52</v>
      </c>
      <c r="H336" s="2">
        <v>2</v>
      </c>
      <c r="I336" s="9">
        <v>40</v>
      </c>
      <c r="J336" s="2">
        <v>2</v>
      </c>
      <c r="K336" s="3">
        <v>0.6</v>
      </c>
      <c r="L336" s="2" t="s">
        <v>65</v>
      </c>
      <c r="M336" s="2" t="s">
        <v>27</v>
      </c>
      <c r="N336" s="2">
        <v>5</v>
      </c>
      <c r="O336" s="2">
        <v>2</v>
      </c>
    </row>
    <row r="337" spans="1:15" x14ac:dyDescent="0.3">
      <c r="A337" s="2" t="s">
        <v>752</v>
      </c>
      <c r="B337" s="2" t="s">
        <v>753</v>
      </c>
      <c r="C337" s="2" t="s">
        <v>95</v>
      </c>
      <c r="D337" s="2">
        <v>36</v>
      </c>
      <c r="E337" s="2" t="s">
        <v>108</v>
      </c>
      <c r="F337" s="2" t="s">
        <v>109</v>
      </c>
      <c r="G337" s="2" t="s">
        <v>32</v>
      </c>
      <c r="H337" s="2">
        <v>6</v>
      </c>
      <c r="I337" s="9">
        <v>20</v>
      </c>
      <c r="J337" s="2">
        <v>2</v>
      </c>
      <c r="K337" s="3">
        <v>0.64</v>
      </c>
      <c r="L337" s="2" t="s">
        <v>19</v>
      </c>
      <c r="M337" s="2" t="s">
        <v>58</v>
      </c>
      <c r="N337" s="2">
        <v>15</v>
      </c>
      <c r="O337" s="2">
        <v>6</v>
      </c>
    </row>
    <row r="338" spans="1:15" x14ac:dyDescent="0.3">
      <c r="A338" s="2" t="s">
        <v>754</v>
      </c>
      <c r="B338" s="2" t="s">
        <v>755</v>
      </c>
      <c r="C338" s="2" t="s">
        <v>95</v>
      </c>
      <c r="D338" s="2">
        <v>50</v>
      </c>
      <c r="E338" s="2" t="s">
        <v>31</v>
      </c>
      <c r="F338" s="2" t="s">
        <v>31</v>
      </c>
      <c r="G338" s="2" t="s">
        <v>18</v>
      </c>
      <c r="H338" s="2">
        <v>20</v>
      </c>
      <c r="I338" s="9" t="s">
        <v>45</v>
      </c>
      <c r="J338" s="2">
        <v>1</v>
      </c>
      <c r="K338" s="3">
        <v>0.5</v>
      </c>
      <c r="L338" s="2" t="s">
        <v>19</v>
      </c>
      <c r="M338" s="2" t="s">
        <v>20</v>
      </c>
      <c r="N338" s="2">
        <v>18</v>
      </c>
      <c r="O338" s="2">
        <v>7</v>
      </c>
    </row>
    <row r="339" spans="1:15" x14ac:dyDescent="0.3">
      <c r="A339" s="2" t="s">
        <v>756</v>
      </c>
      <c r="B339" s="2" t="s">
        <v>757</v>
      </c>
      <c r="C339" s="2" t="s">
        <v>77</v>
      </c>
      <c r="D339" s="2">
        <v>37</v>
      </c>
      <c r="E339" s="2" t="s">
        <v>124</v>
      </c>
      <c r="F339" s="2" t="s">
        <v>25</v>
      </c>
      <c r="G339" s="2" t="s">
        <v>87</v>
      </c>
      <c r="H339" s="10">
        <v>11.191780821917808</v>
      </c>
      <c r="I339" s="9" t="s">
        <v>117</v>
      </c>
      <c r="J339" s="2">
        <v>1</v>
      </c>
      <c r="K339" s="3">
        <v>0.5</v>
      </c>
      <c r="L339" s="2" t="s">
        <v>46</v>
      </c>
      <c r="M339" s="2" t="s">
        <v>33</v>
      </c>
      <c r="N339" s="2">
        <v>5</v>
      </c>
      <c r="O339" s="2">
        <v>3</v>
      </c>
    </row>
    <row r="340" spans="1:15" x14ac:dyDescent="0.3">
      <c r="A340" s="2" t="s">
        <v>758</v>
      </c>
      <c r="B340" s="2" t="s">
        <v>759</v>
      </c>
      <c r="C340" s="2" t="s">
        <v>95</v>
      </c>
      <c r="D340" s="2">
        <v>53</v>
      </c>
      <c r="E340" s="2" t="s">
        <v>16</v>
      </c>
      <c r="F340" s="2" t="s">
        <v>17</v>
      </c>
      <c r="G340" s="2" t="s">
        <v>44</v>
      </c>
      <c r="H340" s="2">
        <v>4</v>
      </c>
      <c r="I340" s="9">
        <v>30</v>
      </c>
      <c r="J340" s="2">
        <v>5</v>
      </c>
      <c r="K340" s="3">
        <v>0.99</v>
      </c>
      <c r="L340" s="2" t="s">
        <v>65</v>
      </c>
      <c r="M340" s="2" t="s">
        <v>33</v>
      </c>
      <c r="N340" s="2">
        <v>2</v>
      </c>
      <c r="O340" s="2">
        <v>1</v>
      </c>
    </row>
    <row r="341" spans="1:15" x14ac:dyDescent="0.3">
      <c r="A341" s="2" t="s">
        <v>760</v>
      </c>
      <c r="B341" s="2" t="s">
        <v>761</v>
      </c>
      <c r="C341" s="2" t="s">
        <v>77</v>
      </c>
      <c r="D341" s="2">
        <v>22</v>
      </c>
      <c r="E341" s="2" t="s">
        <v>16</v>
      </c>
      <c r="F341" s="2" t="s">
        <v>17</v>
      </c>
      <c r="G341" s="2" t="s">
        <v>18</v>
      </c>
      <c r="H341" s="2">
        <v>3</v>
      </c>
      <c r="I341" s="9" t="s">
        <v>38</v>
      </c>
      <c r="J341" s="2">
        <v>1</v>
      </c>
      <c r="K341" s="3">
        <v>0.5</v>
      </c>
      <c r="L341" s="2" t="s">
        <v>65</v>
      </c>
      <c r="M341" s="2" t="s">
        <v>33</v>
      </c>
      <c r="N341" s="2">
        <v>4</v>
      </c>
      <c r="O341" s="2">
        <v>1</v>
      </c>
    </row>
    <row r="342" spans="1:15" x14ac:dyDescent="0.3">
      <c r="A342" s="2" t="s">
        <v>762</v>
      </c>
      <c r="B342" s="2" t="s">
        <v>763</v>
      </c>
      <c r="C342" s="2" t="s">
        <v>77</v>
      </c>
      <c r="D342" s="2">
        <v>55</v>
      </c>
      <c r="E342" s="2" t="s">
        <v>42</v>
      </c>
      <c r="F342" s="2" t="s">
        <v>43</v>
      </c>
      <c r="G342" s="2" t="s">
        <v>26</v>
      </c>
      <c r="H342" s="2">
        <v>33</v>
      </c>
      <c r="I342" s="9">
        <v>40</v>
      </c>
      <c r="J342" s="2">
        <v>3</v>
      </c>
      <c r="K342" s="3">
        <v>0.71</v>
      </c>
      <c r="L342" s="2" t="s">
        <v>19</v>
      </c>
      <c r="M342" s="2" t="s">
        <v>33</v>
      </c>
      <c r="N342" s="2">
        <v>10</v>
      </c>
      <c r="O342" s="2">
        <v>11</v>
      </c>
    </row>
    <row r="343" spans="1:15" x14ac:dyDescent="0.3">
      <c r="A343" s="2" t="s">
        <v>764</v>
      </c>
      <c r="B343" s="2" t="s">
        <v>765</v>
      </c>
      <c r="C343" s="2" t="s">
        <v>95</v>
      </c>
      <c r="D343" s="2">
        <v>22</v>
      </c>
      <c r="E343" s="2" t="s">
        <v>24</v>
      </c>
      <c r="F343" s="2" t="s">
        <v>25</v>
      </c>
      <c r="G343" s="2" t="s">
        <v>78</v>
      </c>
      <c r="H343" s="2">
        <v>1</v>
      </c>
      <c r="I343" s="9">
        <v>54.899328859060404</v>
      </c>
      <c r="J343" s="2">
        <v>3</v>
      </c>
      <c r="K343" s="3">
        <v>0.72</v>
      </c>
      <c r="L343" s="2" t="s">
        <v>65</v>
      </c>
      <c r="M343" s="2" t="s">
        <v>27</v>
      </c>
      <c r="N343" s="2">
        <v>5</v>
      </c>
      <c r="O343" s="2">
        <v>1</v>
      </c>
    </row>
    <row r="344" spans="1:15" x14ac:dyDescent="0.3">
      <c r="A344" s="2" t="s">
        <v>766</v>
      </c>
      <c r="B344" s="2" t="s">
        <v>767</v>
      </c>
      <c r="C344" s="2" t="s">
        <v>77</v>
      </c>
      <c r="D344" s="2">
        <v>45</v>
      </c>
      <c r="E344" s="2" t="s">
        <v>62</v>
      </c>
      <c r="F344" s="2" t="s">
        <v>63</v>
      </c>
      <c r="G344" s="2" t="s">
        <v>37</v>
      </c>
      <c r="H344" s="2">
        <v>23</v>
      </c>
      <c r="I344" s="9" t="s">
        <v>64</v>
      </c>
      <c r="J344" s="2">
        <v>2</v>
      </c>
      <c r="K344" s="3">
        <v>0.66</v>
      </c>
      <c r="L344" s="2" t="s">
        <v>69</v>
      </c>
      <c r="M344" s="2" t="s">
        <v>33</v>
      </c>
      <c r="N344" s="2">
        <v>10</v>
      </c>
      <c r="O344" s="2">
        <v>6</v>
      </c>
    </row>
    <row r="345" spans="1:15" x14ac:dyDescent="0.3">
      <c r="A345" s="2" t="s">
        <v>768</v>
      </c>
      <c r="B345" s="2" t="s">
        <v>769</v>
      </c>
      <c r="C345" s="2" t="s">
        <v>95</v>
      </c>
      <c r="D345" s="2">
        <v>36</v>
      </c>
      <c r="E345" s="2" t="s">
        <v>131</v>
      </c>
      <c r="F345" s="2" t="s">
        <v>132</v>
      </c>
      <c r="G345" s="2" t="s">
        <v>52</v>
      </c>
      <c r="H345" s="2">
        <v>13</v>
      </c>
      <c r="I345" s="9">
        <v>40</v>
      </c>
      <c r="J345" s="2">
        <v>3</v>
      </c>
      <c r="K345" s="3">
        <v>0.78</v>
      </c>
      <c r="L345" s="2" t="s">
        <v>69</v>
      </c>
      <c r="M345" s="2" t="s">
        <v>33</v>
      </c>
      <c r="N345" s="2">
        <v>15</v>
      </c>
      <c r="O345" s="2">
        <v>10</v>
      </c>
    </row>
    <row r="346" spans="1:15" x14ac:dyDescent="0.3">
      <c r="A346" s="2" t="s">
        <v>770</v>
      </c>
      <c r="B346" s="2" t="s">
        <v>771</v>
      </c>
      <c r="C346" s="2" t="s">
        <v>95</v>
      </c>
      <c r="D346" s="2">
        <v>23</v>
      </c>
      <c r="E346" s="2" t="s">
        <v>24</v>
      </c>
      <c r="F346" s="2" t="s">
        <v>25</v>
      </c>
      <c r="G346" s="2" t="s">
        <v>87</v>
      </c>
      <c r="H346" s="2">
        <v>1</v>
      </c>
      <c r="I346" s="9" t="s">
        <v>117</v>
      </c>
      <c r="J346" s="2">
        <v>5</v>
      </c>
      <c r="K346" s="3">
        <v>1</v>
      </c>
      <c r="L346" s="2" t="s">
        <v>65</v>
      </c>
      <c r="M346" s="2" t="s">
        <v>33</v>
      </c>
      <c r="N346" s="2">
        <v>1</v>
      </c>
      <c r="O346" s="2">
        <v>3</v>
      </c>
    </row>
    <row r="347" spans="1:15" x14ac:dyDescent="0.3">
      <c r="A347" s="2" t="s">
        <v>772</v>
      </c>
      <c r="B347" s="2" t="s">
        <v>773</v>
      </c>
      <c r="C347" s="2" t="s">
        <v>95</v>
      </c>
      <c r="D347" s="2">
        <v>55</v>
      </c>
      <c r="E347" s="2" t="s">
        <v>16</v>
      </c>
      <c r="F347" s="2" t="s">
        <v>17</v>
      </c>
      <c r="G347" s="2" t="s">
        <v>87</v>
      </c>
      <c r="H347" s="2">
        <v>15</v>
      </c>
      <c r="I347" s="9">
        <v>40</v>
      </c>
      <c r="J347" s="2">
        <v>1</v>
      </c>
      <c r="K347" s="3">
        <v>0.5</v>
      </c>
      <c r="L347" s="2" t="s">
        <v>65</v>
      </c>
      <c r="M347" s="2" t="s">
        <v>33</v>
      </c>
      <c r="N347" s="2">
        <v>9</v>
      </c>
      <c r="O347" s="2">
        <v>10</v>
      </c>
    </row>
    <row r="348" spans="1:15" x14ac:dyDescent="0.3">
      <c r="A348" s="2" t="s">
        <v>774</v>
      </c>
      <c r="B348" s="2" t="s">
        <v>775</v>
      </c>
      <c r="C348" s="2" t="s">
        <v>77</v>
      </c>
      <c r="D348" s="2">
        <v>50</v>
      </c>
      <c r="E348" s="2" t="s">
        <v>104</v>
      </c>
      <c r="F348" s="2" t="s">
        <v>105</v>
      </c>
      <c r="G348" s="2" t="s">
        <v>26</v>
      </c>
      <c r="H348" s="2">
        <v>18</v>
      </c>
      <c r="I348" s="9">
        <v>75</v>
      </c>
      <c r="J348" s="2">
        <v>2</v>
      </c>
      <c r="K348" s="3">
        <v>0.67</v>
      </c>
      <c r="L348" s="2" t="s">
        <v>19</v>
      </c>
      <c r="M348" s="2" t="s">
        <v>20</v>
      </c>
      <c r="N348" s="2">
        <v>14</v>
      </c>
      <c r="O348" s="2">
        <v>6</v>
      </c>
    </row>
    <row r="349" spans="1:15" x14ac:dyDescent="0.3">
      <c r="A349" s="2" t="s">
        <v>776</v>
      </c>
      <c r="B349" s="2" t="s">
        <v>777</v>
      </c>
      <c r="C349" s="2" t="s">
        <v>95</v>
      </c>
      <c r="D349" s="2">
        <v>48</v>
      </c>
      <c r="E349" s="2" t="s">
        <v>57</v>
      </c>
      <c r="F349" s="2" t="s">
        <v>25</v>
      </c>
      <c r="G349" s="2" t="s">
        <v>110</v>
      </c>
      <c r="H349" s="2">
        <v>21</v>
      </c>
      <c r="I349" s="9">
        <v>50</v>
      </c>
      <c r="J349" s="2">
        <v>3</v>
      </c>
      <c r="K349" s="3">
        <v>0.78</v>
      </c>
      <c r="L349" s="2" t="s">
        <v>69</v>
      </c>
      <c r="M349" s="2" t="s">
        <v>33</v>
      </c>
      <c r="N349" s="2">
        <v>20</v>
      </c>
      <c r="O349" s="2">
        <v>7</v>
      </c>
    </row>
    <row r="350" spans="1:15" x14ac:dyDescent="0.3">
      <c r="A350" s="2" t="s">
        <v>778</v>
      </c>
      <c r="B350" s="2" t="s">
        <v>779</v>
      </c>
      <c r="C350" s="2" t="s">
        <v>95</v>
      </c>
      <c r="D350" s="2">
        <v>23</v>
      </c>
      <c r="E350" s="2" t="s">
        <v>42</v>
      </c>
      <c r="F350" s="2" t="s">
        <v>43</v>
      </c>
      <c r="G350" s="2" t="s">
        <v>87</v>
      </c>
      <c r="H350" s="2">
        <v>1</v>
      </c>
      <c r="I350" s="9" t="s">
        <v>38</v>
      </c>
      <c r="J350" s="2">
        <v>3</v>
      </c>
      <c r="K350" s="3">
        <v>0.78</v>
      </c>
      <c r="L350" s="2" t="s">
        <v>69</v>
      </c>
      <c r="M350" s="2" t="s">
        <v>20</v>
      </c>
      <c r="N350" s="2">
        <v>3</v>
      </c>
      <c r="O350" s="2">
        <v>3</v>
      </c>
    </row>
    <row r="351" spans="1:15" x14ac:dyDescent="0.3">
      <c r="A351" s="2" t="s">
        <v>780</v>
      </c>
      <c r="B351" s="2" t="s">
        <v>781</v>
      </c>
      <c r="C351" s="2" t="s">
        <v>77</v>
      </c>
      <c r="D351" s="2">
        <v>49</v>
      </c>
      <c r="E351" s="2" t="s">
        <v>124</v>
      </c>
      <c r="F351" s="2" t="s">
        <v>25</v>
      </c>
      <c r="G351" s="2" t="s">
        <v>37</v>
      </c>
      <c r="H351" s="2">
        <v>25</v>
      </c>
      <c r="I351" s="9" t="s">
        <v>45</v>
      </c>
      <c r="J351" s="2">
        <v>3</v>
      </c>
      <c r="K351" s="3">
        <v>0.75</v>
      </c>
      <c r="L351" s="2" t="s">
        <v>46</v>
      </c>
      <c r="M351" s="2" t="s">
        <v>27</v>
      </c>
      <c r="N351" s="2">
        <v>15</v>
      </c>
      <c r="O351" s="2">
        <v>10</v>
      </c>
    </row>
    <row r="352" spans="1:15" x14ac:dyDescent="0.3">
      <c r="A352" s="2" t="s">
        <v>782</v>
      </c>
      <c r="B352" s="2" t="s">
        <v>783</v>
      </c>
      <c r="C352" s="2" t="s">
        <v>77</v>
      </c>
      <c r="D352" s="2">
        <v>47</v>
      </c>
      <c r="E352" s="2" t="s">
        <v>16</v>
      </c>
      <c r="F352" s="2" t="s">
        <v>17</v>
      </c>
      <c r="G352" s="2" t="s">
        <v>78</v>
      </c>
      <c r="H352" s="2">
        <v>12</v>
      </c>
      <c r="I352" s="9">
        <v>50</v>
      </c>
      <c r="J352" s="2">
        <v>2</v>
      </c>
      <c r="K352" s="3">
        <v>0.67</v>
      </c>
      <c r="L352" s="2" t="s">
        <v>19</v>
      </c>
      <c r="M352" s="2" t="s">
        <v>58</v>
      </c>
      <c r="N352" s="2">
        <v>14</v>
      </c>
      <c r="O352" s="2">
        <v>10</v>
      </c>
    </row>
    <row r="353" spans="1:15" x14ac:dyDescent="0.3">
      <c r="A353" s="2" t="s">
        <v>784</v>
      </c>
      <c r="B353" s="2" t="s">
        <v>785</v>
      </c>
      <c r="C353" s="2" t="s">
        <v>77</v>
      </c>
      <c r="D353" s="2">
        <v>56</v>
      </c>
      <c r="E353" s="2" t="s">
        <v>83</v>
      </c>
      <c r="F353" s="2" t="s">
        <v>84</v>
      </c>
      <c r="G353" s="2" t="s">
        <v>32</v>
      </c>
      <c r="H353" s="2">
        <v>32</v>
      </c>
      <c r="I353" s="9" t="s">
        <v>38</v>
      </c>
      <c r="J353" s="2">
        <v>4</v>
      </c>
      <c r="K353" s="3">
        <v>0.86</v>
      </c>
      <c r="L353" s="2" t="s">
        <v>46</v>
      </c>
      <c r="M353" s="2" t="s">
        <v>33</v>
      </c>
      <c r="N353" s="2">
        <v>15</v>
      </c>
      <c r="O353" s="2">
        <v>5</v>
      </c>
    </row>
    <row r="354" spans="1:15" x14ac:dyDescent="0.3">
      <c r="A354" s="2" t="s">
        <v>786</v>
      </c>
      <c r="B354" s="2" t="s">
        <v>787</v>
      </c>
      <c r="C354" s="2" t="s">
        <v>95</v>
      </c>
      <c r="D354" s="2">
        <v>58</v>
      </c>
      <c r="E354" s="2" t="s">
        <v>72</v>
      </c>
      <c r="F354" s="2" t="s">
        <v>73</v>
      </c>
      <c r="G354" s="2" t="s">
        <v>74</v>
      </c>
      <c r="H354" s="10">
        <v>9.6266666666666669</v>
      </c>
      <c r="I354" s="9">
        <v>100</v>
      </c>
      <c r="J354" s="2">
        <v>3</v>
      </c>
      <c r="K354" s="3">
        <v>0.77</v>
      </c>
      <c r="L354" s="2" t="s">
        <v>69</v>
      </c>
      <c r="M354" s="2" t="s">
        <v>58</v>
      </c>
      <c r="N354" s="2">
        <v>3</v>
      </c>
      <c r="O354" s="2">
        <v>1</v>
      </c>
    </row>
    <row r="355" spans="1:15" x14ac:dyDescent="0.3">
      <c r="A355" s="2" t="s">
        <v>788</v>
      </c>
      <c r="B355" s="2" t="s">
        <v>789</v>
      </c>
      <c r="C355" s="2" t="s">
        <v>95</v>
      </c>
      <c r="D355" s="2">
        <v>32</v>
      </c>
      <c r="E355" s="2" t="s">
        <v>108</v>
      </c>
      <c r="F355" s="2" t="s">
        <v>109</v>
      </c>
      <c r="G355" s="2" t="s">
        <v>74</v>
      </c>
      <c r="H355" s="2">
        <v>10</v>
      </c>
      <c r="I355" s="9" t="s">
        <v>45</v>
      </c>
      <c r="J355" s="2">
        <v>2</v>
      </c>
      <c r="K355" s="3">
        <v>0.61</v>
      </c>
      <c r="L355" s="2" t="s">
        <v>19</v>
      </c>
      <c r="M355" s="2" t="s">
        <v>58</v>
      </c>
      <c r="N355" s="2">
        <v>11</v>
      </c>
      <c r="O355" s="2">
        <v>5</v>
      </c>
    </row>
    <row r="356" spans="1:15" x14ac:dyDescent="0.3">
      <c r="A356" s="2" t="s">
        <v>790</v>
      </c>
      <c r="B356" s="2" t="s">
        <v>791</v>
      </c>
      <c r="C356" s="2" t="s">
        <v>77</v>
      </c>
      <c r="D356" s="2">
        <v>52</v>
      </c>
      <c r="E356" s="2" t="s">
        <v>91</v>
      </c>
      <c r="F356" s="2" t="s">
        <v>92</v>
      </c>
      <c r="G356" s="2" t="s">
        <v>74</v>
      </c>
      <c r="H356" s="2">
        <v>0</v>
      </c>
      <c r="I356" s="9">
        <v>54.72027972027972</v>
      </c>
      <c r="J356" s="2">
        <v>5</v>
      </c>
      <c r="K356" s="3">
        <v>0.9</v>
      </c>
      <c r="L356" s="2" t="s">
        <v>65</v>
      </c>
      <c r="M356" s="2" t="s">
        <v>27</v>
      </c>
      <c r="N356" s="2">
        <v>1</v>
      </c>
      <c r="O356" s="2">
        <v>1</v>
      </c>
    </row>
    <row r="357" spans="1:15" x14ac:dyDescent="0.3">
      <c r="A357" s="2" t="s">
        <v>792</v>
      </c>
      <c r="B357" s="2" t="s">
        <v>793</v>
      </c>
      <c r="C357" s="2" t="s">
        <v>77</v>
      </c>
      <c r="D357" s="2">
        <v>22</v>
      </c>
      <c r="E357" s="2" t="s">
        <v>168</v>
      </c>
      <c r="F357" s="2" t="s">
        <v>169</v>
      </c>
      <c r="G357" s="2" t="s">
        <v>52</v>
      </c>
      <c r="H357" s="2">
        <v>1</v>
      </c>
      <c r="I357" s="9">
        <v>50</v>
      </c>
      <c r="J357" s="2">
        <v>5</v>
      </c>
      <c r="K357" s="3">
        <v>0.98</v>
      </c>
      <c r="L357" s="2" t="s">
        <v>19</v>
      </c>
      <c r="M357" s="2" t="s">
        <v>58</v>
      </c>
      <c r="N357" s="2">
        <v>4</v>
      </c>
      <c r="O357" s="2">
        <v>5</v>
      </c>
    </row>
    <row r="358" spans="1:15" x14ac:dyDescent="0.3">
      <c r="A358" s="2" t="s">
        <v>794</v>
      </c>
      <c r="B358" s="2" t="s">
        <v>795</v>
      </c>
      <c r="C358" s="2" t="s">
        <v>95</v>
      </c>
      <c r="D358" s="2">
        <v>20</v>
      </c>
      <c r="E358" s="2" t="s">
        <v>91</v>
      </c>
      <c r="F358" s="2" t="s">
        <v>92</v>
      </c>
      <c r="G358" s="2" t="s">
        <v>78</v>
      </c>
      <c r="H358" s="2">
        <v>2</v>
      </c>
      <c r="I358" s="9">
        <v>30</v>
      </c>
      <c r="J358" s="2">
        <v>5</v>
      </c>
      <c r="K358" s="3">
        <v>0.99</v>
      </c>
      <c r="L358" s="2" t="s">
        <v>65</v>
      </c>
      <c r="M358" s="2" t="s">
        <v>20</v>
      </c>
      <c r="N358" s="2">
        <v>3</v>
      </c>
      <c r="O358" s="2">
        <v>2</v>
      </c>
    </row>
    <row r="359" spans="1:15" x14ac:dyDescent="0.3">
      <c r="A359" s="2" t="s">
        <v>796</v>
      </c>
      <c r="B359" s="2" t="s">
        <v>797</v>
      </c>
      <c r="C359" s="2" t="s">
        <v>95</v>
      </c>
      <c r="D359" s="2">
        <v>56</v>
      </c>
      <c r="E359" s="2" t="s">
        <v>42</v>
      </c>
      <c r="F359" s="2" t="s">
        <v>43</v>
      </c>
      <c r="G359" s="2" t="s">
        <v>52</v>
      </c>
      <c r="H359" s="2">
        <v>9</v>
      </c>
      <c r="I359" s="9" t="s">
        <v>38</v>
      </c>
      <c r="J359" s="2">
        <v>2</v>
      </c>
      <c r="K359" s="3">
        <v>0.61</v>
      </c>
      <c r="L359" s="2" t="s">
        <v>65</v>
      </c>
      <c r="M359" s="2" t="s">
        <v>58</v>
      </c>
      <c r="N359" s="2">
        <v>10</v>
      </c>
      <c r="O359" s="2">
        <v>5</v>
      </c>
    </row>
    <row r="360" spans="1:15" x14ac:dyDescent="0.3">
      <c r="A360" s="2" t="s">
        <v>798</v>
      </c>
      <c r="B360" s="2" t="s">
        <v>799</v>
      </c>
      <c r="C360" s="2" t="s">
        <v>95</v>
      </c>
      <c r="D360" s="2">
        <v>41</v>
      </c>
      <c r="E360" s="2" t="s">
        <v>83</v>
      </c>
      <c r="F360" s="2" t="s">
        <v>84</v>
      </c>
      <c r="G360" s="2" t="s">
        <v>52</v>
      </c>
      <c r="H360" s="2">
        <v>22</v>
      </c>
      <c r="I360" s="9" t="s">
        <v>64</v>
      </c>
      <c r="J360" s="2">
        <v>2</v>
      </c>
      <c r="K360" s="3">
        <v>0.61</v>
      </c>
      <c r="L360" s="2" t="s">
        <v>19</v>
      </c>
      <c r="M360" s="2" t="s">
        <v>58</v>
      </c>
      <c r="N360" s="2">
        <v>10</v>
      </c>
      <c r="O360" s="2">
        <v>10</v>
      </c>
    </row>
    <row r="361" spans="1:15" x14ac:dyDescent="0.3">
      <c r="A361" s="2" t="s">
        <v>800</v>
      </c>
      <c r="B361" s="2" t="s">
        <v>801</v>
      </c>
      <c r="C361" s="2" t="s">
        <v>95</v>
      </c>
      <c r="D361" s="2">
        <v>25</v>
      </c>
      <c r="E361" s="2" t="s">
        <v>72</v>
      </c>
      <c r="F361" s="2" t="s">
        <v>73</v>
      </c>
      <c r="G361" s="2" t="s">
        <v>18</v>
      </c>
      <c r="H361" s="2">
        <v>5</v>
      </c>
      <c r="I361" s="9" t="s">
        <v>45</v>
      </c>
      <c r="J361" s="2">
        <v>5</v>
      </c>
      <c r="K361" s="3">
        <v>0.91</v>
      </c>
      <c r="L361" s="2" t="s">
        <v>65</v>
      </c>
      <c r="M361" s="2" t="s">
        <v>58</v>
      </c>
      <c r="N361" s="2">
        <v>2</v>
      </c>
      <c r="O361" s="2">
        <v>1</v>
      </c>
    </row>
    <row r="362" spans="1:15" x14ac:dyDescent="0.3">
      <c r="A362" s="2" t="s">
        <v>802</v>
      </c>
      <c r="B362" s="2" t="s">
        <v>803</v>
      </c>
      <c r="C362" s="2" t="s">
        <v>77</v>
      </c>
      <c r="D362" s="2">
        <v>44</v>
      </c>
      <c r="E362" s="2" t="s">
        <v>124</v>
      </c>
      <c r="F362" s="2" t="s">
        <v>25</v>
      </c>
      <c r="G362" s="2" t="s">
        <v>78</v>
      </c>
      <c r="H362" s="2">
        <v>6</v>
      </c>
      <c r="I362" s="9">
        <v>75</v>
      </c>
      <c r="J362" s="2">
        <v>3</v>
      </c>
      <c r="K362" s="3">
        <v>0.72</v>
      </c>
      <c r="L362" s="2" t="s">
        <v>46</v>
      </c>
      <c r="M362" s="2" t="s">
        <v>33</v>
      </c>
      <c r="N362" s="2">
        <v>13</v>
      </c>
      <c r="O362" s="2">
        <v>1</v>
      </c>
    </row>
    <row r="363" spans="1:15" x14ac:dyDescent="0.3">
      <c r="A363" s="2" t="s">
        <v>804</v>
      </c>
      <c r="B363" s="2" t="s">
        <v>805</v>
      </c>
      <c r="C363" s="2" t="s">
        <v>77</v>
      </c>
      <c r="D363" s="2">
        <v>46</v>
      </c>
      <c r="E363" s="2" t="s">
        <v>24</v>
      </c>
      <c r="F363" s="2" t="s">
        <v>25</v>
      </c>
      <c r="G363" s="2" t="s">
        <v>37</v>
      </c>
      <c r="H363" s="2">
        <v>26</v>
      </c>
      <c r="I363" s="9" t="s">
        <v>222</v>
      </c>
      <c r="J363" s="2">
        <v>1</v>
      </c>
      <c r="K363" s="3">
        <v>0.5</v>
      </c>
      <c r="L363" s="2" t="s">
        <v>69</v>
      </c>
      <c r="M363" s="2" t="s">
        <v>33</v>
      </c>
      <c r="N363" s="2">
        <v>15</v>
      </c>
      <c r="O363" s="2">
        <v>2</v>
      </c>
    </row>
    <row r="364" spans="1:15" x14ac:dyDescent="0.3">
      <c r="A364" s="2" t="s">
        <v>806</v>
      </c>
      <c r="B364" s="2" t="s">
        <v>807</v>
      </c>
      <c r="C364" s="2" t="s">
        <v>77</v>
      </c>
      <c r="D364" s="2">
        <v>40</v>
      </c>
      <c r="E364" s="2" t="s">
        <v>108</v>
      </c>
      <c r="F364" s="2" t="s">
        <v>109</v>
      </c>
      <c r="G364" s="2" t="s">
        <v>18</v>
      </c>
      <c r="H364" s="10">
        <v>10.380952380952381</v>
      </c>
      <c r="I364" s="9">
        <v>40</v>
      </c>
      <c r="J364" s="2">
        <v>5</v>
      </c>
      <c r="K364" s="3">
        <v>0.96</v>
      </c>
      <c r="L364" s="2" t="s">
        <v>65</v>
      </c>
      <c r="M364" s="2" t="s">
        <v>20</v>
      </c>
      <c r="N364" s="2">
        <v>4</v>
      </c>
      <c r="O364" s="2">
        <v>3</v>
      </c>
    </row>
    <row r="365" spans="1:15" x14ac:dyDescent="0.3">
      <c r="A365" s="2" t="s">
        <v>808</v>
      </c>
      <c r="B365" s="2" t="s">
        <v>809</v>
      </c>
      <c r="C365" s="2" t="s">
        <v>95</v>
      </c>
      <c r="D365" s="2">
        <v>41</v>
      </c>
      <c r="E365" s="2" t="s">
        <v>168</v>
      </c>
      <c r="F365" s="2" t="s">
        <v>169</v>
      </c>
      <c r="G365" s="2" t="s">
        <v>44</v>
      </c>
      <c r="H365" s="2">
        <v>9</v>
      </c>
      <c r="I365" s="9" t="s">
        <v>38</v>
      </c>
      <c r="J365" s="2">
        <v>3</v>
      </c>
      <c r="K365" s="3">
        <v>0.72</v>
      </c>
      <c r="L365" s="2" t="s">
        <v>46</v>
      </c>
      <c r="M365" s="2" t="s">
        <v>20</v>
      </c>
      <c r="N365" s="2">
        <v>9</v>
      </c>
      <c r="O365" s="2">
        <v>12</v>
      </c>
    </row>
    <row r="366" spans="1:15" x14ac:dyDescent="0.3">
      <c r="A366" s="2" t="s">
        <v>810</v>
      </c>
      <c r="B366" s="2" t="s">
        <v>811</v>
      </c>
      <c r="C366" s="2" t="s">
        <v>95</v>
      </c>
      <c r="D366" s="2">
        <v>31</v>
      </c>
      <c r="E366" s="2" t="s">
        <v>83</v>
      </c>
      <c r="F366" s="2" t="s">
        <v>84</v>
      </c>
      <c r="G366" s="2" t="s">
        <v>52</v>
      </c>
      <c r="H366" s="2">
        <v>11</v>
      </c>
      <c r="I366" s="9">
        <v>54.89208633093525</v>
      </c>
      <c r="J366" s="2">
        <v>1</v>
      </c>
      <c r="K366" s="3">
        <v>0.5</v>
      </c>
      <c r="L366" s="2" t="s">
        <v>65</v>
      </c>
      <c r="M366" s="2" t="s">
        <v>33</v>
      </c>
      <c r="N366" s="2">
        <v>15</v>
      </c>
      <c r="O366" s="2">
        <v>10</v>
      </c>
    </row>
    <row r="367" spans="1:15" x14ac:dyDescent="0.3">
      <c r="A367" s="2" t="s">
        <v>812</v>
      </c>
      <c r="B367" s="2" t="s">
        <v>813</v>
      </c>
      <c r="C367" s="2" t="s">
        <v>95</v>
      </c>
      <c r="D367" s="2">
        <v>33</v>
      </c>
      <c r="E367" s="2" t="s">
        <v>108</v>
      </c>
      <c r="F367" s="2" t="s">
        <v>109</v>
      </c>
      <c r="G367" s="2" t="s">
        <v>110</v>
      </c>
      <c r="H367" s="10">
        <v>11.373134328358208</v>
      </c>
      <c r="I367" s="9" t="s">
        <v>38</v>
      </c>
      <c r="J367" s="2">
        <v>2</v>
      </c>
      <c r="K367" s="3">
        <v>0.63</v>
      </c>
      <c r="L367" s="2" t="s">
        <v>69</v>
      </c>
      <c r="M367" s="2" t="s">
        <v>20</v>
      </c>
      <c r="N367" s="2">
        <v>2</v>
      </c>
      <c r="O367" s="2">
        <v>4</v>
      </c>
    </row>
    <row r="368" spans="1:15" x14ac:dyDescent="0.3">
      <c r="A368" s="2" t="s">
        <v>814</v>
      </c>
      <c r="B368" s="2" t="s">
        <v>815</v>
      </c>
      <c r="C368" s="2" t="s">
        <v>77</v>
      </c>
      <c r="D368" s="2">
        <v>31</v>
      </c>
      <c r="E368" s="2" t="s">
        <v>104</v>
      </c>
      <c r="F368" s="2" t="s">
        <v>105</v>
      </c>
      <c r="G368" s="2" t="s">
        <v>110</v>
      </c>
      <c r="H368" s="2">
        <v>3</v>
      </c>
      <c r="I368" s="9" t="s">
        <v>117</v>
      </c>
      <c r="J368" s="2">
        <v>1</v>
      </c>
      <c r="K368" s="3">
        <v>0.5</v>
      </c>
      <c r="L368" s="2" t="s">
        <v>46</v>
      </c>
      <c r="M368" s="2" t="s">
        <v>33</v>
      </c>
      <c r="N368" s="2">
        <v>1</v>
      </c>
      <c r="O368" s="2">
        <v>2</v>
      </c>
    </row>
    <row r="369" spans="1:15" x14ac:dyDescent="0.3">
      <c r="A369" s="2" t="s">
        <v>816</v>
      </c>
      <c r="B369" s="2" t="s">
        <v>817</v>
      </c>
      <c r="C369" s="2" t="s">
        <v>77</v>
      </c>
      <c r="D369" s="2">
        <v>49</v>
      </c>
      <c r="E369" s="2" t="s">
        <v>16</v>
      </c>
      <c r="F369" s="2" t="s">
        <v>17</v>
      </c>
      <c r="G369" s="2" t="s">
        <v>52</v>
      </c>
      <c r="H369" s="2">
        <v>15</v>
      </c>
      <c r="I369" s="9" t="s">
        <v>163</v>
      </c>
      <c r="J369" s="2">
        <v>4</v>
      </c>
      <c r="K369" s="3">
        <v>0.83</v>
      </c>
      <c r="L369" s="2" t="s">
        <v>69</v>
      </c>
      <c r="M369" s="2" t="s">
        <v>27</v>
      </c>
      <c r="N369" s="2">
        <v>13</v>
      </c>
      <c r="O369" s="2">
        <v>9</v>
      </c>
    </row>
    <row r="370" spans="1:15" x14ac:dyDescent="0.3">
      <c r="A370" s="2" t="s">
        <v>818</v>
      </c>
      <c r="B370" s="2" t="s">
        <v>819</v>
      </c>
      <c r="C370" s="2" t="s">
        <v>95</v>
      </c>
      <c r="D370" s="2">
        <v>35</v>
      </c>
      <c r="E370" s="2" t="s">
        <v>172</v>
      </c>
      <c r="F370" s="2" t="s">
        <v>73</v>
      </c>
      <c r="G370" s="2" t="s">
        <v>32</v>
      </c>
      <c r="H370" s="2">
        <v>12</v>
      </c>
      <c r="I370" s="9" t="s">
        <v>117</v>
      </c>
      <c r="J370" s="2">
        <v>5</v>
      </c>
      <c r="K370" s="3">
        <v>0.94</v>
      </c>
      <c r="L370" s="2" t="s">
        <v>69</v>
      </c>
      <c r="M370" s="2" t="s">
        <v>58</v>
      </c>
      <c r="N370" s="2">
        <v>8</v>
      </c>
      <c r="O370" s="2">
        <v>5</v>
      </c>
    </row>
    <row r="371" spans="1:15" x14ac:dyDescent="0.3">
      <c r="A371" s="2" t="s">
        <v>820</v>
      </c>
      <c r="B371" s="2" t="s">
        <v>821</v>
      </c>
      <c r="C371" s="2" t="s">
        <v>95</v>
      </c>
      <c r="D371" s="2">
        <v>45</v>
      </c>
      <c r="E371" s="2" t="s">
        <v>91</v>
      </c>
      <c r="F371" s="2" t="s">
        <v>92</v>
      </c>
      <c r="G371" s="2" t="s">
        <v>52</v>
      </c>
      <c r="H371" s="2">
        <v>19</v>
      </c>
      <c r="I371" s="9" t="s">
        <v>38</v>
      </c>
      <c r="J371" s="2">
        <v>3</v>
      </c>
      <c r="K371" s="3">
        <v>0.78</v>
      </c>
      <c r="L371" s="2" t="s">
        <v>46</v>
      </c>
      <c r="M371" s="2" t="s">
        <v>58</v>
      </c>
      <c r="N371" s="2">
        <v>10</v>
      </c>
      <c r="O371" s="2">
        <v>14</v>
      </c>
    </row>
    <row r="372" spans="1:15" x14ac:dyDescent="0.3">
      <c r="A372" s="2" t="s">
        <v>822</v>
      </c>
      <c r="B372" s="2" t="s">
        <v>823</v>
      </c>
      <c r="C372" s="2" t="s">
        <v>77</v>
      </c>
      <c r="D372" s="2">
        <v>39</v>
      </c>
      <c r="E372" s="2" t="s">
        <v>42</v>
      </c>
      <c r="F372" s="2" t="s">
        <v>43</v>
      </c>
      <c r="G372" s="2" t="s">
        <v>52</v>
      </c>
      <c r="H372" s="2">
        <v>13</v>
      </c>
      <c r="I372" s="9">
        <v>30</v>
      </c>
      <c r="J372" s="2">
        <v>1</v>
      </c>
      <c r="K372" s="3">
        <v>0.5</v>
      </c>
      <c r="L372" s="2" t="s">
        <v>46</v>
      </c>
      <c r="M372" s="2" t="s">
        <v>20</v>
      </c>
      <c r="N372" s="2">
        <v>8</v>
      </c>
      <c r="O372" s="2">
        <v>4</v>
      </c>
    </row>
    <row r="373" spans="1:15" x14ac:dyDescent="0.3">
      <c r="A373" s="2" t="s">
        <v>824</v>
      </c>
      <c r="B373" s="2" t="s">
        <v>825</v>
      </c>
      <c r="C373" s="2" t="s">
        <v>95</v>
      </c>
      <c r="D373" s="2">
        <v>41</v>
      </c>
      <c r="E373" s="2" t="s">
        <v>72</v>
      </c>
      <c r="F373" s="2" t="s">
        <v>73</v>
      </c>
      <c r="G373" s="2" t="s">
        <v>18</v>
      </c>
      <c r="H373" s="10">
        <v>10.380952380952381</v>
      </c>
      <c r="I373" s="9" t="s">
        <v>64</v>
      </c>
      <c r="J373" s="2">
        <v>4</v>
      </c>
      <c r="K373" s="3">
        <v>0.82</v>
      </c>
      <c r="L373" s="2" t="s">
        <v>46</v>
      </c>
      <c r="M373" s="2" t="s">
        <v>33</v>
      </c>
      <c r="N373" s="2">
        <v>1</v>
      </c>
      <c r="O373" s="2">
        <v>1</v>
      </c>
    </row>
    <row r="374" spans="1:15" x14ac:dyDescent="0.3">
      <c r="A374" s="2" t="s">
        <v>826</v>
      </c>
      <c r="B374" s="2" t="s">
        <v>827</v>
      </c>
      <c r="C374" s="2" t="s">
        <v>95</v>
      </c>
      <c r="D374" s="2">
        <v>24</v>
      </c>
      <c r="E374" s="2" t="s">
        <v>31</v>
      </c>
      <c r="F374" s="2" t="s">
        <v>31</v>
      </c>
      <c r="G374" s="2" t="s">
        <v>78</v>
      </c>
      <c r="H374" s="2">
        <v>3</v>
      </c>
      <c r="I374" s="9" t="s">
        <v>45</v>
      </c>
      <c r="J374" s="2">
        <v>2</v>
      </c>
      <c r="K374" s="3">
        <v>0.66</v>
      </c>
      <c r="L374" s="2" t="s">
        <v>19</v>
      </c>
      <c r="M374" s="2" t="s">
        <v>33</v>
      </c>
      <c r="N374" s="2">
        <v>4</v>
      </c>
      <c r="O374" s="2">
        <v>5</v>
      </c>
    </row>
    <row r="375" spans="1:15" x14ac:dyDescent="0.3">
      <c r="A375" s="2" t="s">
        <v>828</v>
      </c>
      <c r="B375" s="2" t="s">
        <v>829</v>
      </c>
      <c r="C375" s="2" t="s">
        <v>95</v>
      </c>
      <c r="D375" s="2">
        <v>50</v>
      </c>
      <c r="E375" s="2" t="s">
        <v>24</v>
      </c>
      <c r="F375" s="2" t="s">
        <v>25</v>
      </c>
      <c r="G375" s="2" t="s">
        <v>32</v>
      </c>
      <c r="H375" s="2">
        <v>26</v>
      </c>
      <c r="I375" s="9">
        <v>55.072463768115945</v>
      </c>
      <c r="J375" s="2">
        <v>4</v>
      </c>
      <c r="K375" s="3">
        <v>0.82</v>
      </c>
      <c r="L375" s="2" t="s">
        <v>46</v>
      </c>
      <c r="M375" s="2" t="s">
        <v>20</v>
      </c>
      <c r="N375" s="2">
        <v>11</v>
      </c>
      <c r="O375" s="2">
        <v>9</v>
      </c>
    </row>
    <row r="376" spans="1:15" x14ac:dyDescent="0.3">
      <c r="A376" s="2" t="s">
        <v>830</v>
      </c>
      <c r="B376" s="2" t="s">
        <v>831</v>
      </c>
      <c r="C376" s="2" t="s">
        <v>77</v>
      </c>
      <c r="D376" s="2">
        <v>23</v>
      </c>
      <c r="E376" s="2" t="s">
        <v>31</v>
      </c>
      <c r="F376" s="2" t="s">
        <v>31</v>
      </c>
      <c r="G376" s="2" t="s">
        <v>110</v>
      </c>
      <c r="H376" s="2">
        <v>4</v>
      </c>
      <c r="I376" s="9" t="s">
        <v>117</v>
      </c>
      <c r="J376" s="2">
        <v>4</v>
      </c>
      <c r="K376" s="3">
        <v>0.84</v>
      </c>
      <c r="L376" s="2" t="s">
        <v>46</v>
      </c>
      <c r="M376" s="2" t="s">
        <v>33</v>
      </c>
      <c r="N376" s="2">
        <v>4</v>
      </c>
      <c r="O376" s="2">
        <v>4</v>
      </c>
    </row>
    <row r="377" spans="1:15" x14ac:dyDescent="0.3">
      <c r="A377" s="2" t="s">
        <v>832</v>
      </c>
      <c r="B377" s="2" t="s">
        <v>833</v>
      </c>
      <c r="C377" s="2" t="s">
        <v>95</v>
      </c>
      <c r="D377" s="2">
        <v>27</v>
      </c>
      <c r="E377" s="2" t="s">
        <v>124</v>
      </c>
      <c r="F377" s="2" t="s">
        <v>25</v>
      </c>
      <c r="G377" s="2" t="s">
        <v>78</v>
      </c>
      <c r="H377" s="2">
        <v>8</v>
      </c>
      <c r="I377" s="9">
        <v>20</v>
      </c>
      <c r="J377" s="2">
        <v>4</v>
      </c>
      <c r="K377" s="3">
        <v>0.81</v>
      </c>
      <c r="L377" s="2" t="s">
        <v>46</v>
      </c>
      <c r="M377" s="2" t="s">
        <v>27</v>
      </c>
      <c r="N377" s="2">
        <v>6</v>
      </c>
      <c r="O377" s="2">
        <v>8</v>
      </c>
    </row>
    <row r="378" spans="1:15" x14ac:dyDescent="0.3">
      <c r="A378" s="2" t="s">
        <v>834</v>
      </c>
      <c r="B378" s="2" t="s">
        <v>835</v>
      </c>
      <c r="C378" s="2" t="s">
        <v>95</v>
      </c>
      <c r="D378" s="2">
        <v>58</v>
      </c>
      <c r="E378" s="2" t="s">
        <v>147</v>
      </c>
      <c r="F378" s="2" t="s">
        <v>148</v>
      </c>
      <c r="G378" s="2" t="s">
        <v>44</v>
      </c>
      <c r="H378" s="2">
        <v>10</v>
      </c>
      <c r="I378" s="9">
        <v>75</v>
      </c>
      <c r="J378" s="2">
        <v>3</v>
      </c>
      <c r="K378" s="3">
        <v>0.71</v>
      </c>
      <c r="L378" s="2" t="s">
        <v>46</v>
      </c>
      <c r="M378" s="2" t="s">
        <v>58</v>
      </c>
      <c r="N378" s="2">
        <v>7</v>
      </c>
      <c r="O378" s="2">
        <v>5</v>
      </c>
    </row>
    <row r="379" spans="1:15" x14ac:dyDescent="0.3">
      <c r="A379" s="2" t="s">
        <v>836</v>
      </c>
      <c r="B379" s="2" t="s">
        <v>837</v>
      </c>
      <c r="C379" s="2" t="s">
        <v>95</v>
      </c>
      <c r="D379" s="2">
        <v>37</v>
      </c>
      <c r="E379" s="2" t="s">
        <v>16</v>
      </c>
      <c r="F379" s="2" t="s">
        <v>17</v>
      </c>
      <c r="G379" s="2" t="s">
        <v>110</v>
      </c>
      <c r="H379" s="2">
        <v>5</v>
      </c>
      <c r="I379" s="9">
        <v>55.183823529411768</v>
      </c>
      <c r="J379" s="2">
        <v>2</v>
      </c>
      <c r="K379" s="3">
        <v>0.61</v>
      </c>
      <c r="L379" s="2" t="s">
        <v>65</v>
      </c>
      <c r="M379" s="2" t="s">
        <v>20</v>
      </c>
      <c r="N379" s="2">
        <v>2</v>
      </c>
      <c r="O379" s="2">
        <v>1</v>
      </c>
    </row>
    <row r="380" spans="1:15" x14ac:dyDescent="0.3">
      <c r="A380" s="2" t="s">
        <v>838</v>
      </c>
      <c r="B380" s="2" t="s">
        <v>839</v>
      </c>
      <c r="C380" s="2" t="s">
        <v>95</v>
      </c>
      <c r="D380" s="2">
        <v>39</v>
      </c>
      <c r="E380" s="2" t="s">
        <v>183</v>
      </c>
      <c r="F380" s="2" t="s">
        <v>73</v>
      </c>
      <c r="G380" s="2" t="s">
        <v>18</v>
      </c>
      <c r="H380" s="2">
        <v>18</v>
      </c>
      <c r="I380" s="9">
        <v>75</v>
      </c>
      <c r="J380" s="2">
        <v>2</v>
      </c>
      <c r="K380" s="3">
        <v>0.66</v>
      </c>
      <c r="L380" s="2" t="s">
        <v>19</v>
      </c>
      <c r="M380" s="2" t="s">
        <v>20</v>
      </c>
      <c r="N380" s="2">
        <v>10</v>
      </c>
      <c r="O380" s="2">
        <v>8</v>
      </c>
    </row>
    <row r="381" spans="1:15" x14ac:dyDescent="0.3">
      <c r="A381" s="2" t="s">
        <v>840</v>
      </c>
      <c r="B381" s="2" t="s">
        <v>841</v>
      </c>
      <c r="C381" s="2" t="s">
        <v>77</v>
      </c>
      <c r="D381" s="2">
        <v>46</v>
      </c>
      <c r="E381" s="2" t="s">
        <v>135</v>
      </c>
      <c r="F381" s="2" t="s">
        <v>136</v>
      </c>
      <c r="G381" s="2" t="s">
        <v>52</v>
      </c>
      <c r="H381" s="2">
        <v>10</v>
      </c>
      <c r="I381" s="9" t="s">
        <v>117</v>
      </c>
      <c r="J381" s="2">
        <v>5</v>
      </c>
      <c r="K381" s="3">
        <v>0.97</v>
      </c>
      <c r="L381" s="2" t="s">
        <v>69</v>
      </c>
      <c r="M381" s="2" t="s">
        <v>33</v>
      </c>
      <c r="N381" s="2">
        <v>13</v>
      </c>
      <c r="O381" s="2">
        <v>2</v>
      </c>
    </row>
    <row r="382" spans="1:15" x14ac:dyDescent="0.3">
      <c r="A382" s="2" t="s">
        <v>842</v>
      </c>
      <c r="B382" s="2" t="s">
        <v>843</v>
      </c>
      <c r="C382" s="2" t="s">
        <v>77</v>
      </c>
      <c r="D382" s="2">
        <v>41</v>
      </c>
      <c r="E382" s="2" t="s">
        <v>68</v>
      </c>
      <c r="F382" s="2" t="s">
        <v>25</v>
      </c>
      <c r="G382" s="2" t="s">
        <v>74</v>
      </c>
      <c r="H382" s="2">
        <v>0</v>
      </c>
      <c r="I382" s="9" t="s">
        <v>117</v>
      </c>
      <c r="J382" s="2">
        <v>3</v>
      </c>
      <c r="K382" s="3">
        <v>0.74</v>
      </c>
      <c r="L382" s="2" t="s">
        <v>46</v>
      </c>
      <c r="M382" s="2" t="s">
        <v>20</v>
      </c>
      <c r="N382" s="2">
        <v>2</v>
      </c>
      <c r="O382" s="2">
        <v>1</v>
      </c>
    </row>
    <row r="383" spans="1:15" x14ac:dyDescent="0.3">
      <c r="A383" s="2" t="s">
        <v>844</v>
      </c>
      <c r="B383" s="2" t="s">
        <v>845</v>
      </c>
      <c r="C383" s="2" t="s">
        <v>77</v>
      </c>
      <c r="D383" s="2">
        <v>39</v>
      </c>
      <c r="E383" s="2" t="s">
        <v>172</v>
      </c>
      <c r="F383" s="2" t="s">
        <v>73</v>
      </c>
      <c r="G383" s="2" t="s">
        <v>18</v>
      </c>
      <c r="H383" s="2">
        <v>21</v>
      </c>
      <c r="I383" s="9">
        <v>30</v>
      </c>
      <c r="J383" s="2">
        <v>2</v>
      </c>
      <c r="K383" s="3">
        <v>0.61</v>
      </c>
      <c r="L383" s="2" t="s">
        <v>65</v>
      </c>
      <c r="M383" s="2" t="s">
        <v>27</v>
      </c>
      <c r="N383" s="2">
        <v>15</v>
      </c>
      <c r="O383" s="2">
        <v>6</v>
      </c>
    </row>
    <row r="384" spans="1:15" x14ac:dyDescent="0.3">
      <c r="A384" s="2" t="s">
        <v>846</v>
      </c>
      <c r="B384" s="2" t="s">
        <v>847</v>
      </c>
      <c r="C384" s="2" t="s">
        <v>95</v>
      </c>
      <c r="D384" s="2">
        <v>59</v>
      </c>
      <c r="E384" s="2" t="s">
        <v>135</v>
      </c>
      <c r="F384" s="2" t="s">
        <v>136</v>
      </c>
      <c r="G384" s="2" t="s">
        <v>18</v>
      </c>
      <c r="H384" s="2">
        <v>25</v>
      </c>
      <c r="I384" s="9">
        <v>20</v>
      </c>
      <c r="J384" s="2">
        <v>5</v>
      </c>
      <c r="K384" s="3">
        <v>0.9</v>
      </c>
      <c r="L384" s="2" t="s">
        <v>65</v>
      </c>
      <c r="M384" s="2" t="s">
        <v>33</v>
      </c>
      <c r="N384" s="2">
        <v>15</v>
      </c>
      <c r="O384" s="2">
        <v>9</v>
      </c>
    </row>
    <row r="385" spans="1:15" x14ac:dyDescent="0.3">
      <c r="A385" s="2" t="s">
        <v>848</v>
      </c>
      <c r="B385" s="2" t="s">
        <v>849</v>
      </c>
      <c r="C385" s="2" t="s">
        <v>95</v>
      </c>
      <c r="D385" s="2">
        <v>21</v>
      </c>
      <c r="E385" s="2" t="s">
        <v>42</v>
      </c>
      <c r="F385" s="2" t="s">
        <v>43</v>
      </c>
      <c r="G385" s="2" t="s">
        <v>87</v>
      </c>
      <c r="H385" s="2">
        <v>0</v>
      </c>
      <c r="I385" s="9" t="s">
        <v>38</v>
      </c>
      <c r="J385" s="2">
        <v>5</v>
      </c>
      <c r="K385" s="3">
        <v>0.97</v>
      </c>
      <c r="L385" s="2" t="s">
        <v>65</v>
      </c>
      <c r="M385" s="2" t="s">
        <v>33</v>
      </c>
      <c r="N385" s="2">
        <v>4</v>
      </c>
      <c r="O385" s="2">
        <v>1</v>
      </c>
    </row>
    <row r="386" spans="1:15" x14ac:dyDescent="0.3">
      <c r="A386" s="2" t="s">
        <v>850</v>
      </c>
      <c r="B386" s="2" t="s">
        <v>851</v>
      </c>
      <c r="C386" s="2" t="s">
        <v>77</v>
      </c>
      <c r="D386" s="2">
        <v>23</v>
      </c>
      <c r="E386" s="2" t="s">
        <v>124</v>
      </c>
      <c r="F386" s="2" t="s">
        <v>25</v>
      </c>
      <c r="G386" s="2" t="s">
        <v>87</v>
      </c>
      <c r="H386" s="2">
        <v>5</v>
      </c>
      <c r="I386" s="9">
        <v>100</v>
      </c>
      <c r="J386" s="2">
        <v>1</v>
      </c>
      <c r="K386" s="3">
        <v>0.5</v>
      </c>
      <c r="L386" s="2" t="s">
        <v>69</v>
      </c>
      <c r="M386" s="2" t="s">
        <v>33</v>
      </c>
      <c r="N386" s="2">
        <v>5</v>
      </c>
      <c r="O386" s="2">
        <v>5</v>
      </c>
    </row>
    <row r="387" spans="1:15" x14ac:dyDescent="0.3">
      <c r="A387" s="2" t="s">
        <v>852</v>
      </c>
      <c r="B387" s="2" t="s">
        <v>853</v>
      </c>
      <c r="C387" s="2" t="s">
        <v>95</v>
      </c>
      <c r="D387" s="2">
        <v>27</v>
      </c>
      <c r="E387" s="2" t="s">
        <v>135</v>
      </c>
      <c r="F387" s="2" t="s">
        <v>136</v>
      </c>
      <c r="G387" s="2" t="s">
        <v>37</v>
      </c>
      <c r="H387" s="2">
        <v>1</v>
      </c>
      <c r="I387" s="9">
        <v>20</v>
      </c>
      <c r="J387" s="2">
        <v>3</v>
      </c>
      <c r="K387" s="3">
        <v>0.76</v>
      </c>
      <c r="L387" s="2" t="s">
        <v>46</v>
      </c>
      <c r="M387" s="2" t="s">
        <v>33</v>
      </c>
      <c r="N387" s="2">
        <v>4</v>
      </c>
      <c r="O387" s="2">
        <v>3</v>
      </c>
    </row>
    <row r="388" spans="1:15" x14ac:dyDescent="0.3">
      <c r="A388" s="2" t="s">
        <v>854</v>
      </c>
      <c r="B388" s="2" t="s">
        <v>855</v>
      </c>
      <c r="C388" s="2" t="s">
        <v>95</v>
      </c>
      <c r="D388" s="2">
        <v>27</v>
      </c>
      <c r="E388" s="2" t="s">
        <v>168</v>
      </c>
      <c r="F388" s="2" t="s">
        <v>169</v>
      </c>
      <c r="G388" s="2" t="s">
        <v>78</v>
      </c>
      <c r="H388" s="2">
        <v>4</v>
      </c>
      <c r="I388" s="9">
        <v>40</v>
      </c>
      <c r="J388" s="2">
        <v>5</v>
      </c>
      <c r="K388" s="3">
        <v>0.92</v>
      </c>
      <c r="L388" s="2" t="s">
        <v>19</v>
      </c>
      <c r="M388" s="2" t="s">
        <v>27</v>
      </c>
      <c r="N388" s="2">
        <v>4</v>
      </c>
      <c r="O388" s="2">
        <v>4</v>
      </c>
    </row>
    <row r="389" spans="1:15" x14ac:dyDescent="0.3">
      <c r="A389" s="2" t="s">
        <v>856</v>
      </c>
      <c r="B389" s="2" t="s">
        <v>857</v>
      </c>
      <c r="C389" s="2" t="s">
        <v>77</v>
      </c>
      <c r="D389" s="2">
        <v>48</v>
      </c>
      <c r="E389" s="2" t="s">
        <v>147</v>
      </c>
      <c r="F389" s="2" t="s">
        <v>148</v>
      </c>
      <c r="G389" s="2" t="s">
        <v>52</v>
      </c>
      <c r="H389" s="2">
        <v>21</v>
      </c>
      <c r="I389" s="9">
        <v>40</v>
      </c>
      <c r="J389" s="2">
        <v>1</v>
      </c>
      <c r="K389" s="3">
        <v>0.5</v>
      </c>
      <c r="L389" s="2" t="s">
        <v>19</v>
      </c>
      <c r="M389" s="2" t="s">
        <v>33</v>
      </c>
      <c r="N389" s="2">
        <v>14</v>
      </c>
      <c r="O389" s="2">
        <v>10</v>
      </c>
    </row>
    <row r="390" spans="1:15" x14ac:dyDescent="0.3">
      <c r="A390" s="2" t="s">
        <v>858</v>
      </c>
      <c r="B390" s="2" t="s">
        <v>859</v>
      </c>
      <c r="C390" s="2" t="s">
        <v>95</v>
      </c>
      <c r="D390" s="2">
        <v>21</v>
      </c>
      <c r="E390" s="2" t="s">
        <v>147</v>
      </c>
      <c r="F390" s="2" t="s">
        <v>148</v>
      </c>
      <c r="G390" s="2" t="s">
        <v>44</v>
      </c>
      <c r="H390" s="2">
        <v>1</v>
      </c>
      <c r="I390" s="9" t="s">
        <v>117</v>
      </c>
      <c r="J390" s="2">
        <v>2</v>
      </c>
      <c r="K390" s="3">
        <v>0.66</v>
      </c>
      <c r="L390" s="2" t="s">
        <v>65</v>
      </c>
      <c r="M390" s="2" t="s">
        <v>20</v>
      </c>
      <c r="N390" s="2">
        <v>4</v>
      </c>
      <c r="O390" s="2">
        <v>4</v>
      </c>
    </row>
    <row r="391" spans="1:15" x14ac:dyDescent="0.3">
      <c r="A391" s="2" t="s">
        <v>860</v>
      </c>
      <c r="B391" s="2" t="s">
        <v>861</v>
      </c>
      <c r="C391" s="2" t="s">
        <v>95</v>
      </c>
      <c r="D391" s="2">
        <v>37</v>
      </c>
      <c r="E391" s="2" t="s">
        <v>16</v>
      </c>
      <c r="F391" s="2" t="s">
        <v>17</v>
      </c>
      <c r="G391" s="2" t="s">
        <v>87</v>
      </c>
      <c r="H391" s="10">
        <v>11.191780821917808</v>
      </c>
      <c r="I391" s="9">
        <v>50</v>
      </c>
      <c r="J391" s="2">
        <v>4</v>
      </c>
      <c r="K391" s="3">
        <v>0.83</v>
      </c>
      <c r="L391" s="2" t="s">
        <v>69</v>
      </c>
      <c r="M391" s="2" t="s">
        <v>27</v>
      </c>
      <c r="N391" s="2">
        <v>1</v>
      </c>
      <c r="O391" s="2">
        <v>1</v>
      </c>
    </row>
    <row r="392" spans="1:15" x14ac:dyDescent="0.3">
      <c r="A392" s="2" t="s">
        <v>862</v>
      </c>
      <c r="B392" s="2" t="s">
        <v>863</v>
      </c>
      <c r="C392" s="2" t="s">
        <v>77</v>
      </c>
      <c r="D392" s="2">
        <v>31</v>
      </c>
      <c r="E392" s="2" t="s">
        <v>31</v>
      </c>
      <c r="F392" s="2" t="s">
        <v>31</v>
      </c>
      <c r="G392" s="2" t="s">
        <v>74</v>
      </c>
      <c r="H392" s="2">
        <v>10</v>
      </c>
      <c r="I392" s="9">
        <v>50</v>
      </c>
      <c r="J392" s="2">
        <v>1</v>
      </c>
      <c r="K392" s="3">
        <v>0.5</v>
      </c>
      <c r="L392" s="2" t="s">
        <v>69</v>
      </c>
      <c r="M392" s="2" t="s">
        <v>58</v>
      </c>
      <c r="N392" s="2">
        <v>10</v>
      </c>
      <c r="O392" s="2">
        <v>4</v>
      </c>
    </row>
    <row r="393" spans="1:15" x14ac:dyDescent="0.3">
      <c r="A393" s="2" t="s">
        <v>864</v>
      </c>
      <c r="B393" s="2" t="s">
        <v>865</v>
      </c>
      <c r="C393" s="2" t="s">
        <v>77</v>
      </c>
      <c r="D393" s="2">
        <v>41</v>
      </c>
      <c r="E393" s="2" t="s">
        <v>135</v>
      </c>
      <c r="F393" s="2" t="s">
        <v>136</v>
      </c>
      <c r="G393" s="2" t="s">
        <v>18</v>
      </c>
      <c r="H393" s="2">
        <v>21</v>
      </c>
      <c r="I393" s="9">
        <v>55.748031496062993</v>
      </c>
      <c r="J393" s="2">
        <v>1</v>
      </c>
      <c r="K393" s="3">
        <v>0.5</v>
      </c>
      <c r="L393" s="2" t="s">
        <v>69</v>
      </c>
      <c r="M393" s="2" t="s">
        <v>58</v>
      </c>
      <c r="N393" s="2">
        <v>10</v>
      </c>
      <c r="O393" s="2">
        <v>9</v>
      </c>
    </row>
    <row r="394" spans="1:15" x14ac:dyDescent="0.3">
      <c r="A394" s="2" t="s">
        <v>866</v>
      </c>
      <c r="B394" s="2" t="s">
        <v>867</v>
      </c>
      <c r="C394" s="2" t="s">
        <v>95</v>
      </c>
      <c r="D394" s="2">
        <v>31</v>
      </c>
      <c r="E394" s="2" t="s">
        <v>120</v>
      </c>
      <c r="F394" s="2" t="s">
        <v>121</v>
      </c>
      <c r="G394" s="2" t="s">
        <v>78</v>
      </c>
      <c r="H394" s="2">
        <v>0</v>
      </c>
      <c r="I394" s="9" t="s">
        <v>117</v>
      </c>
      <c r="J394" s="2">
        <v>4</v>
      </c>
      <c r="K394" s="3">
        <v>0.82</v>
      </c>
      <c r="L394" s="2" t="s">
        <v>19</v>
      </c>
      <c r="M394" s="2" t="s">
        <v>20</v>
      </c>
      <c r="N394" s="2">
        <v>5</v>
      </c>
      <c r="O394" s="2">
        <v>1</v>
      </c>
    </row>
    <row r="395" spans="1:15" x14ac:dyDescent="0.3">
      <c r="A395" s="2" t="s">
        <v>868</v>
      </c>
      <c r="B395" s="2" t="s">
        <v>869</v>
      </c>
      <c r="C395" s="2" t="s">
        <v>77</v>
      </c>
      <c r="D395" s="2">
        <v>58</v>
      </c>
      <c r="E395" s="2" t="s">
        <v>72</v>
      </c>
      <c r="F395" s="2" t="s">
        <v>73</v>
      </c>
      <c r="G395" s="2" t="s">
        <v>52</v>
      </c>
      <c r="H395" s="2">
        <v>0</v>
      </c>
      <c r="I395" s="9">
        <v>50</v>
      </c>
      <c r="J395" s="2">
        <v>3</v>
      </c>
      <c r="K395" s="3">
        <v>0.77</v>
      </c>
      <c r="L395" s="2" t="s">
        <v>65</v>
      </c>
      <c r="M395" s="2" t="s">
        <v>20</v>
      </c>
      <c r="N395" s="2">
        <v>5</v>
      </c>
      <c r="O395" s="2">
        <v>2</v>
      </c>
    </row>
    <row r="396" spans="1:15" x14ac:dyDescent="0.3">
      <c r="A396" s="2" t="s">
        <v>870</v>
      </c>
      <c r="B396" s="2" t="s">
        <v>871</v>
      </c>
      <c r="C396" s="2" t="s">
        <v>77</v>
      </c>
      <c r="D396" s="2">
        <v>45</v>
      </c>
      <c r="E396" s="2" t="s">
        <v>42</v>
      </c>
      <c r="F396" s="2" t="s">
        <v>43</v>
      </c>
      <c r="G396" s="2" t="s">
        <v>52</v>
      </c>
      <c r="H396" s="2">
        <v>17</v>
      </c>
      <c r="I396" s="9" t="s">
        <v>64</v>
      </c>
      <c r="J396" s="2">
        <v>3</v>
      </c>
      <c r="K396" s="3">
        <v>0.73</v>
      </c>
      <c r="L396" s="2" t="s">
        <v>46</v>
      </c>
      <c r="M396" s="2" t="s">
        <v>27</v>
      </c>
      <c r="N396" s="2">
        <v>15</v>
      </c>
      <c r="O396" s="2">
        <v>11</v>
      </c>
    </row>
    <row r="397" spans="1:15" x14ac:dyDescent="0.3">
      <c r="A397" s="2" t="s">
        <v>872</v>
      </c>
      <c r="B397" s="2" t="s">
        <v>873</v>
      </c>
      <c r="C397" s="2" t="s">
        <v>95</v>
      </c>
      <c r="D397" s="2">
        <v>51</v>
      </c>
      <c r="E397" s="2" t="s">
        <v>108</v>
      </c>
      <c r="F397" s="2" t="s">
        <v>109</v>
      </c>
      <c r="G397" s="2" t="s">
        <v>78</v>
      </c>
      <c r="H397" s="2">
        <v>5</v>
      </c>
      <c r="I397" s="9">
        <v>55.793650793650791</v>
      </c>
      <c r="J397" s="2">
        <v>4</v>
      </c>
      <c r="K397" s="3">
        <v>0.88</v>
      </c>
      <c r="L397" s="2" t="s">
        <v>19</v>
      </c>
      <c r="M397" s="2" t="s">
        <v>58</v>
      </c>
      <c r="N397" s="2">
        <v>2</v>
      </c>
      <c r="O397" s="2">
        <v>4</v>
      </c>
    </row>
    <row r="398" spans="1:15" x14ac:dyDescent="0.3">
      <c r="A398" s="2" t="s">
        <v>874</v>
      </c>
      <c r="B398" s="2" t="s">
        <v>875</v>
      </c>
      <c r="C398" s="2" t="s">
        <v>95</v>
      </c>
      <c r="D398" s="2">
        <v>54</v>
      </c>
      <c r="E398" s="2" t="s">
        <v>57</v>
      </c>
      <c r="F398" s="2" t="s">
        <v>25</v>
      </c>
      <c r="G398" s="2" t="s">
        <v>74</v>
      </c>
      <c r="H398" s="2">
        <v>3</v>
      </c>
      <c r="I398" s="9" t="s">
        <v>45</v>
      </c>
      <c r="J398" s="2">
        <v>4</v>
      </c>
      <c r="K398" s="3">
        <v>0.81</v>
      </c>
      <c r="L398" s="2" t="s">
        <v>65</v>
      </c>
      <c r="M398" s="2" t="s">
        <v>58</v>
      </c>
      <c r="N398" s="2">
        <v>2</v>
      </c>
      <c r="O398" s="2">
        <v>3</v>
      </c>
    </row>
    <row r="399" spans="1:15" x14ac:dyDescent="0.3">
      <c r="A399" s="2" t="s">
        <v>876</v>
      </c>
      <c r="B399" s="2" t="s">
        <v>877</v>
      </c>
      <c r="C399" s="2" t="s">
        <v>95</v>
      </c>
      <c r="D399" s="2">
        <v>22</v>
      </c>
      <c r="E399" s="2" t="s">
        <v>120</v>
      </c>
      <c r="F399" s="2" t="s">
        <v>121</v>
      </c>
      <c r="G399" s="2" t="s">
        <v>52</v>
      </c>
      <c r="H399" s="2">
        <v>1</v>
      </c>
      <c r="I399" s="9">
        <v>20</v>
      </c>
      <c r="J399" s="2">
        <v>3</v>
      </c>
      <c r="K399" s="3">
        <v>0.78</v>
      </c>
      <c r="L399" s="2" t="s">
        <v>65</v>
      </c>
      <c r="M399" s="2" t="s">
        <v>58</v>
      </c>
      <c r="N399" s="2">
        <v>1</v>
      </c>
      <c r="O399" s="2">
        <v>2</v>
      </c>
    </row>
    <row r="400" spans="1:15" x14ac:dyDescent="0.3">
      <c r="A400" s="2" t="s">
        <v>878</v>
      </c>
      <c r="B400" s="2" t="s">
        <v>879</v>
      </c>
      <c r="C400" s="2" t="s">
        <v>95</v>
      </c>
      <c r="D400" s="2">
        <v>36</v>
      </c>
      <c r="E400" s="2" t="s">
        <v>62</v>
      </c>
      <c r="F400" s="2" t="s">
        <v>63</v>
      </c>
      <c r="G400" s="2" t="s">
        <v>78</v>
      </c>
      <c r="H400" s="2">
        <v>2</v>
      </c>
      <c r="I400" s="9">
        <v>75</v>
      </c>
      <c r="J400" s="2">
        <v>5</v>
      </c>
      <c r="K400" s="3">
        <v>0.92</v>
      </c>
      <c r="L400" s="2" t="s">
        <v>46</v>
      </c>
      <c r="M400" s="2" t="s">
        <v>58</v>
      </c>
      <c r="N400" s="2">
        <v>5</v>
      </c>
      <c r="O400" s="2">
        <v>1</v>
      </c>
    </row>
    <row r="401" spans="1:15" x14ac:dyDescent="0.3">
      <c r="A401" s="2" t="s">
        <v>880</v>
      </c>
      <c r="B401" s="2" t="s">
        <v>881</v>
      </c>
      <c r="C401" s="2" t="s">
        <v>95</v>
      </c>
      <c r="D401" s="2">
        <v>50</v>
      </c>
      <c r="E401" s="2" t="s">
        <v>31</v>
      </c>
      <c r="F401" s="2" t="s">
        <v>31</v>
      </c>
      <c r="G401" s="2" t="s">
        <v>87</v>
      </c>
      <c r="H401" s="2">
        <v>32</v>
      </c>
      <c r="I401" s="9" t="s">
        <v>45</v>
      </c>
      <c r="J401" s="2">
        <v>2</v>
      </c>
      <c r="K401" s="3">
        <v>0.64</v>
      </c>
      <c r="L401" s="2" t="s">
        <v>46</v>
      </c>
      <c r="M401" s="2" t="s">
        <v>58</v>
      </c>
      <c r="N401" s="2">
        <v>12</v>
      </c>
      <c r="O401" s="2">
        <v>15</v>
      </c>
    </row>
    <row r="402" spans="1:15" x14ac:dyDescent="0.3">
      <c r="A402" s="2" t="s">
        <v>882</v>
      </c>
      <c r="B402" s="2" t="s">
        <v>883</v>
      </c>
      <c r="C402" s="2" t="s">
        <v>77</v>
      </c>
      <c r="D402" s="2">
        <v>41</v>
      </c>
      <c r="E402" s="2" t="s">
        <v>24</v>
      </c>
      <c r="F402" s="2" t="s">
        <v>25</v>
      </c>
      <c r="G402" s="2" t="s">
        <v>18</v>
      </c>
      <c r="H402" s="2">
        <v>14</v>
      </c>
      <c r="I402" s="9">
        <v>30</v>
      </c>
      <c r="J402" s="2">
        <v>3</v>
      </c>
      <c r="K402" s="3">
        <v>0.78</v>
      </c>
      <c r="L402" s="2" t="s">
        <v>46</v>
      </c>
      <c r="M402" s="2" t="s">
        <v>33</v>
      </c>
      <c r="N402" s="2">
        <v>7</v>
      </c>
      <c r="O402" s="2">
        <v>10</v>
      </c>
    </row>
    <row r="403" spans="1:15" x14ac:dyDescent="0.3">
      <c r="A403" s="2" t="s">
        <v>884</v>
      </c>
      <c r="B403" s="2" t="s">
        <v>885</v>
      </c>
      <c r="C403" s="2" t="s">
        <v>95</v>
      </c>
      <c r="D403" s="2">
        <v>41</v>
      </c>
      <c r="E403" s="2" t="s">
        <v>147</v>
      </c>
      <c r="F403" s="2" t="s">
        <v>148</v>
      </c>
      <c r="G403" s="2" t="s">
        <v>37</v>
      </c>
      <c r="H403" s="2">
        <v>10</v>
      </c>
      <c r="I403" s="9">
        <v>20</v>
      </c>
      <c r="J403" s="2">
        <v>4</v>
      </c>
      <c r="K403" s="3">
        <v>0.85</v>
      </c>
      <c r="L403" s="2" t="s">
        <v>69</v>
      </c>
      <c r="M403" s="2" t="s">
        <v>20</v>
      </c>
      <c r="N403" s="2">
        <v>6</v>
      </c>
      <c r="O403" s="2">
        <v>4</v>
      </c>
    </row>
    <row r="404" spans="1:15" x14ac:dyDescent="0.3">
      <c r="A404" s="2" t="s">
        <v>886</v>
      </c>
      <c r="B404" s="2" t="s">
        <v>887</v>
      </c>
      <c r="C404" s="2" t="s">
        <v>77</v>
      </c>
      <c r="D404" s="2">
        <v>51</v>
      </c>
      <c r="E404" s="2" t="s">
        <v>42</v>
      </c>
      <c r="F404" s="2" t="s">
        <v>43</v>
      </c>
      <c r="G404" s="2" t="s">
        <v>78</v>
      </c>
      <c r="H404" s="2">
        <v>27</v>
      </c>
      <c r="I404" s="9" t="s">
        <v>64</v>
      </c>
      <c r="J404" s="2">
        <v>3</v>
      </c>
      <c r="K404" s="3">
        <v>0.78</v>
      </c>
      <c r="L404" s="2" t="s">
        <v>46</v>
      </c>
      <c r="M404" s="2" t="s">
        <v>33</v>
      </c>
      <c r="N404" s="2">
        <v>14</v>
      </c>
      <c r="O404" s="2">
        <v>11</v>
      </c>
    </row>
    <row r="405" spans="1:15" x14ac:dyDescent="0.3">
      <c r="A405" s="2" t="s">
        <v>888</v>
      </c>
      <c r="B405" s="2" t="s">
        <v>889</v>
      </c>
      <c r="C405" s="2" t="s">
        <v>95</v>
      </c>
      <c r="D405" s="2">
        <v>21</v>
      </c>
      <c r="E405" s="2" t="s">
        <v>131</v>
      </c>
      <c r="F405" s="2" t="s">
        <v>132</v>
      </c>
      <c r="G405" s="2" t="s">
        <v>44</v>
      </c>
      <c r="H405" s="2">
        <v>2</v>
      </c>
      <c r="I405" s="9" t="s">
        <v>45</v>
      </c>
      <c r="J405" s="2">
        <v>5</v>
      </c>
      <c r="K405" s="3">
        <v>0.98</v>
      </c>
      <c r="L405" s="2" t="s">
        <v>65</v>
      </c>
      <c r="M405" s="2" t="s">
        <v>58</v>
      </c>
      <c r="N405" s="2">
        <v>2</v>
      </c>
      <c r="O405" s="2">
        <v>1</v>
      </c>
    </row>
    <row r="406" spans="1:15" x14ac:dyDescent="0.3">
      <c r="A406" s="2" t="s">
        <v>890</v>
      </c>
      <c r="B406" s="2" t="s">
        <v>891</v>
      </c>
      <c r="C406" s="2" t="s">
        <v>95</v>
      </c>
      <c r="D406" s="2">
        <v>51</v>
      </c>
      <c r="E406" s="2" t="s">
        <v>83</v>
      </c>
      <c r="F406" s="2" t="s">
        <v>84</v>
      </c>
      <c r="G406" s="2" t="s">
        <v>44</v>
      </c>
      <c r="H406" s="2">
        <v>33</v>
      </c>
      <c r="I406" s="9" t="s">
        <v>38</v>
      </c>
      <c r="J406" s="2">
        <v>2</v>
      </c>
      <c r="K406" s="3">
        <v>0.63</v>
      </c>
      <c r="L406" s="2" t="s">
        <v>46</v>
      </c>
      <c r="M406" s="2" t="s">
        <v>27</v>
      </c>
      <c r="N406" s="2">
        <v>16</v>
      </c>
      <c r="O406" s="2">
        <v>14</v>
      </c>
    </row>
    <row r="407" spans="1:15" x14ac:dyDescent="0.3">
      <c r="A407" s="2" t="s">
        <v>892</v>
      </c>
      <c r="B407" s="2" t="s">
        <v>893</v>
      </c>
      <c r="C407" s="2" t="s">
        <v>77</v>
      </c>
      <c r="D407" s="2">
        <v>37</v>
      </c>
      <c r="E407" s="2" t="s">
        <v>50</v>
      </c>
      <c r="F407" s="2" t="s">
        <v>51</v>
      </c>
      <c r="G407" s="2" t="s">
        <v>32</v>
      </c>
      <c r="H407" s="2">
        <v>11</v>
      </c>
      <c r="I407" s="9" t="s">
        <v>38</v>
      </c>
      <c r="J407" s="2">
        <v>3</v>
      </c>
      <c r="K407" s="3">
        <v>0.73</v>
      </c>
      <c r="L407" s="2" t="s">
        <v>65</v>
      </c>
      <c r="M407" s="2" t="s">
        <v>27</v>
      </c>
      <c r="N407" s="2">
        <v>14</v>
      </c>
      <c r="O407" s="2">
        <v>7</v>
      </c>
    </row>
    <row r="408" spans="1:15" x14ac:dyDescent="0.3">
      <c r="A408" s="2" t="s">
        <v>894</v>
      </c>
      <c r="B408" s="2" t="s">
        <v>895</v>
      </c>
      <c r="C408" s="2" t="s">
        <v>77</v>
      </c>
      <c r="D408" s="2">
        <v>20</v>
      </c>
      <c r="E408" s="2" t="s">
        <v>183</v>
      </c>
      <c r="F408" s="2" t="s">
        <v>73</v>
      </c>
      <c r="G408" s="2" t="s">
        <v>32</v>
      </c>
      <c r="H408" s="2">
        <v>2</v>
      </c>
      <c r="I408" s="9">
        <v>30</v>
      </c>
      <c r="J408" s="2">
        <v>5</v>
      </c>
      <c r="K408" s="3">
        <v>0.94</v>
      </c>
      <c r="L408" s="2" t="s">
        <v>19</v>
      </c>
      <c r="M408" s="2" t="s">
        <v>58</v>
      </c>
      <c r="N408" s="2">
        <v>2</v>
      </c>
      <c r="O408" s="2">
        <v>4</v>
      </c>
    </row>
    <row r="409" spans="1:15" x14ac:dyDescent="0.3">
      <c r="A409" s="2" t="s">
        <v>896</v>
      </c>
      <c r="B409" s="2" t="s">
        <v>897</v>
      </c>
      <c r="C409" s="2" t="s">
        <v>77</v>
      </c>
      <c r="D409" s="2">
        <v>50</v>
      </c>
      <c r="E409" s="2" t="s">
        <v>24</v>
      </c>
      <c r="F409" s="2" t="s">
        <v>25</v>
      </c>
      <c r="G409" s="2" t="s">
        <v>37</v>
      </c>
      <c r="H409" s="2">
        <v>31</v>
      </c>
      <c r="I409" s="9" t="s">
        <v>64</v>
      </c>
      <c r="J409" s="2">
        <v>4</v>
      </c>
      <c r="K409" s="3">
        <v>0.81</v>
      </c>
      <c r="L409" s="2" t="s">
        <v>69</v>
      </c>
      <c r="M409" s="2" t="s">
        <v>58</v>
      </c>
      <c r="N409" s="2">
        <v>11</v>
      </c>
      <c r="O409" s="2">
        <v>3</v>
      </c>
    </row>
    <row r="410" spans="1:15" x14ac:dyDescent="0.3">
      <c r="A410" s="2" t="s">
        <v>898</v>
      </c>
      <c r="B410" s="2" t="s">
        <v>899</v>
      </c>
      <c r="C410" s="2" t="s">
        <v>77</v>
      </c>
      <c r="D410" s="2">
        <v>58</v>
      </c>
      <c r="E410" s="2" t="s">
        <v>62</v>
      </c>
      <c r="F410" s="2" t="s">
        <v>63</v>
      </c>
      <c r="G410" s="2" t="s">
        <v>32</v>
      </c>
      <c r="H410" s="2">
        <v>17</v>
      </c>
      <c r="I410" s="9" t="s">
        <v>64</v>
      </c>
      <c r="J410" s="2">
        <v>2</v>
      </c>
      <c r="K410" s="3">
        <v>0.61</v>
      </c>
      <c r="L410" s="2" t="s">
        <v>19</v>
      </c>
      <c r="M410" s="2" t="s">
        <v>27</v>
      </c>
      <c r="N410" s="2">
        <v>20</v>
      </c>
      <c r="O410" s="2">
        <v>1</v>
      </c>
    </row>
    <row r="411" spans="1:15" x14ac:dyDescent="0.3">
      <c r="A411" s="2" t="s">
        <v>900</v>
      </c>
      <c r="B411" s="2" t="s">
        <v>901</v>
      </c>
      <c r="C411" s="2" t="s">
        <v>77</v>
      </c>
      <c r="D411" s="2">
        <v>40</v>
      </c>
      <c r="E411" s="2" t="s">
        <v>104</v>
      </c>
      <c r="F411" s="2" t="s">
        <v>105</v>
      </c>
      <c r="G411" s="2" t="s">
        <v>74</v>
      </c>
      <c r="H411" s="2">
        <v>2</v>
      </c>
      <c r="I411" s="9" t="s">
        <v>222</v>
      </c>
      <c r="J411" s="2">
        <v>1</v>
      </c>
      <c r="K411" s="3">
        <v>0.5</v>
      </c>
      <c r="L411" s="2" t="s">
        <v>19</v>
      </c>
      <c r="M411" s="2" t="s">
        <v>33</v>
      </c>
      <c r="N411" s="2">
        <v>3</v>
      </c>
      <c r="O411" s="2">
        <v>5</v>
      </c>
    </row>
    <row r="412" spans="1:15" x14ac:dyDescent="0.3">
      <c r="A412" s="2" t="s">
        <v>902</v>
      </c>
      <c r="B412" s="2" t="s">
        <v>903</v>
      </c>
      <c r="C412" s="2" t="s">
        <v>77</v>
      </c>
      <c r="D412" s="2">
        <v>26</v>
      </c>
      <c r="E412" s="2" t="s">
        <v>135</v>
      </c>
      <c r="F412" s="2" t="s">
        <v>136</v>
      </c>
      <c r="G412" s="2" t="s">
        <v>37</v>
      </c>
      <c r="H412" s="2">
        <v>2</v>
      </c>
      <c r="I412" s="9">
        <v>20</v>
      </c>
      <c r="J412" s="2">
        <v>4</v>
      </c>
      <c r="K412" s="3">
        <v>0.83</v>
      </c>
      <c r="L412" s="2" t="s">
        <v>65</v>
      </c>
      <c r="M412" s="2" t="s">
        <v>33</v>
      </c>
      <c r="N412" s="2">
        <v>1</v>
      </c>
      <c r="O412" s="2">
        <v>5</v>
      </c>
    </row>
    <row r="413" spans="1:15" x14ac:dyDescent="0.3">
      <c r="A413" s="2" t="s">
        <v>904</v>
      </c>
      <c r="B413" s="2" t="s">
        <v>905</v>
      </c>
      <c r="C413" s="2" t="s">
        <v>77</v>
      </c>
      <c r="D413" s="2">
        <v>44</v>
      </c>
      <c r="E413" s="2" t="s">
        <v>108</v>
      </c>
      <c r="F413" s="2" t="s">
        <v>109</v>
      </c>
      <c r="G413" s="2" t="s">
        <v>78</v>
      </c>
      <c r="H413" s="2">
        <v>22</v>
      </c>
      <c r="I413" s="9">
        <v>30</v>
      </c>
      <c r="J413" s="2">
        <v>1</v>
      </c>
      <c r="K413" s="3">
        <v>0.5</v>
      </c>
      <c r="L413" s="2" t="s">
        <v>19</v>
      </c>
      <c r="M413" s="2" t="s">
        <v>58</v>
      </c>
      <c r="N413" s="2">
        <v>15</v>
      </c>
      <c r="O413" s="2">
        <v>5</v>
      </c>
    </row>
    <row r="414" spans="1:15" x14ac:dyDescent="0.3">
      <c r="A414" s="2" t="s">
        <v>906</v>
      </c>
      <c r="B414" s="2" t="s">
        <v>907</v>
      </c>
      <c r="C414" s="2" t="s">
        <v>95</v>
      </c>
      <c r="D414" s="2">
        <v>42</v>
      </c>
      <c r="E414" s="2" t="s">
        <v>172</v>
      </c>
      <c r="F414" s="2" t="s">
        <v>73</v>
      </c>
      <c r="G414" s="2" t="s">
        <v>110</v>
      </c>
      <c r="H414" s="2">
        <v>8</v>
      </c>
      <c r="I414" s="9" t="s">
        <v>64</v>
      </c>
      <c r="J414" s="2">
        <v>2</v>
      </c>
      <c r="K414" s="3">
        <v>0.68</v>
      </c>
      <c r="L414" s="2" t="s">
        <v>65</v>
      </c>
      <c r="M414" s="2" t="s">
        <v>33</v>
      </c>
      <c r="N414" s="2">
        <v>7</v>
      </c>
      <c r="O414" s="2">
        <v>11</v>
      </c>
    </row>
    <row r="415" spans="1:15" x14ac:dyDescent="0.3">
      <c r="A415" s="2" t="s">
        <v>908</v>
      </c>
      <c r="B415" s="2" t="s">
        <v>328</v>
      </c>
      <c r="C415" s="2" t="s">
        <v>95</v>
      </c>
      <c r="D415" s="2">
        <v>38</v>
      </c>
      <c r="E415" s="2" t="s">
        <v>172</v>
      </c>
      <c r="F415" s="2" t="s">
        <v>73</v>
      </c>
      <c r="G415" s="2" t="s">
        <v>52</v>
      </c>
      <c r="H415" s="2">
        <v>9</v>
      </c>
      <c r="I415" s="9" t="s">
        <v>64</v>
      </c>
      <c r="J415" s="2">
        <v>3</v>
      </c>
      <c r="K415" s="3">
        <v>0.74</v>
      </c>
      <c r="L415" s="2" t="s">
        <v>46</v>
      </c>
      <c r="M415" s="2" t="s">
        <v>27</v>
      </c>
      <c r="N415" s="2">
        <v>9</v>
      </c>
      <c r="O415" s="2">
        <v>9</v>
      </c>
    </row>
    <row r="416" spans="1:15" x14ac:dyDescent="0.3">
      <c r="A416" s="2" t="s">
        <v>909</v>
      </c>
      <c r="B416" s="2" t="s">
        <v>910</v>
      </c>
      <c r="C416" s="2" t="s">
        <v>95</v>
      </c>
      <c r="D416" s="2">
        <v>51</v>
      </c>
      <c r="E416" s="2" t="s">
        <v>135</v>
      </c>
      <c r="F416" s="2" t="s">
        <v>136</v>
      </c>
      <c r="G416" s="2" t="s">
        <v>37</v>
      </c>
      <c r="H416" s="2">
        <v>32</v>
      </c>
      <c r="I416" s="9">
        <v>100</v>
      </c>
      <c r="J416" s="2">
        <v>5</v>
      </c>
      <c r="K416" s="3">
        <v>0.91</v>
      </c>
      <c r="L416" s="2" t="s">
        <v>46</v>
      </c>
      <c r="M416" s="2" t="s">
        <v>33</v>
      </c>
      <c r="N416" s="2">
        <v>14</v>
      </c>
      <c r="O416" s="2">
        <v>15</v>
      </c>
    </row>
    <row r="417" spans="1:15" x14ac:dyDescent="0.3">
      <c r="A417" s="2" t="s">
        <v>911</v>
      </c>
      <c r="B417" s="2" t="s">
        <v>912</v>
      </c>
      <c r="C417" s="2" t="s">
        <v>77</v>
      </c>
      <c r="D417" s="2">
        <v>36</v>
      </c>
      <c r="E417" s="2" t="s">
        <v>131</v>
      </c>
      <c r="F417" s="2" t="s">
        <v>132</v>
      </c>
      <c r="G417" s="2" t="s">
        <v>44</v>
      </c>
      <c r="H417" s="2">
        <v>8</v>
      </c>
      <c r="I417" s="9" t="s">
        <v>222</v>
      </c>
      <c r="J417" s="2">
        <v>5</v>
      </c>
      <c r="K417" s="3">
        <v>0.97</v>
      </c>
      <c r="L417" s="2" t="s">
        <v>65</v>
      </c>
      <c r="M417" s="2" t="s">
        <v>58</v>
      </c>
      <c r="N417" s="2">
        <v>10</v>
      </c>
      <c r="O417" s="2">
        <v>5</v>
      </c>
    </row>
    <row r="418" spans="1:15" x14ac:dyDescent="0.3">
      <c r="A418" s="2" t="s">
        <v>913</v>
      </c>
      <c r="B418" s="2" t="s">
        <v>914</v>
      </c>
      <c r="C418" s="2" t="s">
        <v>77</v>
      </c>
      <c r="D418" s="2">
        <v>37</v>
      </c>
      <c r="E418" s="2" t="s">
        <v>24</v>
      </c>
      <c r="F418" s="2" t="s">
        <v>25</v>
      </c>
      <c r="G418" s="2" t="s">
        <v>26</v>
      </c>
      <c r="H418" s="2">
        <v>10</v>
      </c>
      <c r="I418" s="9">
        <v>30</v>
      </c>
      <c r="J418" s="2">
        <v>5</v>
      </c>
      <c r="K418" s="3">
        <v>0.96</v>
      </c>
      <c r="L418" s="2" t="s">
        <v>46</v>
      </c>
      <c r="M418" s="2" t="s">
        <v>27</v>
      </c>
      <c r="N418" s="2">
        <v>15</v>
      </c>
      <c r="O418" s="2">
        <v>12</v>
      </c>
    </row>
    <row r="419" spans="1:15" x14ac:dyDescent="0.3">
      <c r="A419" s="2" t="s">
        <v>915</v>
      </c>
      <c r="B419" s="2" t="s">
        <v>916</v>
      </c>
      <c r="C419" s="2" t="s">
        <v>95</v>
      </c>
      <c r="D419" s="2">
        <v>31</v>
      </c>
      <c r="E419" s="2" t="s">
        <v>147</v>
      </c>
      <c r="F419" s="2" t="s">
        <v>148</v>
      </c>
      <c r="G419" s="2" t="s">
        <v>87</v>
      </c>
      <c r="H419" s="2">
        <v>0</v>
      </c>
      <c r="I419" s="9">
        <v>50</v>
      </c>
      <c r="J419" s="2">
        <v>3</v>
      </c>
      <c r="K419" s="3">
        <v>0.73</v>
      </c>
      <c r="L419" s="2" t="s">
        <v>69</v>
      </c>
      <c r="M419" s="2" t="s">
        <v>33</v>
      </c>
      <c r="N419" s="2">
        <v>2</v>
      </c>
      <c r="O419" s="2">
        <v>1</v>
      </c>
    </row>
    <row r="420" spans="1:15" x14ac:dyDescent="0.3">
      <c r="A420" s="2" t="s">
        <v>917</v>
      </c>
      <c r="B420" s="2" t="s">
        <v>918</v>
      </c>
      <c r="C420" s="2" t="s">
        <v>77</v>
      </c>
      <c r="D420" s="2">
        <v>47</v>
      </c>
      <c r="E420" s="2" t="s">
        <v>91</v>
      </c>
      <c r="F420" s="2" t="s">
        <v>92</v>
      </c>
      <c r="G420" s="2" t="s">
        <v>78</v>
      </c>
      <c r="H420" s="2">
        <v>22</v>
      </c>
      <c r="I420" s="9">
        <v>57.112068965517238</v>
      </c>
      <c r="J420" s="2">
        <v>3</v>
      </c>
      <c r="K420" s="3">
        <v>0.72</v>
      </c>
      <c r="L420" s="2" t="s">
        <v>19</v>
      </c>
      <c r="M420" s="2" t="s">
        <v>20</v>
      </c>
      <c r="N420" s="2">
        <v>19</v>
      </c>
      <c r="O420" s="2">
        <v>2</v>
      </c>
    </row>
    <row r="421" spans="1:15" x14ac:dyDescent="0.3">
      <c r="A421" s="2" t="s">
        <v>919</v>
      </c>
      <c r="B421" s="2" t="s">
        <v>920</v>
      </c>
      <c r="C421" s="2" t="s">
        <v>77</v>
      </c>
      <c r="D421" s="2">
        <v>60</v>
      </c>
      <c r="E421" s="2" t="s">
        <v>172</v>
      </c>
      <c r="F421" s="2" t="s">
        <v>73</v>
      </c>
      <c r="G421" s="2" t="s">
        <v>74</v>
      </c>
      <c r="H421" s="2">
        <v>34</v>
      </c>
      <c r="I421" s="9" t="s">
        <v>222</v>
      </c>
      <c r="J421" s="2">
        <v>3</v>
      </c>
      <c r="K421" s="3">
        <v>0.74</v>
      </c>
      <c r="L421" s="2" t="s">
        <v>69</v>
      </c>
      <c r="M421" s="2" t="s">
        <v>27</v>
      </c>
      <c r="N421" s="2">
        <v>19</v>
      </c>
      <c r="O421" s="2">
        <v>14</v>
      </c>
    </row>
    <row r="422" spans="1:15" x14ac:dyDescent="0.3">
      <c r="A422" s="2" t="s">
        <v>921</v>
      </c>
      <c r="B422" s="2" t="s">
        <v>922</v>
      </c>
      <c r="C422" s="2" t="s">
        <v>77</v>
      </c>
      <c r="D422" s="2">
        <v>48</v>
      </c>
      <c r="E422" s="2" t="s">
        <v>72</v>
      </c>
      <c r="F422" s="2" t="s">
        <v>73</v>
      </c>
      <c r="G422" s="2" t="s">
        <v>26</v>
      </c>
      <c r="H422" s="2">
        <v>5</v>
      </c>
      <c r="I422" s="9">
        <v>30</v>
      </c>
      <c r="J422" s="2">
        <v>1</v>
      </c>
      <c r="K422" s="3">
        <v>0.5</v>
      </c>
      <c r="L422" s="2" t="s">
        <v>19</v>
      </c>
      <c r="M422" s="2" t="s">
        <v>27</v>
      </c>
      <c r="N422" s="2">
        <v>4</v>
      </c>
      <c r="O422" s="2">
        <v>2</v>
      </c>
    </row>
    <row r="423" spans="1:15" x14ac:dyDescent="0.3">
      <c r="A423" s="2" t="s">
        <v>923</v>
      </c>
      <c r="B423" s="2" t="s">
        <v>924</v>
      </c>
      <c r="C423" s="2" t="s">
        <v>77</v>
      </c>
      <c r="D423" s="2">
        <v>24</v>
      </c>
      <c r="E423" s="2" t="s">
        <v>91</v>
      </c>
      <c r="F423" s="2" t="s">
        <v>92</v>
      </c>
      <c r="G423" s="2" t="s">
        <v>44</v>
      </c>
      <c r="H423" s="2">
        <v>3</v>
      </c>
      <c r="I423" s="9">
        <v>20</v>
      </c>
      <c r="J423" s="2">
        <v>1</v>
      </c>
      <c r="K423" s="3">
        <v>0.5</v>
      </c>
      <c r="L423" s="2" t="s">
        <v>46</v>
      </c>
      <c r="M423" s="2" t="s">
        <v>20</v>
      </c>
      <c r="N423" s="2">
        <v>2</v>
      </c>
      <c r="O423" s="2">
        <v>1</v>
      </c>
    </row>
    <row r="424" spans="1:15" x14ac:dyDescent="0.3">
      <c r="A424" s="2" t="s">
        <v>925</v>
      </c>
      <c r="B424" s="2" t="s">
        <v>926</v>
      </c>
      <c r="C424" s="2" t="s">
        <v>77</v>
      </c>
      <c r="D424" s="2">
        <v>35</v>
      </c>
      <c r="E424" s="2" t="s">
        <v>42</v>
      </c>
      <c r="F424" s="2" t="s">
        <v>43</v>
      </c>
      <c r="G424" s="2" t="s">
        <v>110</v>
      </c>
      <c r="H424" s="2">
        <v>10</v>
      </c>
      <c r="I424" s="9">
        <v>75</v>
      </c>
      <c r="J424" s="2">
        <v>3</v>
      </c>
      <c r="K424" s="3">
        <v>0.74</v>
      </c>
      <c r="L424" s="2" t="s">
        <v>69</v>
      </c>
      <c r="M424" s="2" t="s">
        <v>20</v>
      </c>
      <c r="N424" s="2">
        <v>8</v>
      </c>
      <c r="O424" s="2">
        <v>9</v>
      </c>
    </row>
    <row r="425" spans="1:15" x14ac:dyDescent="0.3">
      <c r="A425" s="2" t="s">
        <v>927</v>
      </c>
      <c r="B425" s="2" t="s">
        <v>928</v>
      </c>
      <c r="C425" s="2" t="s">
        <v>95</v>
      </c>
      <c r="D425" s="2">
        <v>35</v>
      </c>
      <c r="E425" s="2" t="s">
        <v>57</v>
      </c>
      <c r="F425" s="2" t="s">
        <v>25</v>
      </c>
      <c r="G425" s="2" t="s">
        <v>87</v>
      </c>
      <c r="H425" s="10">
        <v>11.191780821917808</v>
      </c>
      <c r="I425" s="9">
        <v>100</v>
      </c>
      <c r="J425" s="2">
        <v>3</v>
      </c>
      <c r="K425" s="3">
        <v>0.71</v>
      </c>
      <c r="L425" s="2" t="s">
        <v>46</v>
      </c>
      <c r="M425" s="2" t="s">
        <v>27</v>
      </c>
      <c r="N425" s="2">
        <v>2</v>
      </c>
      <c r="O425" s="2">
        <v>1</v>
      </c>
    </row>
    <row r="426" spans="1:15" x14ac:dyDescent="0.3">
      <c r="A426" s="2" t="s">
        <v>929</v>
      </c>
      <c r="B426" s="2" t="s">
        <v>930</v>
      </c>
      <c r="C426" s="2" t="s">
        <v>77</v>
      </c>
      <c r="D426" s="2">
        <v>29</v>
      </c>
      <c r="E426" s="2" t="s">
        <v>42</v>
      </c>
      <c r="F426" s="2" t="s">
        <v>43</v>
      </c>
      <c r="G426" s="2" t="s">
        <v>74</v>
      </c>
      <c r="H426" s="2">
        <v>6</v>
      </c>
      <c r="I426" s="9">
        <v>57.142857142857146</v>
      </c>
      <c r="J426" s="2">
        <v>4</v>
      </c>
      <c r="K426" s="3">
        <v>0.83</v>
      </c>
      <c r="L426" s="2" t="s">
        <v>19</v>
      </c>
      <c r="M426" s="2" t="s">
        <v>20</v>
      </c>
      <c r="N426" s="2">
        <v>14</v>
      </c>
      <c r="O426" s="2">
        <v>2</v>
      </c>
    </row>
    <row r="427" spans="1:15" x14ac:dyDescent="0.3">
      <c r="A427" s="2" t="s">
        <v>931</v>
      </c>
      <c r="B427" s="2" t="s">
        <v>932</v>
      </c>
      <c r="C427" s="2" t="s">
        <v>77</v>
      </c>
      <c r="D427" s="2">
        <v>36</v>
      </c>
      <c r="E427" s="2" t="s">
        <v>16</v>
      </c>
      <c r="F427" s="2" t="s">
        <v>17</v>
      </c>
      <c r="G427" s="2" t="s">
        <v>110</v>
      </c>
      <c r="H427" s="2">
        <v>1</v>
      </c>
      <c r="I427" s="9" t="s">
        <v>163</v>
      </c>
      <c r="J427" s="2">
        <v>2</v>
      </c>
      <c r="K427" s="3">
        <v>0.63</v>
      </c>
      <c r="L427" s="2" t="s">
        <v>65</v>
      </c>
      <c r="M427" s="2" t="s">
        <v>58</v>
      </c>
      <c r="N427" s="2">
        <v>4</v>
      </c>
      <c r="O427" s="2">
        <v>2</v>
      </c>
    </row>
    <row r="428" spans="1:15" x14ac:dyDescent="0.3">
      <c r="A428" s="2" t="s">
        <v>933</v>
      </c>
      <c r="B428" s="2" t="s">
        <v>934</v>
      </c>
      <c r="C428" s="2" t="s">
        <v>77</v>
      </c>
      <c r="D428" s="2">
        <v>44</v>
      </c>
      <c r="E428" s="2" t="s">
        <v>124</v>
      </c>
      <c r="F428" s="2" t="s">
        <v>25</v>
      </c>
      <c r="G428" s="2" t="s">
        <v>44</v>
      </c>
      <c r="H428" s="2">
        <v>0</v>
      </c>
      <c r="I428" s="9">
        <v>57.142857142857146</v>
      </c>
      <c r="J428" s="2">
        <v>4</v>
      </c>
      <c r="K428" s="3">
        <v>0.84</v>
      </c>
      <c r="L428" s="2" t="s">
        <v>65</v>
      </c>
      <c r="M428" s="2" t="s">
        <v>58</v>
      </c>
      <c r="N428" s="2">
        <v>4</v>
      </c>
      <c r="O428" s="2">
        <v>1</v>
      </c>
    </row>
    <row r="429" spans="1:15" x14ac:dyDescent="0.3">
      <c r="A429" s="2" t="s">
        <v>935</v>
      </c>
      <c r="B429" s="2" t="s">
        <v>936</v>
      </c>
      <c r="C429" s="2" t="s">
        <v>95</v>
      </c>
      <c r="D429" s="2">
        <v>44</v>
      </c>
      <c r="E429" s="2" t="s">
        <v>147</v>
      </c>
      <c r="F429" s="2" t="s">
        <v>148</v>
      </c>
      <c r="G429" s="2" t="s">
        <v>37</v>
      </c>
      <c r="H429" s="10">
        <v>12.357142857142858</v>
      </c>
      <c r="I429" s="9">
        <v>57.142857142857146</v>
      </c>
      <c r="J429" s="2">
        <v>5</v>
      </c>
      <c r="K429" s="3">
        <v>0.93</v>
      </c>
      <c r="L429" s="2" t="s">
        <v>69</v>
      </c>
      <c r="M429" s="2" t="s">
        <v>58</v>
      </c>
      <c r="N429" s="2">
        <v>3</v>
      </c>
      <c r="O429" s="2">
        <v>1</v>
      </c>
    </row>
    <row r="430" spans="1:15" x14ac:dyDescent="0.3">
      <c r="A430" s="2" t="s">
        <v>937</v>
      </c>
      <c r="B430" s="2" t="s">
        <v>938</v>
      </c>
      <c r="C430" s="2" t="s">
        <v>95</v>
      </c>
      <c r="D430" s="2">
        <v>40</v>
      </c>
      <c r="E430" s="2" t="s">
        <v>91</v>
      </c>
      <c r="F430" s="2" t="s">
        <v>92</v>
      </c>
      <c r="G430" s="2" t="s">
        <v>44</v>
      </c>
      <c r="H430" s="2">
        <v>13</v>
      </c>
      <c r="I430" s="9" t="s">
        <v>222</v>
      </c>
      <c r="J430" s="2">
        <v>1</v>
      </c>
      <c r="K430" s="3">
        <v>0.5</v>
      </c>
      <c r="L430" s="2" t="s">
        <v>46</v>
      </c>
      <c r="M430" s="2" t="s">
        <v>27</v>
      </c>
      <c r="N430" s="2">
        <v>13</v>
      </c>
      <c r="O430" s="2">
        <v>9</v>
      </c>
    </row>
    <row r="431" spans="1:15" x14ac:dyDescent="0.3">
      <c r="A431" s="2" t="s">
        <v>939</v>
      </c>
      <c r="B431" s="2" t="s">
        <v>940</v>
      </c>
      <c r="C431" s="2" t="s">
        <v>77</v>
      </c>
      <c r="D431" s="2">
        <v>53</v>
      </c>
      <c r="E431" s="2" t="s">
        <v>42</v>
      </c>
      <c r="F431" s="2" t="s">
        <v>43</v>
      </c>
      <c r="G431" s="2" t="s">
        <v>110</v>
      </c>
      <c r="H431" s="2">
        <v>13</v>
      </c>
      <c r="I431" s="9" t="s">
        <v>64</v>
      </c>
      <c r="J431" s="2">
        <v>5</v>
      </c>
      <c r="K431" s="3">
        <v>0.93</v>
      </c>
      <c r="L431" s="2" t="s">
        <v>46</v>
      </c>
      <c r="M431" s="2" t="s">
        <v>20</v>
      </c>
      <c r="N431" s="2">
        <v>10</v>
      </c>
      <c r="O431" s="2">
        <v>10</v>
      </c>
    </row>
    <row r="432" spans="1:15" x14ac:dyDescent="0.3">
      <c r="A432" s="2" t="s">
        <v>941</v>
      </c>
      <c r="B432" s="2" t="s">
        <v>942</v>
      </c>
      <c r="C432" s="2" t="s">
        <v>77</v>
      </c>
      <c r="D432" s="2">
        <v>35</v>
      </c>
      <c r="E432" s="2" t="s">
        <v>31</v>
      </c>
      <c r="F432" s="2" t="s">
        <v>31</v>
      </c>
      <c r="G432" s="2" t="s">
        <v>18</v>
      </c>
      <c r="H432" s="2">
        <v>0</v>
      </c>
      <c r="I432" s="9" t="s">
        <v>45</v>
      </c>
      <c r="J432" s="2">
        <v>5</v>
      </c>
      <c r="K432" s="3">
        <v>0.97</v>
      </c>
      <c r="L432" s="2" t="s">
        <v>69</v>
      </c>
      <c r="M432" s="2" t="s">
        <v>20</v>
      </c>
      <c r="N432" s="2">
        <v>1</v>
      </c>
      <c r="O432" s="2">
        <v>1</v>
      </c>
    </row>
    <row r="433" spans="1:15" x14ac:dyDescent="0.3">
      <c r="A433" s="2" t="s">
        <v>943</v>
      </c>
      <c r="B433" s="2" t="s">
        <v>944</v>
      </c>
      <c r="C433" s="2" t="s">
        <v>77</v>
      </c>
      <c r="D433" s="2">
        <v>27</v>
      </c>
      <c r="E433" s="2" t="s">
        <v>72</v>
      </c>
      <c r="F433" s="2" t="s">
        <v>73</v>
      </c>
      <c r="G433" s="2" t="s">
        <v>110</v>
      </c>
      <c r="H433" s="2">
        <v>7</v>
      </c>
      <c r="I433" s="9" t="s">
        <v>163</v>
      </c>
      <c r="J433" s="2">
        <v>5</v>
      </c>
      <c r="K433" s="3">
        <v>0.92</v>
      </c>
      <c r="L433" s="2" t="s">
        <v>65</v>
      </c>
      <c r="M433" s="2" t="s">
        <v>33</v>
      </c>
      <c r="N433" s="2">
        <v>7</v>
      </c>
      <c r="O433" s="2">
        <v>4</v>
      </c>
    </row>
    <row r="434" spans="1:15" x14ac:dyDescent="0.3">
      <c r="A434" s="2" t="s">
        <v>945</v>
      </c>
      <c r="B434" s="2" t="s">
        <v>946</v>
      </c>
      <c r="C434" s="2" t="s">
        <v>95</v>
      </c>
      <c r="D434" s="2">
        <v>34</v>
      </c>
      <c r="E434" s="2" t="s">
        <v>24</v>
      </c>
      <c r="F434" s="2" t="s">
        <v>25</v>
      </c>
      <c r="G434" s="2" t="s">
        <v>87</v>
      </c>
      <c r="H434" s="2">
        <v>6</v>
      </c>
      <c r="I434" s="9">
        <v>50</v>
      </c>
      <c r="J434" s="2">
        <v>5</v>
      </c>
      <c r="K434" s="3">
        <v>0.92</v>
      </c>
      <c r="L434" s="2" t="s">
        <v>19</v>
      </c>
      <c r="M434" s="2" t="s">
        <v>33</v>
      </c>
      <c r="N434" s="2">
        <v>8</v>
      </c>
      <c r="O434" s="2">
        <v>3</v>
      </c>
    </row>
    <row r="435" spans="1:15" x14ac:dyDescent="0.3">
      <c r="A435" s="2" t="s">
        <v>947</v>
      </c>
      <c r="B435" s="2" t="s">
        <v>948</v>
      </c>
      <c r="C435" s="2" t="s">
        <v>95</v>
      </c>
      <c r="D435" s="2">
        <v>24</v>
      </c>
      <c r="E435" s="2" t="s">
        <v>91</v>
      </c>
      <c r="F435" s="2" t="s">
        <v>92</v>
      </c>
      <c r="G435" s="2" t="s">
        <v>78</v>
      </c>
      <c r="H435" s="2">
        <v>2</v>
      </c>
      <c r="I435" s="9">
        <v>75</v>
      </c>
      <c r="J435" s="2">
        <v>2</v>
      </c>
      <c r="K435" s="3">
        <v>0.68</v>
      </c>
      <c r="L435" s="2" t="s">
        <v>69</v>
      </c>
      <c r="M435" s="2" t="s">
        <v>20</v>
      </c>
      <c r="N435" s="2">
        <v>1</v>
      </c>
      <c r="O435" s="2">
        <v>2</v>
      </c>
    </row>
    <row r="436" spans="1:15" x14ac:dyDescent="0.3">
      <c r="A436" s="2" t="s">
        <v>949</v>
      </c>
      <c r="B436" s="2" t="s">
        <v>950</v>
      </c>
      <c r="C436" s="2" t="s">
        <v>95</v>
      </c>
      <c r="D436" s="2">
        <v>57</v>
      </c>
      <c r="E436" s="2" t="s">
        <v>57</v>
      </c>
      <c r="F436" s="2" t="s">
        <v>25</v>
      </c>
      <c r="G436" s="2" t="s">
        <v>74</v>
      </c>
      <c r="H436" s="2">
        <v>13</v>
      </c>
      <c r="I436" s="9">
        <v>100</v>
      </c>
      <c r="J436" s="2">
        <v>5</v>
      </c>
      <c r="K436" s="3">
        <v>0.95</v>
      </c>
      <c r="L436" s="2" t="s">
        <v>19</v>
      </c>
      <c r="M436" s="2" t="s">
        <v>20</v>
      </c>
      <c r="N436" s="2">
        <v>13</v>
      </c>
      <c r="O436" s="2">
        <v>3</v>
      </c>
    </row>
    <row r="437" spans="1:15" x14ac:dyDescent="0.3">
      <c r="A437" s="2" t="s">
        <v>951</v>
      </c>
      <c r="B437" s="2" t="s">
        <v>952</v>
      </c>
      <c r="C437" s="2" t="s">
        <v>95</v>
      </c>
      <c r="D437" s="2">
        <v>28</v>
      </c>
      <c r="E437" s="2" t="s">
        <v>108</v>
      </c>
      <c r="F437" s="2" t="s">
        <v>109</v>
      </c>
      <c r="G437" s="2" t="s">
        <v>74</v>
      </c>
      <c r="H437" s="2">
        <v>7</v>
      </c>
      <c r="I437" s="9" t="s">
        <v>222</v>
      </c>
      <c r="J437" s="2">
        <v>3</v>
      </c>
      <c r="K437" s="3">
        <v>0.76</v>
      </c>
      <c r="L437" s="2" t="s">
        <v>65</v>
      </c>
      <c r="M437" s="2" t="s">
        <v>20</v>
      </c>
      <c r="N437" s="2">
        <v>7</v>
      </c>
      <c r="O437" s="2">
        <v>12</v>
      </c>
    </row>
    <row r="438" spans="1:15" x14ac:dyDescent="0.3">
      <c r="A438" s="2" t="s">
        <v>953</v>
      </c>
      <c r="B438" s="2" t="s">
        <v>954</v>
      </c>
      <c r="C438" s="2" t="s">
        <v>77</v>
      </c>
      <c r="D438" s="2">
        <v>26</v>
      </c>
      <c r="E438" s="2" t="s">
        <v>16</v>
      </c>
      <c r="F438" s="2" t="s">
        <v>17</v>
      </c>
      <c r="G438" s="2" t="s">
        <v>87</v>
      </c>
      <c r="H438" s="2">
        <v>7</v>
      </c>
      <c r="I438" s="9" t="s">
        <v>222</v>
      </c>
      <c r="J438" s="2">
        <v>2</v>
      </c>
      <c r="K438" s="3">
        <v>0.66</v>
      </c>
      <c r="L438" s="2" t="s">
        <v>46</v>
      </c>
      <c r="M438" s="2" t="s">
        <v>27</v>
      </c>
      <c r="N438" s="2">
        <v>14</v>
      </c>
      <c r="O438" s="2">
        <v>9</v>
      </c>
    </row>
    <row r="439" spans="1:15" x14ac:dyDescent="0.3">
      <c r="A439" s="2" t="s">
        <v>955</v>
      </c>
      <c r="B439" s="2" t="s">
        <v>956</v>
      </c>
      <c r="C439" s="2" t="s">
        <v>95</v>
      </c>
      <c r="D439" s="2">
        <v>34</v>
      </c>
      <c r="E439" s="2" t="s">
        <v>72</v>
      </c>
      <c r="F439" s="2" t="s">
        <v>73</v>
      </c>
      <c r="G439" s="2" t="s">
        <v>26</v>
      </c>
      <c r="H439" s="2">
        <v>15</v>
      </c>
      <c r="I439" s="9">
        <v>75</v>
      </c>
      <c r="J439" s="2">
        <v>3</v>
      </c>
      <c r="K439" s="3">
        <v>0.73</v>
      </c>
      <c r="L439" s="2" t="s">
        <v>65</v>
      </c>
      <c r="M439" s="2" t="s">
        <v>20</v>
      </c>
      <c r="N439" s="2">
        <v>14</v>
      </c>
      <c r="O439" s="2">
        <v>8</v>
      </c>
    </row>
    <row r="440" spans="1:15" x14ac:dyDescent="0.3">
      <c r="A440" s="2" t="s">
        <v>957</v>
      </c>
      <c r="B440" s="2" t="s">
        <v>958</v>
      </c>
      <c r="C440" s="2" t="s">
        <v>95</v>
      </c>
      <c r="D440" s="2">
        <v>43</v>
      </c>
      <c r="E440" s="2" t="s">
        <v>83</v>
      </c>
      <c r="F440" s="2" t="s">
        <v>84</v>
      </c>
      <c r="G440" s="2" t="s">
        <v>44</v>
      </c>
      <c r="H440" s="2">
        <v>10</v>
      </c>
      <c r="I440" s="9" t="s">
        <v>117</v>
      </c>
      <c r="J440" s="2">
        <v>5</v>
      </c>
      <c r="K440" s="3">
        <v>0.99</v>
      </c>
      <c r="L440" s="2" t="s">
        <v>69</v>
      </c>
      <c r="M440" s="2" t="s">
        <v>33</v>
      </c>
      <c r="N440" s="2">
        <v>4</v>
      </c>
      <c r="O440" s="2">
        <v>1</v>
      </c>
    </row>
    <row r="441" spans="1:15" x14ac:dyDescent="0.3">
      <c r="A441" s="2" t="s">
        <v>959</v>
      </c>
      <c r="B441" s="2" t="s">
        <v>960</v>
      </c>
      <c r="C441" s="2" t="s">
        <v>95</v>
      </c>
      <c r="D441" s="2">
        <v>31</v>
      </c>
      <c r="E441" s="2" t="s">
        <v>168</v>
      </c>
      <c r="F441" s="2" t="s">
        <v>169</v>
      </c>
      <c r="G441" s="2" t="s">
        <v>32</v>
      </c>
      <c r="H441" s="2">
        <v>5</v>
      </c>
      <c r="I441" s="9">
        <v>56.481481481481481</v>
      </c>
      <c r="J441" s="2">
        <v>5</v>
      </c>
      <c r="K441" s="3">
        <v>0.94</v>
      </c>
      <c r="L441" s="2" t="s">
        <v>46</v>
      </c>
      <c r="M441" s="2" t="s">
        <v>27</v>
      </c>
      <c r="N441" s="2">
        <v>4</v>
      </c>
      <c r="O441" s="2">
        <v>1</v>
      </c>
    </row>
    <row r="442" spans="1:15" x14ac:dyDescent="0.3">
      <c r="A442" s="2" t="s">
        <v>961</v>
      </c>
      <c r="B442" s="2" t="s">
        <v>962</v>
      </c>
      <c r="C442" s="2" t="s">
        <v>77</v>
      </c>
      <c r="D442" s="2">
        <v>34</v>
      </c>
      <c r="E442" s="2" t="s">
        <v>168</v>
      </c>
      <c r="F442" s="2" t="s">
        <v>169</v>
      </c>
      <c r="G442" s="2" t="s">
        <v>18</v>
      </c>
      <c r="H442" s="10">
        <v>10.380952380952381</v>
      </c>
      <c r="I442" s="9" t="s">
        <v>64</v>
      </c>
      <c r="J442" s="2">
        <v>4</v>
      </c>
      <c r="K442" s="3">
        <v>0.84</v>
      </c>
      <c r="L442" s="2" t="s">
        <v>69</v>
      </c>
      <c r="M442" s="2" t="s">
        <v>20</v>
      </c>
      <c r="N442" s="2">
        <v>5</v>
      </c>
      <c r="O442" s="2">
        <v>1</v>
      </c>
    </row>
    <row r="443" spans="1:15" x14ac:dyDescent="0.3">
      <c r="A443" s="2" t="s">
        <v>963</v>
      </c>
      <c r="B443" s="2" t="s">
        <v>964</v>
      </c>
      <c r="C443" s="2" t="s">
        <v>77</v>
      </c>
      <c r="D443" s="2">
        <v>32</v>
      </c>
      <c r="E443" s="2" t="s">
        <v>120</v>
      </c>
      <c r="F443" s="2" t="s">
        <v>121</v>
      </c>
      <c r="G443" s="2" t="s">
        <v>78</v>
      </c>
      <c r="H443" s="2">
        <v>10</v>
      </c>
      <c r="I443" s="9" t="s">
        <v>117</v>
      </c>
      <c r="J443" s="2">
        <v>5</v>
      </c>
      <c r="K443" s="3">
        <v>0.92</v>
      </c>
      <c r="L443" s="2" t="s">
        <v>69</v>
      </c>
      <c r="M443" s="2" t="s">
        <v>33</v>
      </c>
      <c r="N443" s="2">
        <v>12</v>
      </c>
      <c r="O443" s="2">
        <v>4</v>
      </c>
    </row>
    <row r="444" spans="1:15" x14ac:dyDescent="0.3">
      <c r="A444" s="2" t="s">
        <v>965</v>
      </c>
      <c r="B444" s="2" t="s">
        <v>966</v>
      </c>
      <c r="C444" s="2" t="s">
        <v>95</v>
      </c>
      <c r="D444" s="2">
        <v>24</v>
      </c>
      <c r="E444" s="2" t="s">
        <v>135</v>
      </c>
      <c r="F444" s="2" t="s">
        <v>136</v>
      </c>
      <c r="G444" s="2" t="s">
        <v>87</v>
      </c>
      <c r="H444" s="2">
        <v>6</v>
      </c>
      <c r="I444" s="9" t="s">
        <v>163</v>
      </c>
      <c r="J444" s="2">
        <v>1</v>
      </c>
      <c r="K444" s="3">
        <v>0.5</v>
      </c>
      <c r="L444" s="2" t="s">
        <v>65</v>
      </c>
      <c r="M444" s="2" t="s">
        <v>27</v>
      </c>
      <c r="N444" s="2">
        <v>14</v>
      </c>
      <c r="O444" s="2">
        <v>4</v>
      </c>
    </row>
    <row r="445" spans="1:15" x14ac:dyDescent="0.3">
      <c r="A445" s="2" t="s">
        <v>967</v>
      </c>
      <c r="B445" s="2" t="s">
        <v>968</v>
      </c>
      <c r="C445" s="2" t="s">
        <v>95</v>
      </c>
      <c r="D445" s="2">
        <v>35</v>
      </c>
      <c r="E445" s="2" t="s">
        <v>68</v>
      </c>
      <c r="F445" s="2" t="s">
        <v>25</v>
      </c>
      <c r="G445" s="2" t="s">
        <v>44</v>
      </c>
      <c r="H445" s="2">
        <v>8</v>
      </c>
      <c r="I445" s="9" t="s">
        <v>64</v>
      </c>
      <c r="J445" s="2">
        <v>5</v>
      </c>
      <c r="K445" s="3">
        <v>0.9</v>
      </c>
      <c r="L445" s="2" t="s">
        <v>69</v>
      </c>
      <c r="M445" s="2" t="s">
        <v>20</v>
      </c>
      <c r="N445" s="2">
        <v>6</v>
      </c>
      <c r="O445" s="2">
        <v>5</v>
      </c>
    </row>
    <row r="446" spans="1:15" x14ac:dyDescent="0.3">
      <c r="A446" s="2" t="s">
        <v>969</v>
      </c>
      <c r="B446" s="2" t="s">
        <v>970</v>
      </c>
      <c r="C446" s="2" t="s">
        <v>77</v>
      </c>
      <c r="D446" s="2">
        <v>22</v>
      </c>
      <c r="E446" s="2" t="s">
        <v>24</v>
      </c>
      <c r="F446" s="2" t="s">
        <v>25</v>
      </c>
      <c r="G446" s="2" t="s">
        <v>26</v>
      </c>
      <c r="H446" s="2">
        <v>4</v>
      </c>
      <c r="I446" s="9">
        <v>20</v>
      </c>
      <c r="J446" s="2">
        <v>3</v>
      </c>
      <c r="K446" s="3">
        <v>0.73</v>
      </c>
      <c r="L446" s="2" t="s">
        <v>65</v>
      </c>
      <c r="M446" s="2" t="s">
        <v>20</v>
      </c>
      <c r="N446" s="2">
        <v>1</v>
      </c>
      <c r="O446" s="2">
        <v>1</v>
      </c>
    </row>
    <row r="447" spans="1:15" x14ac:dyDescent="0.3">
      <c r="A447" s="2" t="s">
        <v>971</v>
      </c>
      <c r="B447" s="2" t="s">
        <v>972</v>
      </c>
      <c r="C447" s="2" t="s">
        <v>77</v>
      </c>
      <c r="D447" s="2">
        <v>55</v>
      </c>
      <c r="E447" s="2" t="s">
        <v>135</v>
      </c>
      <c r="F447" s="2" t="s">
        <v>136</v>
      </c>
      <c r="G447" s="2" t="s">
        <v>44</v>
      </c>
      <c r="H447" s="2">
        <v>3</v>
      </c>
      <c r="I447" s="9">
        <v>100</v>
      </c>
      <c r="J447" s="2">
        <v>3</v>
      </c>
      <c r="K447" s="3">
        <v>0.73</v>
      </c>
      <c r="L447" s="2" t="s">
        <v>46</v>
      </c>
      <c r="M447" s="2" t="s">
        <v>20</v>
      </c>
      <c r="N447" s="2">
        <v>1</v>
      </c>
      <c r="O447" s="2">
        <v>2</v>
      </c>
    </row>
    <row r="448" spans="1:15" x14ac:dyDescent="0.3">
      <c r="A448" s="2" t="s">
        <v>973</v>
      </c>
      <c r="B448" s="2" t="s">
        <v>974</v>
      </c>
      <c r="C448" s="2" t="s">
        <v>77</v>
      </c>
      <c r="D448" s="2">
        <v>54</v>
      </c>
      <c r="E448" s="2" t="s">
        <v>72</v>
      </c>
      <c r="F448" s="2" t="s">
        <v>73</v>
      </c>
      <c r="G448" s="2" t="s">
        <v>110</v>
      </c>
      <c r="H448" s="10">
        <v>11.373134328358208</v>
      </c>
      <c r="I448" s="9">
        <v>30</v>
      </c>
      <c r="J448" s="2">
        <v>3</v>
      </c>
      <c r="K448" s="3">
        <v>0.78</v>
      </c>
      <c r="L448" s="2" t="s">
        <v>65</v>
      </c>
      <c r="M448" s="2" t="s">
        <v>27</v>
      </c>
      <c r="N448" s="2">
        <v>3</v>
      </c>
      <c r="O448" s="2">
        <v>3</v>
      </c>
    </row>
    <row r="449" spans="1:15" x14ac:dyDescent="0.3">
      <c r="A449" s="2" t="s">
        <v>975</v>
      </c>
      <c r="B449" s="2" t="s">
        <v>976</v>
      </c>
      <c r="C449" s="2" t="s">
        <v>77</v>
      </c>
      <c r="D449" s="2">
        <v>36</v>
      </c>
      <c r="E449" s="2" t="s">
        <v>42</v>
      </c>
      <c r="F449" s="2" t="s">
        <v>43</v>
      </c>
      <c r="G449" s="2" t="s">
        <v>78</v>
      </c>
      <c r="H449" s="2">
        <v>11</v>
      </c>
      <c r="I449" s="9" t="s">
        <v>45</v>
      </c>
      <c r="J449" s="2">
        <v>2</v>
      </c>
      <c r="K449" s="3">
        <v>0.63</v>
      </c>
      <c r="L449" s="2" t="s">
        <v>46</v>
      </c>
      <c r="M449" s="2" t="s">
        <v>33</v>
      </c>
      <c r="N449" s="2">
        <v>9</v>
      </c>
      <c r="O449" s="2">
        <v>14</v>
      </c>
    </row>
    <row r="450" spans="1:15" x14ac:dyDescent="0.3">
      <c r="A450" s="2" t="s">
        <v>977</v>
      </c>
      <c r="B450" s="2" t="s">
        <v>978</v>
      </c>
      <c r="C450" s="2" t="s">
        <v>77</v>
      </c>
      <c r="D450" s="2">
        <v>36</v>
      </c>
      <c r="E450" s="2" t="s">
        <v>42</v>
      </c>
      <c r="F450" s="2" t="s">
        <v>43</v>
      </c>
      <c r="G450" s="2" t="s">
        <v>44</v>
      </c>
      <c r="H450" s="2">
        <v>17</v>
      </c>
      <c r="I450" s="9">
        <v>50</v>
      </c>
      <c r="J450" s="2">
        <v>2</v>
      </c>
      <c r="K450" s="3">
        <v>0.64</v>
      </c>
      <c r="L450" s="2" t="s">
        <v>65</v>
      </c>
      <c r="M450" s="2" t="s">
        <v>33</v>
      </c>
      <c r="N450" s="2">
        <v>18</v>
      </c>
      <c r="O450" s="2">
        <v>7</v>
      </c>
    </row>
    <row r="451" spans="1:15" x14ac:dyDescent="0.3">
      <c r="A451" s="2" t="s">
        <v>979</v>
      </c>
      <c r="B451" s="2" t="s">
        <v>980</v>
      </c>
      <c r="C451" s="2" t="s">
        <v>77</v>
      </c>
      <c r="D451" s="2">
        <v>25</v>
      </c>
      <c r="E451" s="2" t="s">
        <v>72</v>
      </c>
      <c r="F451" s="2" t="s">
        <v>73</v>
      </c>
      <c r="G451" s="2" t="s">
        <v>37</v>
      </c>
      <c r="H451" s="2">
        <v>1</v>
      </c>
      <c r="I451" s="9">
        <v>75</v>
      </c>
      <c r="J451" s="2">
        <v>1</v>
      </c>
      <c r="K451" s="3">
        <v>0.5</v>
      </c>
      <c r="L451" s="2" t="s">
        <v>19</v>
      </c>
      <c r="M451" s="2" t="s">
        <v>58</v>
      </c>
      <c r="N451" s="2">
        <v>2</v>
      </c>
      <c r="O451" s="2">
        <v>3</v>
      </c>
    </row>
    <row r="452" spans="1:15" x14ac:dyDescent="0.3">
      <c r="A452" s="2" t="s">
        <v>981</v>
      </c>
      <c r="B452" s="2" t="s">
        <v>982</v>
      </c>
      <c r="C452" s="2" t="s">
        <v>95</v>
      </c>
      <c r="D452" s="2">
        <v>46</v>
      </c>
      <c r="E452" s="2" t="s">
        <v>50</v>
      </c>
      <c r="F452" s="2" t="s">
        <v>51</v>
      </c>
      <c r="G452" s="2" t="s">
        <v>44</v>
      </c>
      <c r="H452" s="2">
        <v>16</v>
      </c>
      <c r="I452" s="9">
        <v>20</v>
      </c>
      <c r="J452" s="2">
        <v>4</v>
      </c>
      <c r="K452" s="3">
        <v>0.86</v>
      </c>
      <c r="L452" s="2" t="s">
        <v>19</v>
      </c>
      <c r="M452" s="2" t="s">
        <v>20</v>
      </c>
      <c r="N452" s="2">
        <v>12</v>
      </c>
      <c r="O452" s="2">
        <v>8</v>
      </c>
    </row>
    <row r="453" spans="1:15" x14ac:dyDescent="0.3">
      <c r="A453" s="2" t="s">
        <v>983</v>
      </c>
      <c r="B453" s="2" t="s">
        <v>984</v>
      </c>
      <c r="C453" s="2" t="s">
        <v>95</v>
      </c>
      <c r="D453" s="2">
        <v>41</v>
      </c>
      <c r="E453" s="2" t="s">
        <v>72</v>
      </c>
      <c r="F453" s="2" t="s">
        <v>73</v>
      </c>
      <c r="G453" s="2" t="s">
        <v>110</v>
      </c>
      <c r="H453" s="2">
        <v>11</v>
      </c>
      <c r="I453" s="9" t="s">
        <v>38</v>
      </c>
      <c r="J453" s="2">
        <v>1</v>
      </c>
      <c r="K453" s="3">
        <v>0.5</v>
      </c>
      <c r="L453" s="2" t="s">
        <v>69</v>
      </c>
      <c r="M453" s="2" t="s">
        <v>58</v>
      </c>
      <c r="N453" s="2">
        <v>9</v>
      </c>
      <c r="O453" s="2">
        <v>2</v>
      </c>
    </row>
    <row r="454" spans="1:15" x14ac:dyDescent="0.3">
      <c r="A454" s="2" t="s">
        <v>985</v>
      </c>
      <c r="B454" s="2" t="s">
        <v>986</v>
      </c>
      <c r="C454" s="2" t="s">
        <v>77</v>
      </c>
      <c r="D454" s="2">
        <v>21</v>
      </c>
      <c r="E454" s="2" t="s">
        <v>120</v>
      </c>
      <c r="F454" s="2" t="s">
        <v>121</v>
      </c>
      <c r="G454" s="2" t="s">
        <v>26</v>
      </c>
      <c r="H454" s="2">
        <v>3</v>
      </c>
      <c r="I454" s="9" t="s">
        <v>222</v>
      </c>
      <c r="J454" s="2">
        <v>5</v>
      </c>
      <c r="K454" s="3">
        <v>0.96</v>
      </c>
      <c r="L454" s="2" t="s">
        <v>65</v>
      </c>
      <c r="M454" s="2" t="s">
        <v>58</v>
      </c>
      <c r="N454" s="2">
        <v>2</v>
      </c>
      <c r="O454" s="2">
        <v>1</v>
      </c>
    </row>
    <row r="455" spans="1:15" x14ac:dyDescent="0.3">
      <c r="A455" s="2" t="s">
        <v>987</v>
      </c>
      <c r="B455" s="2" t="s">
        <v>988</v>
      </c>
      <c r="C455" s="2" t="s">
        <v>95</v>
      </c>
      <c r="D455" s="2">
        <v>29</v>
      </c>
      <c r="E455" s="2" t="s">
        <v>57</v>
      </c>
      <c r="F455" s="2" t="s">
        <v>25</v>
      </c>
      <c r="G455" s="2" t="s">
        <v>32</v>
      </c>
      <c r="H455" s="10">
        <v>12.295081967213115</v>
      </c>
      <c r="I455" s="9" t="s">
        <v>163</v>
      </c>
      <c r="J455" s="2">
        <v>1</v>
      </c>
      <c r="K455" s="3">
        <v>0.5</v>
      </c>
      <c r="L455" s="2" t="s">
        <v>65</v>
      </c>
      <c r="M455" s="2" t="s">
        <v>33</v>
      </c>
      <c r="N455" s="2">
        <v>4</v>
      </c>
      <c r="O455" s="2">
        <v>3</v>
      </c>
    </row>
    <row r="456" spans="1:15" x14ac:dyDescent="0.3">
      <c r="A456" s="2" t="s">
        <v>989</v>
      </c>
      <c r="B456" s="2" t="s">
        <v>990</v>
      </c>
      <c r="C456" s="2" t="s">
        <v>77</v>
      </c>
      <c r="D456" s="2">
        <v>44</v>
      </c>
      <c r="E456" s="2" t="s">
        <v>57</v>
      </c>
      <c r="F456" s="2" t="s">
        <v>25</v>
      </c>
      <c r="G456" s="2" t="s">
        <v>26</v>
      </c>
      <c r="H456" s="2">
        <v>3</v>
      </c>
      <c r="I456" s="9" t="s">
        <v>64</v>
      </c>
      <c r="J456" s="2">
        <v>3</v>
      </c>
      <c r="K456" s="3">
        <v>0.77</v>
      </c>
      <c r="L456" s="2" t="s">
        <v>46</v>
      </c>
      <c r="M456" s="2" t="s">
        <v>27</v>
      </c>
      <c r="N456" s="2">
        <v>4</v>
      </c>
      <c r="O456" s="2">
        <v>1</v>
      </c>
    </row>
    <row r="457" spans="1:15" x14ac:dyDescent="0.3">
      <c r="A457" s="2" t="s">
        <v>991</v>
      </c>
      <c r="B457" s="2" t="s">
        <v>992</v>
      </c>
      <c r="C457" s="2" t="s">
        <v>95</v>
      </c>
      <c r="D457" s="2">
        <v>40</v>
      </c>
      <c r="E457" s="2" t="s">
        <v>124</v>
      </c>
      <c r="F457" s="2" t="s">
        <v>25</v>
      </c>
      <c r="G457" s="2" t="s">
        <v>110</v>
      </c>
      <c r="H457" s="2">
        <v>1</v>
      </c>
      <c r="I457" s="9">
        <v>100</v>
      </c>
      <c r="J457" s="2">
        <v>1</v>
      </c>
      <c r="K457" s="3">
        <v>0.5</v>
      </c>
      <c r="L457" s="2" t="s">
        <v>69</v>
      </c>
      <c r="M457" s="2" t="s">
        <v>27</v>
      </c>
      <c r="N457" s="2">
        <v>4</v>
      </c>
      <c r="O457" s="2">
        <v>1</v>
      </c>
    </row>
    <row r="458" spans="1:15" x14ac:dyDescent="0.3">
      <c r="A458" s="2" t="s">
        <v>993</v>
      </c>
      <c r="B458" s="2" t="s">
        <v>994</v>
      </c>
      <c r="C458" s="2" t="s">
        <v>77</v>
      </c>
      <c r="D458" s="2">
        <v>27</v>
      </c>
      <c r="E458" s="2" t="s">
        <v>135</v>
      </c>
      <c r="F458" s="2" t="s">
        <v>136</v>
      </c>
      <c r="G458" s="2" t="s">
        <v>52</v>
      </c>
      <c r="H458" s="2">
        <v>1</v>
      </c>
      <c r="I458" s="9">
        <v>30</v>
      </c>
      <c r="J458" s="2">
        <v>2</v>
      </c>
      <c r="K458" s="3">
        <v>0.65</v>
      </c>
      <c r="L458" s="2" t="s">
        <v>65</v>
      </c>
      <c r="M458" s="2" t="s">
        <v>33</v>
      </c>
      <c r="N458" s="2">
        <v>5</v>
      </c>
      <c r="O458" s="2">
        <v>4</v>
      </c>
    </row>
    <row r="459" spans="1:15" x14ac:dyDescent="0.3">
      <c r="A459" s="2" t="s">
        <v>995</v>
      </c>
      <c r="B459" s="2" t="s">
        <v>996</v>
      </c>
      <c r="C459" s="2" t="s">
        <v>95</v>
      </c>
      <c r="D459" s="2">
        <v>53</v>
      </c>
      <c r="E459" s="2" t="s">
        <v>131</v>
      </c>
      <c r="F459" s="2" t="s">
        <v>132</v>
      </c>
      <c r="G459" s="2" t="s">
        <v>26</v>
      </c>
      <c r="H459" s="2">
        <v>35</v>
      </c>
      <c r="I459" s="9">
        <v>56.75</v>
      </c>
      <c r="J459" s="2">
        <v>2</v>
      </c>
      <c r="K459" s="3">
        <v>0.62</v>
      </c>
      <c r="L459" s="2" t="s">
        <v>69</v>
      </c>
      <c r="M459" s="2" t="s">
        <v>27</v>
      </c>
      <c r="N459" s="2">
        <v>14</v>
      </c>
      <c r="O459" s="2">
        <v>9</v>
      </c>
    </row>
    <row r="460" spans="1:15" x14ac:dyDescent="0.3">
      <c r="A460" s="2" t="s">
        <v>997</v>
      </c>
      <c r="B460" s="2" t="s">
        <v>998</v>
      </c>
      <c r="C460" s="2" t="s">
        <v>95</v>
      </c>
      <c r="D460" s="2">
        <v>20</v>
      </c>
      <c r="E460" s="2" t="s">
        <v>62</v>
      </c>
      <c r="F460" s="2" t="s">
        <v>63</v>
      </c>
      <c r="G460" s="2" t="s">
        <v>52</v>
      </c>
      <c r="H460" s="2">
        <v>1</v>
      </c>
      <c r="I460" s="9">
        <v>50</v>
      </c>
      <c r="J460" s="2">
        <v>4</v>
      </c>
      <c r="K460" s="3">
        <v>0.81</v>
      </c>
      <c r="L460" s="2" t="s">
        <v>19</v>
      </c>
      <c r="M460" s="2" t="s">
        <v>58</v>
      </c>
      <c r="N460" s="2">
        <v>1</v>
      </c>
      <c r="O460" s="2">
        <v>1</v>
      </c>
    </row>
    <row r="461" spans="1:15" x14ac:dyDescent="0.3">
      <c r="A461" s="2" t="s">
        <v>999</v>
      </c>
      <c r="B461" s="2" t="s">
        <v>1000</v>
      </c>
      <c r="C461" s="2" t="s">
        <v>77</v>
      </c>
      <c r="D461" s="2">
        <v>41</v>
      </c>
      <c r="E461" s="2" t="s">
        <v>83</v>
      </c>
      <c r="F461" s="2" t="s">
        <v>84</v>
      </c>
      <c r="G461" s="2" t="s">
        <v>87</v>
      </c>
      <c r="H461" s="2">
        <v>12</v>
      </c>
      <c r="I461" s="9" t="s">
        <v>64</v>
      </c>
      <c r="J461" s="2">
        <v>2</v>
      </c>
      <c r="K461" s="3">
        <v>0.62</v>
      </c>
      <c r="L461" s="2" t="s">
        <v>65</v>
      </c>
      <c r="M461" s="2" t="s">
        <v>20</v>
      </c>
      <c r="N461" s="2">
        <v>7</v>
      </c>
      <c r="O461" s="2">
        <v>4</v>
      </c>
    </row>
    <row r="462" spans="1:15" x14ac:dyDescent="0.3">
      <c r="A462" s="2" t="s">
        <v>1001</v>
      </c>
      <c r="B462" s="2" t="s">
        <v>1002</v>
      </c>
      <c r="C462" s="2" t="s">
        <v>95</v>
      </c>
      <c r="D462" s="2">
        <v>26</v>
      </c>
      <c r="E462" s="2" t="s">
        <v>172</v>
      </c>
      <c r="F462" s="2" t="s">
        <v>73</v>
      </c>
      <c r="G462" s="2" t="s">
        <v>37</v>
      </c>
      <c r="H462" s="2">
        <v>8</v>
      </c>
      <c r="I462" s="9">
        <v>40</v>
      </c>
      <c r="J462" s="2">
        <v>4</v>
      </c>
      <c r="K462" s="3">
        <v>0.87</v>
      </c>
      <c r="L462" s="2" t="s">
        <v>65</v>
      </c>
      <c r="M462" s="2" t="s">
        <v>33</v>
      </c>
      <c r="N462" s="2">
        <v>9</v>
      </c>
      <c r="O462" s="2">
        <v>4</v>
      </c>
    </row>
    <row r="463" spans="1:15" x14ac:dyDescent="0.3">
      <c r="A463" s="2" t="s">
        <v>1003</v>
      </c>
      <c r="B463" s="2" t="s">
        <v>1004</v>
      </c>
      <c r="C463" s="2" t="s">
        <v>77</v>
      </c>
      <c r="D463" s="2">
        <v>49</v>
      </c>
      <c r="E463" s="2" t="s">
        <v>104</v>
      </c>
      <c r="F463" s="2" t="s">
        <v>105</v>
      </c>
      <c r="G463" s="2" t="s">
        <v>110</v>
      </c>
      <c r="H463" s="2">
        <v>13</v>
      </c>
      <c r="I463" s="9" t="s">
        <v>222</v>
      </c>
      <c r="J463" s="2">
        <v>1</v>
      </c>
      <c r="K463" s="3">
        <v>0.5</v>
      </c>
      <c r="L463" s="2" t="s">
        <v>69</v>
      </c>
      <c r="M463" s="2" t="s">
        <v>20</v>
      </c>
      <c r="N463" s="2">
        <v>6</v>
      </c>
      <c r="O463" s="2">
        <v>2</v>
      </c>
    </row>
    <row r="464" spans="1:15" x14ac:dyDescent="0.3">
      <c r="A464" s="2" t="s">
        <v>1005</v>
      </c>
      <c r="B464" s="2" t="s">
        <v>1006</v>
      </c>
      <c r="C464" s="2" t="s">
        <v>77</v>
      </c>
      <c r="D464" s="2">
        <v>20</v>
      </c>
      <c r="E464" s="2" t="s">
        <v>135</v>
      </c>
      <c r="F464" s="2" t="s">
        <v>136</v>
      </c>
      <c r="G464" s="2" t="s">
        <v>52</v>
      </c>
      <c r="H464" s="2">
        <v>0</v>
      </c>
      <c r="I464" s="9" t="s">
        <v>45</v>
      </c>
      <c r="J464" s="2">
        <v>3</v>
      </c>
      <c r="K464" s="3">
        <v>0.76</v>
      </c>
      <c r="L464" s="2" t="s">
        <v>65</v>
      </c>
      <c r="M464" s="2" t="s">
        <v>27</v>
      </c>
      <c r="N464" s="2">
        <v>5</v>
      </c>
      <c r="O464" s="2">
        <v>3</v>
      </c>
    </row>
    <row r="465" spans="1:15" x14ac:dyDescent="0.3">
      <c r="A465" s="2" t="s">
        <v>1007</v>
      </c>
      <c r="B465" s="2" t="s">
        <v>1008</v>
      </c>
      <c r="C465" s="2" t="s">
        <v>77</v>
      </c>
      <c r="D465" s="2">
        <v>39</v>
      </c>
      <c r="E465" s="2" t="s">
        <v>168</v>
      </c>
      <c r="F465" s="2" t="s">
        <v>169</v>
      </c>
      <c r="G465" s="2" t="s">
        <v>18</v>
      </c>
      <c r="H465" s="2">
        <v>11</v>
      </c>
      <c r="I465" s="9">
        <v>100</v>
      </c>
      <c r="J465" s="2">
        <v>3</v>
      </c>
      <c r="K465" s="3">
        <v>0.7</v>
      </c>
      <c r="L465" s="2" t="s">
        <v>69</v>
      </c>
      <c r="M465" s="2" t="s">
        <v>20</v>
      </c>
      <c r="N465" s="2">
        <v>9</v>
      </c>
      <c r="O465" s="2">
        <v>10</v>
      </c>
    </row>
    <row r="466" spans="1:15" x14ac:dyDescent="0.3">
      <c r="A466" s="2" t="s">
        <v>1009</v>
      </c>
      <c r="B466" s="2" t="s">
        <v>1010</v>
      </c>
      <c r="C466" s="2" t="s">
        <v>77</v>
      </c>
      <c r="D466" s="2">
        <v>41</v>
      </c>
      <c r="E466" s="2" t="s">
        <v>168</v>
      </c>
      <c r="F466" s="2" t="s">
        <v>169</v>
      </c>
      <c r="G466" s="2" t="s">
        <v>110</v>
      </c>
      <c r="H466" s="2">
        <v>19</v>
      </c>
      <c r="I466" s="9">
        <v>100</v>
      </c>
      <c r="J466" s="2">
        <v>3</v>
      </c>
      <c r="K466" s="3">
        <v>0.71</v>
      </c>
      <c r="L466" s="2" t="s">
        <v>65</v>
      </c>
      <c r="M466" s="2" t="s">
        <v>27</v>
      </c>
      <c r="N466" s="2">
        <v>16</v>
      </c>
      <c r="O466" s="2">
        <v>5</v>
      </c>
    </row>
    <row r="467" spans="1:15" x14ac:dyDescent="0.3">
      <c r="A467" s="2" t="s">
        <v>1011</v>
      </c>
      <c r="B467" s="2" t="s">
        <v>1012</v>
      </c>
      <c r="C467" s="2" t="s">
        <v>95</v>
      </c>
      <c r="D467" s="2">
        <v>59</v>
      </c>
      <c r="E467" s="2" t="s">
        <v>124</v>
      </c>
      <c r="F467" s="2" t="s">
        <v>25</v>
      </c>
      <c r="G467" s="2" t="s">
        <v>26</v>
      </c>
      <c r="H467" s="2">
        <v>30</v>
      </c>
      <c r="I467" s="9" t="s">
        <v>45</v>
      </c>
      <c r="J467" s="2">
        <v>4</v>
      </c>
      <c r="K467" s="3">
        <v>0.83</v>
      </c>
      <c r="L467" s="2" t="s">
        <v>46</v>
      </c>
      <c r="M467" s="2" t="s">
        <v>27</v>
      </c>
      <c r="N467" s="2">
        <v>11</v>
      </c>
      <c r="O467" s="2">
        <v>3</v>
      </c>
    </row>
    <row r="468" spans="1:15" x14ac:dyDescent="0.3">
      <c r="A468" s="2" t="s">
        <v>1013</v>
      </c>
      <c r="B468" s="2" t="s">
        <v>1014</v>
      </c>
      <c r="C468" s="2" t="s">
        <v>77</v>
      </c>
      <c r="D468" s="2">
        <v>45</v>
      </c>
      <c r="E468" s="2" t="s">
        <v>24</v>
      </c>
      <c r="F468" s="2" t="s">
        <v>25</v>
      </c>
      <c r="G468" s="2" t="s">
        <v>18</v>
      </c>
      <c r="H468" s="2">
        <v>8</v>
      </c>
      <c r="I468" s="9">
        <v>40</v>
      </c>
      <c r="J468" s="2">
        <v>3</v>
      </c>
      <c r="K468" s="3">
        <v>0.78</v>
      </c>
      <c r="L468" s="2" t="s">
        <v>69</v>
      </c>
      <c r="M468" s="2" t="s">
        <v>58</v>
      </c>
      <c r="N468" s="2">
        <v>7</v>
      </c>
      <c r="O468" s="2">
        <v>9</v>
      </c>
    </row>
    <row r="469" spans="1:15" x14ac:dyDescent="0.3">
      <c r="A469" s="2" t="s">
        <v>1015</v>
      </c>
      <c r="B469" s="2" t="s">
        <v>1016</v>
      </c>
      <c r="C469" s="2" t="s">
        <v>95</v>
      </c>
      <c r="D469" s="2">
        <v>22</v>
      </c>
      <c r="E469" s="2" t="s">
        <v>50</v>
      </c>
      <c r="F469" s="2" t="s">
        <v>51</v>
      </c>
      <c r="G469" s="2" t="s">
        <v>78</v>
      </c>
      <c r="H469" s="2">
        <v>0</v>
      </c>
      <c r="I469" s="9">
        <v>40</v>
      </c>
      <c r="J469" s="2">
        <v>3</v>
      </c>
      <c r="K469" s="3">
        <v>0.78</v>
      </c>
      <c r="L469" s="2" t="s">
        <v>65</v>
      </c>
      <c r="M469" s="2" t="s">
        <v>27</v>
      </c>
      <c r="N469" s="2">
        <v>2</v>
      </c>
      <c r="O469" s="2">
        <v>1</v>
      </c>
    </row>
    <row r="470" spans="1:15" x14ac:dyDescent="0.3">
      <c r="A470" s="2" t="s">
        <v>1017</v>
      </c>
      <c r="B470" s="2" t="s">
        <v>1018</v>
      </c>
      <c r="C470" s="2" t="s">
        <v>77</v>
      </c>
      <c r="D470" s="2">
        <v>48</v>
      </c>
      <c r="E470" s="2" t="s">
        <v>91</v>
      </c>
      <c r="F470" s="2" t="s">
        <v>92</v>
      </c>
      <c r="G470" s="2" t="s">
        <v>26</v>
      </c>
      <c r="H470" s="2">
        <v>7</v>
      </c>
      <c r="I470" s="9">
        <v>50</v>
      </c>
      <c r="J470" s="2">
        <v>2</v>
      </c>
      <c r="K470" s="3">
        <v>0.6</v>
      </c>
      <c r="L470" s="2" t="s">
        <v>19</v>
      </c>
      <c r="M470" s="2" t="s">
        <v>58</v>
      </c>
      <c r="N470" s="2">
        <v>13</v>
      </c>
      <c r="O470" s="2">
        <v>10</v>
      </c>
    </row>
    <row r="471" spans="1:15" x14ac:dyDescent="0.3">
      <c r="A471" s="2" t="s">
        <v>1019</v>
      </c>
      <c r="B471" s="2" t="s">
        <v>1020</v>
      </c>
      <c r="C471" s="2" t="s">
        <v>95</v>
      </c>
      <c r="D471" s="2">
        <v>36</v>
      </c>
      <c r="E471" s="2" t="s">
        <v>131</v>
      </c>
      <c r="F471" s="2" t="s">
        <v>132</v>
      </c>
      <c r="G471" s="2" t="s">
        <v>18</v>
      </c>
      <c r="H471" s="2">
        <v>11</v>
      </c>
      <c r="I471" s="9" t="s">
        <v>38</v>
      </c>
      <c r="J471" s="2">
        <v>1</v>
      </c>
      <c r="K471" s="3">
        <v>0.5</v>
      </c>
      <c r="L471" s="2" t="s">
        <v>65</v>
      </c>
      <c r="M471" s="2" t="s">
        <v>58</v>
      </c>
      <c r="N471" s="2">
        <v>15</v>
      </c>
      <c r="O471" s="2">
        <v>4</v>
      </c>
    </row>
    <row r="472" spans="1:15" x14ac:dyDescent="0.3">
      <c r="A472" s="2" t="s">
        <v>1021</v>
      </c>
      <c r="B472" s="2" t="s">
        <v>1022</v>
      </c>
      <c r="C472" s="2" t="s">
        <v>77</v>
      </c>
      <c r="D472" s="2">
        <v>57</v>
      </c>
      <c r="E472" s="2" t="s">
        <v>168</v>
      </c>
      <c r="F472" s="2" t="s">
        <v>169</v>
      </c>
      <c r="G472" s="2" t="s">
        <v>18</v>
      </c>
      <c r="H472" s="10">
        <v>10.380952380952381</v>
      </c>
      <c r="I472" s="9">
        <v>75</v>
      </c>
      <c r="J472" s="2">
        <v>1</v>
      </c>
      <c r="K472" s="3">
        <v>0.5</v>
      </c>
      <c r="L472" s="2" t="s">
        <v>19</v>
      </c>
      <c r="M472" s="2" t="s">
        <v>58</v>
      </c>
      <c r="N472" s="2">
        <v>1</v>
      </c>
      <c r="O472" s="2">
        <v>2</v>
      </c>
    </row>
    <row r="473" spans="1:15" x14ac:dyDescent="0.3">
      <c r="A473" s="2" t="s">
        <v>1023</v>
      </c>
      <c r="B473" s="2" t="s">
        <v>1024</v>
      </c>
      <c r="C473" s="2" t="s">
        <v>95</v>
      </c>
      <c r="D473" s="2">
        <v>42</v>
      </c>
      <c r="E473" s="2" t="s">
        <v>57</v>
      </c>
      <c r="F473" s="2" t="s">
        <v>25</v>
      </c>
      <c r="G473" s="2" t="s">
        <v>74</v>
      </c>
      <c r="H473" s="2">
        <v>14</v>
      </c>
      <c r="I473" s="9" t="s">
        <v>45</v>
      </c>
      <c r="J473" s="2">
        <v>5</v>
      </c>
      <c r="K473" s="3">
        <v>0.94</v>
      </c>
      <c r="L473" s="2" t="s">
        <v>19</v>
      </c>
      <c r="M473" s="2" t="s">
        <v>33</v>
      </c>
      <c r="N473" s="2">
        <v>6</v>
      </c>
      <c r="O473" s="2">
        <v>1</v>
      </c>
    </row>
    <row r="474" spans="1:15" x14ac:dyDescent="0.3">
      <c r="A474" s="2" t="s">
        <v>1025</v>
      </c>
      <c r="B474" s="2" t="s">
        <v>1026</v>
      </c>
      <c r="C474" s="2" t="s">
        <v>95</v>
      </c>
      <c r="D474" s="2">
        <v>31</v>
      </c>
      <c r="E474" s="2" t="s">
        <v>50</v>
      </c>
      <c r="F474" s="2" t="s">
        <v>51</v>
      </c>
      <c r="G474" s="2" t="s">
        <v>78</v>
      </c>
      <c r="H474" s="2">
        <v>11</v>
      </c>
      <c r="I474" s="9" t="s">
        <v>64</v>
      </c>
      <c r="J474" s="2">
        <v>2</v>
      </c>
      <c r="K474" s="3">
        <v>0.62</v>
      </c>
      <c r="L474" s="2" t="s">
        <v>46</v>
      </c>
      <c r="M474" s="2" t="s">
        <v>33</v>
      </c>
      <c r="N474" s="2">
        <v>7</v>
      </c>
      <c r="O474" s="2">
        <v>14</v>
      </c>
    </row>
    <row r="475" spans="1:15" x14ac:dyDescent="0.3">
      <c r="A475" s="2" t="s">
        <v>1027</v>
      </c>
      <c r="B475" s="2" t="s">
        <v>1028</v>
      </c>
      <c r="C475" s="2" t="s">
        <v>95</v>
      </c>
      <c r="D475" s="2">
        <v>52</v>
      </c>
      <c r="E475" s="2" t="s">
        <v>183</v>
      </c>
      <c r="F475" s="2" t="s">
        <v>73</v>
      </c>
      <c r="G475" s="2" t="s">
        <v>78</v>
      </c>
      <c r="H475" s="2">
        <v>31</v>
      </c>
      <c r="I475" s="9">
        <v>30</v>
      </c>
      <c r="J475" s="2">
        <v>1</v>
      </c>
      <c r="K475" s="3">
        <v>0.5</v>
      </c>
      <c r="L475" s="2" t="s">
        <v>69</v>
      </c>
      <c r="M475" s="2" t="s">
        <v>27</v>
      </c>
      <c r="N475" s="2">
        <v>14</v>
      </c>
      <c r="O475" s="2">
        <v>3</v>
      </c>
    </row>
    <row r="476" spans="1:15" x14ac:dyDescent="0.3">
      <c r="A476" s="2" t="s">
        <v>1029</v>
      </c>
      <c r="B476" s="2" t="s">
        <v>1030</v>
      </c>
      <c r="C476" s="2" t="s">
        <v>95</v>
      </c>
      <c r="D476" s="2">
        <v>56</v>
      </c>
      <c r="E476" s="2" t="s">
        <v>42</v>
      </c>
      <c r="F476" s="2" t="s">
        <v>43</v>
      </c>
      <c r="G476" s="2" t="s">
        <v>87</v>
      </c>
      <c r="H476" s="2">
        <v>16</v>
      </c>
      <c r="I476" s="9" t="s">
        <v>45</v>
      </c>
      <c r="J476" s="2">
        <v>1</v>
      </c>
      <c r="K476" s="3">
        <v>0.5</v>
      </c>
      <c r="L476" s="2" t="s">
        <v>65</v>
      </c>
      <c r="M476" s="2" t="s">
        <v>58</v>
      </c>
      <c r="N476" s="2">
        <v>12</v>
      </c>
      <c r="O476" s="2">
        <v>10</v>
      </c>
    </row>
    <row r="477" spans="1:15" x14ac:dyDescent="0.3">
      <c r="A477" s="2" t="s">
        <v>1031</v>
      </c>
      <c r="B477" s="2" t="s">
        <v>1032</v>
      </c>
      <c r="C477" s="2" t="s">
        <v>77</v>
      </c>
      <c r="D477" s="2">
        <v>24</v>
      </c>
      <c r="E477" s="2" t="s">
        <v>42</v>
      </c>
      <c r="F477" s="2" t="s">
        <v>43</v>
      </c>
      <c r="G477" s="2" t="s">
        <v>87</v>
      </c>
      <c r="H477" s="2">
        <v>6</v>
      </c>
      <c r="I477" s="9">
        <v>30</v>
      </c>
      <c r="J477" s="2">
        <v>4</v>
      </c>
      <c r="K477" s="3">
        <v>0.84</v>
      </c>
      <c r="L477" s="2" t="s">
        <v>46</v>
      </c>
      <c r="M477" s="2" t="s">
        <v>33</v>
      </c>
      <c r="N477" s="2">
        <v>6</v>
      </c>
      <c r="O477" s="2">
        <v>4</v>
      </c>
    </row>
    <row r="478" spans="1:15" x14ac:dyDescent="0.3">
      <c r="A478" s="2" t="s">
        <v>1033</v>
      </c>
      <c r="B478" s="2" t="s">
        <v>1034</v>
      </c>
      <c r="C478" s="2" t="s">
        <v>95</v>
      </c>
      <c r="D478" s="2">
        <v>48</v>
      </c>
      <c r="E478" s="2" t="s">
        <v>124</v>
      </c>
      <c r="F478" s="2" t="s">
        <v>25</v>
      </c>
      <c r="G478" s="2" t="s">
        <v>87</v>
      </c>
      <c r="H478" s="2">
        <v>21</v>
      </c>
      <c r="I478" s="9">
        <v>75</v>
      </c>
      <c r="J478" s="2">
        <v>1</v>
      </c>
      <c r="K478" s="3">
        <v>0.5</v>
      </c>
      <c r="L478" s="2" t="s">
        <v>65</v>
      </c>
      <c r="M478" s="2" t="s">
        <v>58</v>
      </c>
      <c r="N478" s="2">
        <v>17</v>
      </c>
      <c r="O478" s="2">
        <v>8</v>
      </c>
    </row>
    <row r="479" spans="1:15" x14ac:dyDescent="0.3">
      <c r="A479" s="2" t="s">
        <v>1035</v>
      </c>
      <c r="B479" s="2" t="s">
        <v>1036</v>
      </c>
      <c r="C479" s="2" t="s">
        <v>95</v>
      </c>
      <c r="D479" s="2">
        <v>59</v>
      </c>
      <c r="E479" s="2" t="s">
        <v>131</v>
      </c>
      <c r="F479" s="2" t="s">
        <v>132</v>
      </c>
      <c r="G479" s="2" t="s">
        <v>78</v>
      </c>
      <c r="H479" s="2">
        <v>13</v>
      </c>
      <c r="I479" s="9">
        <v>40</v>
      </c>
      <c r="J479" s="2">
        <v>2</v>
      </c>
      <c r="K479" s="3">
        <v>0.65</v>
      </c>
      <c r="L479" s="2" t="s">
        <v>19</v>
      </c>
      <c r="M479" s="2" t="s">
        <v>20</v>
      </c>
      <c r="N479" s="2">
        <v>13</v>
      </c>
      <c r="O479" s="2">
        <v>4</v>
      </c>
    </row>
    <row r="480" spans="1:15" x14ac:dyDescent="0.3">
      <c r="A480" s="2" t="s">
        <v>1037</v>
      </c>
      <c r="B480" s="2" t="s">
        <v>1038</v>
      </c>
      <c r="C480" s="2" t="s">
        <v>95</v>
      </c>
      <c r="D480" s="2">
        <v>41</v>
      </c>
      <c r="E480" s="2" t="s">
        <v>68</v>
      </c>
      <c r="F480" s="2" t="s">
        <v>25</v>
      </c>
      <c r="G480" s="2" t="s">
        <v>37</v>
      </c>
      <c r="H480" s="10">
        <v>12.357142857142858</v>
      </c>
      <c r="I480" s="9">
        <v>40</v>
      </c>
      <c r="J480" s="2">
        <v>5</v>
      </c>
      <c r="K480" s="3">
        <v>0.94</v>
      </c>
      <c r="L480" s="2" t="s">
        <v>69</v>
      </c>
      <c r="M480" s="2" t="s">
        <v>20</v>
      </c>
      <c r="N480" s="2">
        <v>4</v>
      </c>
      <c r="O480" s="2">
        <v>3</v>
      </c>
    </row>
    <row r="481" spans="1:15" x14ac:dyDescent="0.3">
      <c r="A481" s="2" t="s">
        <v>1039</v>
      </c>
      <c r="B481" s="2" t="s">
        <v>1040</v>
      </c>
      <c r="C481" s="2" t="s">
        <v>77</v>
      </c>
      <c r="D481" s="2">
        <v>41</v>
      </c>
      <c r="E481" s="2" t="s">
        <v>42</v>
      </c>
      <c r="F481" s="2" t="s">
        <v>43</v>
      </c>
      <c r="G481" s="2" t="s">
        <v>26</v>
      </c>
      <c r="H481" s="2">
        <v>11</v>
      </c>
      <c r="I481" s="9" t="s">
        <v>117</v>
      </c>
      <c r="J481" s="2">
        <v>2</v>
      </c>
      <c r="K481" s="3">
        <v>0.69</v>
      </c>
      <c r="L481" s="2" t="s">
        <v>65</v>
      </c>
      <c r="M481" s="2" t="s">
        <v>20</v>
      </c>
      <c r="N481" s="2">
        <v>15</v>
      </c>
      <c r="O481" s="2">
        <v>6</v>
      </c>
    </row>
    <row r="482" spans="1:15" x14ac:dyDescent="0.3">
      <c r="A482" s="2" t="s">
        <v>1041</v>
      </c>
      <c r="B482" s="2" t="s">
        <v>1042</v>
      </c>
      <c r="C482" s="2" t="s">
        <v>95</v>
      </c>
      <c r="D482" s="2">
        <v>25</v>
      </c>
      <c r="E482" s="2" t="s">
        <v>42</v>
      </c>
      <c r="F482" s="2" t="s">
        <v>43</v>
      </c>
      <c r="G482" s="2" t="s">
        <v>26</v>
      </c>
      <c r="H482" s="2">
        <v>0</v>
      </c>
      <c r="I482" s="9">
        <v>50</v>
      </c>
      <c r="J482" s="2">
        <v>2</v>
      </c>
      <c r="K482" s="3">
        <v>0.65</v>
      </c>
      <c r="L482" s="2" t="s">
        <v>65</v>
      </c>
      <c r="M482" s="2" t="s">
        <v>27</v>
      </c>
      <c r="N482" s="2">
        <v>2</v>
      </c>
      <c r="O482" s="2">
        <v>1</v>
      </c>
    </row>
    <row r="483" spans="1:15" x14ac:dyDescent="0.3">
      <c r="A483" s="2" t="s">
        <v>1043</v>
      </c>
      <c r="B483" s="2" t="s">
        <v>1044</v>
      </c>
      <c r="C483" s="2" t="s">
        <v>95</v>
      </c>
      <c r="D483" s="2">
        <v>31</v>
      </c>
      <c r="E483" s="2" t="s">
        <v>135</v>
      </c>
      <c r="F483" s="2" t="s">
        <v>136</v>
      </c>
      <c r="G483" s="2" t="s">
        <v>26</v>
      </c>
      <c r="H483" s="2">
        <v>2</v>
      </c>
      <c r="I483" s="9" t="s">
        <v>163</v>
      </c>
      <c r="J483" s="2">
        <v>2</v>
      </c>
      <c r="K483" s="3">
        <v>0.6</v>
      </c>
      <c r="L483" s="2" t="s">
        <v>19</v>
      </c>
      <c r="M483" s="2" t="s">
        <v>58</v>
      </c>
      <c r="N483" s="2">
        <v>5</v>
      </c>
      <c r="O483" s="2">
        <v>1</v>
      </c>
    </row>
    <row r="484" spans="1:15" x14ac:dyDescent="0.3">
      <c r="A484" s="2" t="s">
        <v>1045</v>
      </c>
      <c r="B484" s="2" t="s">
        <v>1046</v>
      </c>
      <c r="C484" s="2" t="s">
        <v>95</v>
      </c>
      <c r="D484" s="2">
        <v>40</v>
      </c>
      <c r="E484" s="2" t="s">
        <v>62</v>
      </c>
      <c r="F484" s="2" t="s">
        <v>63</v>
      </c>
      <c r="G484" s="2" t="s">
        <v>87</v>
      </c>
      <c r="H484" s="2">
        <v>12</v>
      </c>
      <c r="I484" s="9">
        <v>75</v>
      </c>
      <c r="J484" s="2">
        <v>1</v>
      </c>
      <c r="K484" s="3">
        <v>0.5</v>
      </c>
      <c r="L484" s="2" t="s">
        <v>65</v>
      </c>
      <c r="M484" s="2" t="s">
        <v>20</v>
      </c>
      <c r="N484" s="2">
        <v>13</v>
      </c>
      <c r="O484" s="2">
        <v>13</v>
      </c>
    </row>
    <row r="485" spans="1:15" x14ac:dyDescent="0.3">
      <c r="A485" s="2" t="s">
        <v>1047</v>
      </c>
      <c r="B485" s="2" t="s">
        <v>667</v>
      </c>
      <c r="C485" s="2" t="s">
        <v>77</v>
      </c>
      <c r="D485" s="2">
        <v>48</v>
      </c>
      <c r="E485" s="2" t="s">
        <v>120</v>
      </c>
      <c r="F485" s="2" t="s">
        <v>121</v>
      </c>
      <c r="G485" s="2" t="s">
        <v>18</v>
      </c>
      <c r="H485" s="2">
        <v>13</v>
      </c>
      <c r="I485" s="9" t="s">
        <v>222</v>
      </c>
      <c r="J485" s="2">
        <v>2</v>
      </c>
      <c r="K485" s="3">
        <v>0.62</v>
      </c>
      <c r="L485" s="2" t="s">
        <v>65</v>
      </c>
      <c r="M485" s="2" t="s">
        <v>33</v>
      </c>
      <c r="N485" s="2">
        <v>8</v>
      </c>
      <c r="O485" s="2">
        <v>4</v>
      </c>
    </row>
    <row r="486" spans="1:15" x14ac:dyDescent="0.3">
      <c r="A486" s="2" t="s">
        <v>1048</v>
      </c>
      <c r="B486" s="2" t="s">
        <v>1049</v>
      </c>
      <c r="C486" s="2" t="s">
        <v>77</v>
      </c>
      <c r="D486" s="2">
        <v>24</v>
      </c>
      <c r="E486" s="2" t="s">
        <v>147</v>
      </c>
      <c r="F486" s="2" t="s">
        <v>148</v>
      </c>
      <c r="G486" s="2" t="s">
        <v>26</v>
      </c>
      <c r="H486" s="2">
        <v>6</v>
      </c>
      <c r="I486" s="9">
        <v>30</v>
      </c>
      <c r="J486" s="2">
        <v>1</v>
      </c>
      <c r="K486" s="3">
        <v>0.5</v>
      </c>
      <c r="L486" s="2" t="s">
        <v>19</v>
      </c>
      <c r="M486" s="2" t="s">
        <v>20</v>
      </c>
      <c r="N486" s="2">
        <v>9</v>
      </c>
      <c r="O486" s="2">
        <v>9</v>
      </c>
    </row>
    <row r="487" spans="1:15" x14ac:dyDescent="0.3">
      <c r="A487" s="2" t="s">
        <v>1050</v>
      </c>
      <c r="B487" s="2" t="s">
        <v>1051</v>
      </c>
      <c r="C487" s="2" t="s">
        <v>95</v>
      </c>
      <c r="D487" s="2">
        <v>33</v>
      </c>
      <c r="E487" s="2" t="s">
        <v>50</v>
      </c>
      <c r="F487" s="2" t="s">
        <v>51</v>
      </c>
      <c r="G487" s="2" t="s">
        <v>37</v>
      </c>
      <c r="H487" s="2">
        <v>10</v>
      </c>
      <c r="I487" s="9" t="s">
        <v>45</v>
      </c>
      <c r="J487" s="2">
        <v>4</v>
      </c>
      <c r="K487" s="3">
        <v>0.89</v>
      </c>
      <c r="L487" s="2" t="s">
        <v>46</v>
      </c>
      <c r="M487" s="2" t="s">
        <v>20</v>
      </c>
      <c r="N487" s="2">
        <v>11</v>
      </c>
      <c r="O487" s="2">
        <v>10</v>
      </c>
    </row>
    <row r="488" spans="1:15" x14ac:dyDescent="0.3">
      <c r="A488" s="2" t="s">
        <v>1052</v>
      </c>
      <c r="B488" s="2" t="s">
        <v>1053</v>
      </c>
      <c r="C488" s="2" t="s">
        <v>77</v>
      </c>
      <c r="D488" s="2">
        <v>43</v>
      </c>
      <c r="E488" s="2" t="s">
        <v>104</v>
      </c>
      <c r="F488" s="2" t="s">
        <v>105</v>
      </c>
      <c r="G488" s="2" t="s">
        <v>74</v>
      </c>
      <c r="H488" s="2">
        <v>2</v>
      </c>
      <c r="I488" s="9" t="s">
        <v>38</v>
      </c>
      <c r="J488" s="2">
        <v>4</v>
      </c>
      <c r="K488" s="3">
        <v>0.89</v>
      </c>
      <c r="L488" s="2" t="s">
        <v>19</v>
      </c>
      <c r="M488" s="2" t="s">
        <v>20</v>
      </c>
      <c r="N488" s="2">
        <v>5</v>
      </c>
      <c r="O488" s="2">
        <v>1</v>
      </c>
    </row>
    <row r="489" spans="1:15" x14ac:dyDescent="0.3">
      <c r="A489" s="2" t="s">
        <v>1054</v>
      </c>
      <c r="B489" s="2" t="s">
        <v>1055</v>
      </c>
      <c r="C489" s="2" t="s">
        <v>95</v>
      </c>
      <c r="D489" s="2">
        <v>43</v>
      </c>
      <c r="E489" s="2" t="s">
        <v>183</v>
      </c>
      <c r="F489" s="2" t="s">
        <v>73</v>
      </c>
      <c r="G489" s="2" t="s">
        <v>18</v>
      </c>
      <c r="H489" s="2">
        <v>4</v>
      </c>
      <c r="I489" s="9">
        <v>50</v>
      </c>
      <c r="J489" s="2">
        <v>5</v>
      </c>
      <c r="K489" s="3">
        <v>1</v>
      </c>
      <c r="L489" s="2" t="s">
        <v>46</v>
      </c>
      <c r="M489" s="2" t="s">
        <v>27</v>
      </c>
      <c r="N489" s="2">
        <v>2</v>
      </c>
      <c r="O489" s="2">
        <v>1</v>
      </c>
    </row>
    <row r="490" spans="1:15" x14ac:dyDescent="0.3">
      <c r="A490" s="2" t="s">
        <v>1056</v>
      </c>
      <c r="B490" s="2" t="s">
        <v>1057</v>
      </c>
      <c r="C490" s="2" t="s">
        <v>77</v>
      </c>
      <c r="D490" s="2">
        <v>33</v>
      </c>
      <c r="E490" s="2" t="s">
        <v>24</v>
      </c>
      <c r="F490" s="2" t="s">
        <v>25</v>
      </c>
      <c r="G490" s="2" t="s">
        <v>37</v>
      </c>
      <c r="H490" s="2">
        <v>11</v>
      </c>
      <c r="I490" s="9">
        <v>57.349397590361448</v>
      </c>
      <c r="J490" s="2">
        <v>1</v>
      </c>
      <c r="K490" s="3">
        <v>0.5</v>
      </c>
      <c r="L490" s="2" t="s">
        <v>69</v>
      </c>
      <c r="M490" s="2" t="s">
        <v>33</v>
      </c>
      <c r="N490" s="2">
        <v>15</v>
      </c>
      <c r="O490" s="2">
        <v>2</v>
      </c>
    </row>
    <row r="491" spans="1:15" x14ac:dyDescent="0.3">
      <c r="A491" s="2" t="s">
        <v>1058</v>
      </c>
      <c r="B491" s="2" t="s">
        <v>1059</v>
      </c>
      <c r="C491" s="2" t="s">
        <v>77</v>
      </c>
      <c r="D491" s="2">
        <v>49</v>
      </c>
      <c r="E491" s="2" t="s">
        <v>120</v>
      </c>
      <c r="F491" s="2" t="s">
        <v>121</v>
      </c>
      <c r="G491" s="2" t="s">
        <v>74</v>
      </c>
      <c r="H491" s="2">
        <v>14</v>
      </c>
      <c r="I491" s="9">
        <v>40</v>
      </c>
      <c r="J491" s="2">
        <v>2</v>
      </c>
      <c r="K491" s="3">
        <v>0.6</v>
      </c>
      <c r="L491" s="2" t="s">
        <v>46</v>
      </c>
      <c r="M491" s="2" t="s">
        <v>58</v>
      </c>
      <c r="N491" s="2">
        <v>15</v>
      </c>
      <c r="O491" s="2">
        <v>10</v>
      </c>
    </row>
    <row r="492" spans="1:15" x14ac:dyDescent="0.3">
      <c r="A492" s="2" t="s">
        <v>1060</v>
      </c>
      <c r="B492" s="2" t="s">
        <v>1061</v>
      </c>
      <c r="C492" s="2" t="s">
        <v>95</v>
      </c>
      <c r="D492" s="2">
        <v>55</v>
      </c>
      <c r="E492" s="2" t="s">
        <v>124</v>
      </c>
      <c r="F492" s="2" t="s">
        <v>25</v>
      </c>
      <c r="G492" s="2" t="s">
        <v>74</v>
      </c>
      <c r="H492" s="2">
        <v>10</v>
      </c>
      <c r="I492" s="9">
        <v>40</v>
      </c>
      <c r="J492" s="2">
        <v>4</v>
      </c>
      <c r="K492" s="3">
        <v>0.85</v>
      </c>
      <c r="L492" s="2" t="s">
        <v>46</v>
      </c>
      <c r="M492" s="2" t="s">
        <v>33</v>
      </c>
      <c r="N492" s="2">
        <v>7</v>
      </c>
      <c r="O492" s="2">
        <v>6</v>
      </c>
    </row>
    <row r="493" spans="1:15" x14ac:dyDescent="0.3">
      <c r="A493" s="2" t="s">
        <v>1062</v>
      </c>
      <c r="B493" s="2" t="s">
        <v>1063</v>
      </c>
      <c r="C493" s="2" t="s">
        <v>77</v>
      </c>
      <c r="D493" s="2">
        <v>33</v>
      </c>
      <c r="E493" s="2" t="s">
        <v>108</v>
      </c>
      <c r="F493" s="2" t="s">
        <v>109</v>
      </c>
      <c r="G493" s="2" t="s">
        <v>32</v>
      </c>
      <c r="H493" s="2">
        <v>3</v>
      </c>
      <c r="I493" s="9" t="s">
        <v>38</v>
      </c>
      <c r="J493" s="2">
        <v>4</v>
      </c>
      <c r="K493" s="3">
        <v>0.83</v>
      </c>
      <c r="L493" s="2" t="s">
        <v>69</v>
      </c>
      <c r="M493" s="2" t="s">
        <v>58</v>
      </c>
      <c r="N493" s="2">
        <v>4</v>
      </c>
      <c r="O493" s="2">
        <v>2</v>
      </c>
    </row>
    <row r="494" spans="1:15" x14ac:dyDescent="0.3">
      <c r="A494" s="2" t="s">
        <v>1064</v>
      </c>
      <c r="B494" s="2" t="s">
        <v>1065</v>
      </c>
      <c r="C494" s="2" t="s">
        <v>95</v>
      </c>
      <c r="D494" s="2">
        <v>32</v>
      </c>
      <c r="E494" s="2" t="s">
        <v>72</v>
      </c>
      <c r="F494" s="2" t="s">
        <v>73</v>
      </c>
      <c r="G494" s="2" t="s">
        <v>44</v>
      </c>
      <c r="H494" s="2">
        <v>3</v>
      </c>
      <c r="I494" s="9" t="s">
        <v>45</v>
      </c>
      <c r="J494" s="2">
        <v>5</v>
      </c>
      <c r="K494" s="3">
        <v>0.96</v>
      </c>
      <c r="L494" s="2" t="s">
        <v>46</v>
      </c>
      <c r="M494" s="2" t="s">
        <v>27</v>
      </c>
      <c r="N494" s="2">
        <v>5</v>
      </c>
      <c r="O494" s="2">
        <v>1</v>
      </c>
    </row>
    <row r="495" spans="1:15" x14ac:dyDescent="0.3">
      <c r="A495" s="2" t="s">
        <v>1066</v>
      </c>
      <c r="B495" s="2" t="s">
        <v>1067</v>
      </c>
      <c r="C495" s="2" t="s">
        <v>95</v>
      </c>
      <c r="D495" s="2">
        <v>58</v>
      </c>
      <c r="E495" s="2" t="s">
        <v>42</v>
      </c>
      <c r="F495" s="2" t="s">
        <v>43</v>
      </c>
      <c r="G495" s="2" t="s">
        <v>18</v>
      </c>
      <c r="H495" s="2">
        <v>33</v>
      </c>
      <c r="I495" s="9">
        <v>57.777777777777779</v>
      </c>
      <c r="J495" s="2">
        <v>4</v>
      </c>
      <c r="K495" s="3">
        <v>0.83</v>
      </c>
      <c r="L495" s="2" t="s">
        <v>19</v>
      </c>
      <c r="M495" s="2" t="s">
        <v>27</v>
      </c>
      <c r="N495" s="2">
        <v>19</v>
      </c>
      <c r="O495" s="2">
        <v>3</v>
      </c>
    </row>
    <row r="496" spans="1:15" x14ac:dyDescent="0.3">
      <c r="A496" s="2" t="s">
        <v>1068</v>
      </c>
      <c r="B496" s="2" t="s">
        <v>1069</v>
      </c>
      <c r="C496" s="2" t="s">
        <v>95</v>
      </c>
      <c r="D496" s="2">
        <v>49</v>
      </c>
      <c r="E496" s="2" t="s">
        <v>50</v>
      </c>
      <c r="F496" s="2" t="s">
        <v>51</v>
      </c>
      <c r="G496" s="2" t="s">
        <v>52</v>
      </c>
      <c r="H496" s="2">
        <v>24</v>
      </c>
      <c r="I496" s="9">
        <v>100</v>
      </c>
      <c r="J496" s="2">
        <v>2</v>
      </c>
      <c r="K496" s="3">
        <v>0.6</v>
      </c>
      <c r="L496" s="2" t="s">
        <v>46</v>
      </c>
      <c r="M496" s="2" t="s">
        <v>27</v>
      </c>
      <c r="N496" s="2">
        <v>20</v>
      </c>
      <c r="O496" s="2">
        <v>3</v>
      </c>
    </row>
    <row r="497" spans="1:15" x14ac:dyDescent="0.3">
      <c r="A497" s="2" t="s">
        <v>1070</v>
      </c>
      <c r="B497" s="2" t="s">
        <v>1071</v>
      </c>
      <c r="C497" s="2" t="s">
        <v>77</v>
      </c>
      <c r="D497" s="2">
        <v>22</v>
      </c>
      <c r="E497" s="2" t="s">
        <v>120</v>
      </c>
      <c r="F497" s="2" t="s">
        <v>121</v>
      </c>
      <c r="G497" s="2" t="s">
        <v>74</v>
      </c>
      <c r="H497" s="2">
        <v>3</v>
      </c>
      <c r="I497" s="9" t="s">
        <v>222</v>
      </c>
      <c r="J497" s="2">
        <v>3</v>
      </c>
      <c r="K497" s="3">
        <v>0.78</v>
      </c>
      <c r="L497" s="2" t="s">
        <v>69</v>
      </c>
      <c r="M497" s="2" t="s">
        <v>27</v>
      </c>
      <c r="N497" s="2">
        <v>3</v>
      </c>
      <c r="O497" s="2">
        <v>4</v>
      </c>
    </row>
    <row r="498" spans="1:15" x14ac:dyDescent="0.3">
      <c r="A498" s="2" t="s">
        <v>1072</v>
      </c>
      <c r="B498" s="2" t="s">
        <v>1073</v>
      </c>
      <c r="C498" s="2" t="s">
        <v>77</v>
      </c>
      <c r="D498" s="2">
        <v>40</v>
      </c>
      <c r="E498" s="2" t="s">
        <v>135</v>
      </c>
      <c r="F498" s="2" t="s">
        <v>136</v>
      </c>
      <c r="G498" s="2" t="s">
        <v>37</v>
      </c>
      <c r="H498" s="2">
        <v>11</v>
      </c>
      <c r="I498" s="9" t="s">
        <v>117</v>
      </c>
      <c r="J498" s="2">
        <v>5</v>
      </c>
      <c r="K498" s="3">
        <v>0.9</v>
      </c>
      <c r="L498" s="2" t="s">
        <v>19</v>
      </c>
      <c r="M498" s="2" t="s">
        <v>58</v>
      </c>
      <c r="N498" s="2">
        <v>13</v>
      </c>
      <c r="O498" s="2">
        <v>10</v>
      </c>
    </row>
    <row r="499" spans="1:15" x14ac:dyDescent="0.3">
      <c r="A499" s="2" t="s">
        <v>1074</v>
      </c>
      <c r="B499" s="2" t="s">
        <v>1075</v>
      </c>
      <c r="C499" s="2" t="s">
        <v>95</v>
      </c>
      <c r="D499" s="2">
        <v>55</v>
      </c>
      <c r="E499" s="2" t="s">
        <v>24</v>
      </c>
      <c r="F499" s="2" t="s">
        <v>25</v>
      </c>
      <c r="G499" s="2" t="s">
        <v>52</v>
      </c>
      <c r="H499" s="2">
        <v>7</v>
      </c>
      <c r="I499" s="9" t="s">
        <v>222</v>
      </c>
      <c r="J499" s="2">
        <v>2</v>
      </c>
      <c r="K499" s="3">
        <v>0.66</v>
      </c>
      <c r="L499" s="2" t="s">
        <v>69</v>
      </c>
      <c r="M499" s="2" t="s">
        <v>20</v>
      </c>
      <c r="N499" s="2">
        <v>8</v>
      </c>
      <c r="O499" s="2">
        <v>9</v>
      </c>
    </row>
    <row r="500" spans="1:15" x14ac:dyDescent="0.3">
      <c r="A500" s="2" t="s">
        <v>1076</v>
      </c>
      <c r="B500" s="2" t="s">
        <v>1077</v>
      </c>
      <c r="C500" s="2" t="s">
        <v>95</v>
      </c>
      <c r="D500" s="2">
        <v>32</v>
      </c>
      <c r="E500" s="2" t="s">
        <v>172</v>
      </c>
      <c r="F500" s="2" t="s">
        <v>73</v>
      </c>
      <c r="G500" s="2" t="s">
        <v>87</v>
      </c>
      <c r="H500" s="2">
        <v>1</v>
      </c>
      <c r="I500" s="9" t="s">
        <v>64</v>
      </c>
      <c r="J500" s="2">
        <v>3</v>
      </c>
      <c r="K500" s="3">
        <v>0.7</v>
      </c>
      <c r="L500" s="2" t="s">
        <v>69</v>
      </c>
      <c r="M500" s="2" t="s">
        <v>58</v>
      </c>
      <c r="N500" s="2">
        <v>4</v>
      </c>
      <c r="O500" s="2">
        <v>5</v>
      </c>
    </row>
    <row r="501" spans="1:15" x14ac:dyDescent="0.3">
      <c r="A501" s="2" t="s">
        <v>1078</v>
      </c>
      <c r="B501" s="2" t="s">
        <v>1079</v>
      </c>
      <c r="C501" s="2" t="s">
        <v>77</v>
      </c>
      <c r="D501" s="2">
        <v>21</v>
      </c>
      <c r="E501" s="2" t="s">
        <v>83</v>
      </c>
      <c r="F501" s="2" t="s">
        <v>84</v>
      </c>
      <c r="G501" s="2" t="s">
        <v>74</v>
      </c>
      <c r="H501" s="2">
        <v>0</v>
      </c>
      <c r="I501" s="9" t="s">
        <v>45</v>
      </c>
      <c r="J501" s="2">
        <v>3</v>
      </c>
      <c r="K501" s="3">
        <v>0.79</v>
      </c>
      <c r="L501" s="2" t="s">
        <v>65</v>
      </c>
      <c r="M501" s="2" t="s">
        <v>33</v>
      </c>
      <c r="N501" s="2">
        <v>3</v>
      </c>
      <c r="O501" s="2">
        <v>2</v>
      </c>
    </row>
    <row r="502" spans="1:15" x14ac:dyDescent="0.3">
      <c r="A502" s="2" t="s">
        <v>1080</v>
      </c>
      <c r="B502" s="2" t="s">
        <v>1081</v>
      </c>
      <c r="C502" s="2" t="s">
        <v>95</v>
      </c>
      <c r="D502" s="2">
        <v>23</v>
      </c>
      <c r="E502" s="2" t="s">
        <v>108</v>
      </c>
      <c r="F502" s="2" t="s">
        <v>109</v>
      </c>
      <c r="G502" s="2" t="s">
        <v>18</v>
      </c>
      <c r="H502" s="2">
        <v>1</v>
      </c>
      <c r="I502" s="9">
        <v>40</v>
      </c>
      <c r="J502" s="2">
        <v>2</v>
      </c>
      <c r="K502" s="3">
        <v>0.64</v>
      </c>
      <c r="L502" s="2" t="s">
        <v>65</v>
      </c>
      <c r="M502" s="2" t="s">
        <v>27</v>
      </c>
      <c r="N502" s="2">
        <v>2</v>
      </c>
      <c r="O502" s="2">
        <v>3</v>
      </c>
    </row>
    <row r="503" spans="1:15" x14ac:dyDescent="0.3">
      <c r="A503" s="2" t="s">
        <v>1082</v>
      </c>
      <c r="B503" s="2" t="s">
        <v>1083</v>
      </c>
      <c r="C503" s="2" t="s">
        <v>95</v>
      </c>
      <c r="D503" s="2">
        <v>21</v>
      </c>
      <c r="E503" s="2" t="s">
        <v>68</v>
      </c>
      <c r="F503" s="2" t="s">
        <v>25</v>
      </c>
      <c r="G503" s="2" t="s">
        <v>26</v>
      </c>
      <c r="H503" s="2">
        <v>1</v>
      </c>
      <c r="I503" s="9" t="s">
        <v>45</v>
      </c>
      <c r="J503" s="2">
        <v>4</v>
      </c>
      <c r="K503" s="3">
        <v>0.81</v>
      </c>
      <c r="L503" s="2" t="s">
        <v>69</v>
      </c>
      <c r="M503" s="2" t="s">
        <v>27</v>
      </c>
      <c r="N503" s="2">
        <v>1</v>
      </c>
      <c r="O503" s="2">
        <v>3</v>
      </c>
    </row>
    <row r="504" spans="1:15" x14ac:dyDescent="0.3">
      <c r="A504" s="2" t="s">
        <v>1084</v>
      </c>
      <c r="B504" s="2" t="s">
        <v>1085</v>
      </c>
      <c r="C504" s="2" t="s">
        <v>95</v>
      </c>
      <c r="D504" s="2">
        <v>31</v>
      </c>
      <c r="E504" s="2" t="s">
        <v>72</v>
      </c>
      <c r="F504" s="2" t="s">
        <v>73</v>
      </c>
      <c r="G504" s="2" t="s">
        <v>44</v>
      </c>
      <c r="H504" s="2">
        <v>7</v>
      </c>
      <c r="I504" s="9">
        <v>75</v>
      </c>
      <c r="J504" s="2">
        <v>4</v>
      </c>
      <c r="K504" s="3">
        <v>0.83</v>
      </c>
      <c r="L504" s="2" t="s">
        <v>69</v>
      </c>
      <c r="M504" s="2" t="s">
        <v>33</v>
      </c>
      <c r="N504" s="2">
        <v>12</v>
      </c>
      <c r="O504" s="2">
        <v>6</v>
      </c>
    </row>
    <row r="505" spans="1:15" x14ac:dyDescent="0.3">
      <c r="A505" s="2" t="s">
        <v>1086</v>
      </c>
      <c r="B505" s="2" t="s">
        <v>1087</v>
      </c>
      <c r="C505" s="2" t="s">
        <v>95</v>
      </c>
      <c r="D505" s="2">
        <v>21</v>
      </c>
      <c r="E505" s="2" t="s">
        <v>172</v>
      </c>
      <c r="F505" s="2" t="s">
        <v>73</v>
      </c>
      <c r="G505" s="2" t="s">
        <v>18</v>
      </c>
      <c r="H505" s="10">
        <v>10.380952380952381</v>
      </c>
      <c r="I505" s="9">
        <v>40</v>
      </c>
      <c r="J505" s="2">
        <v>5</v>
      </c>
      <c r="K505" s="3">
        <v>0.91</v>
      </c>
      <c r="L505" s="2" t="s">
        <v>69</v>
      </c>
      <c r="M505" s="2" t="s">
        <v>58</v>
      </c>
      <c r="N505" s="2">
        <v>2</v>
      </c>
      <c r="O505" s="2">
        <v>1</v>
      </c>
    </row>
    <row r="506" spans="1:15" x14ac:dyDescent="0.3">
      <c r="A506" s="2" t="s">
        <v>1088</v>
      </c>
      <c r="B506" s="2" t="s">
        <v>1089</v>
      </c>
      <c r="C506" s="2" t="s">
        <v>95</v>
      </c>
      <c r="D506" s="2">
        <v>33</v>
      </c>
      <c r="E506" s="2" t="s">
        <v>68</v>
      </c>
      <c r="F506" s="2" t="s">
        <v>25</v>
      </c>
      <c r="G506" s="2" t="s">
        <v>78</v>
      </c>
      <c r="H506" s="2">
        <v>6</v>
      </c>
      <c r="I506" s="9" t="s">
        <v>64</v>
      </c>
      <c r="J506" s="2">
        <v>1</v>
      </c>
      <c r="K506" s="3">
        <v>0.5</v>
      </c>
      <c r="L506" s="2" t="s">
        <v>65</v>
      </c>
      <c r="M506" s="2" t="s">
        <v>20</v>
      </c>
      <c r="N506" s="2">
        <v>15</v>
      </c>
      <c r="O506" s="2">
        <v>9</v>
      </c>
    </row>
    <row r="507" spans="1:15" x14ac:dyDescent="0.3">
      <c r="A507" s="2" t="s">
        <v>1090</v>
      </c>
      <c r="B507" s="2" t="s">
        <v>1091</v>
      </c>
      <c r="C507" s="2" t="s">
        <v>95</v>
      </c>
      <c r="D507" s="2">
        <v>57</v>
      </c>
      <c r="E507" s="2" t="s">
        <v>104</v>
      </c>
      <c r="F507" s="2" t="s">
        <v>105</v>
      </c>
      <c r="G507" s="2" t="s">
        <v>37</v>
      </c>
      <c r="H507" s="2">
        <v>5</v>
      </c>
      <c r="I507" s="9">
        <v>75</v>
      </c>
      <c r="J507" s="2">
        <v>3</v>
      </c>
      <c r="K507" s="3">
        <v>0.77</v>
      </c>
      <c r="L507" s="2" t="s">
        <v>65</v>
      </c>
      <c r="M507" s="2" t="s">
        <v>20</v>
      </c>
      <c r="N507" s="2">
        <v>2</v>
      </c>
      <c r="O507" s="2">
        <v>3</v>
      </c>
    </row>
    <row r="508" spans="1:15" x14ac:dyDescent="0.3">
      <c r="A508" s="2" t="s">
        <v>1092</v>
      </c>
      <c r="B508" s="2" t="s">
        <v>1093</v>
      </c>
      <c r="C508" s="2" t="s">
        <v>95</v>
      </c>
      <c r="D508" s="2">
        <v>52</v>
      </c>
      <c r="E508" s="2" t="s">
        <v>57</v>
      </c>
      <c r="F508" s="2" t="s">
        <v>25</v>
      </c>
      <c r="G508" s="2" t="s">
        <v>87</v>
      </c>
      <c r="H508" s="2">
        <v>17</v>
      </c>
      <c r="I508" s="9" t="s">
        <v>163</v>
      </c>
      <c r="J508" s="2">
        <v>5</v>
      </c>
      <c r="K508" s="3">
        <v>0.94</v>
      </c>
      <c r="L508" s="2" t="s">
        <v>46</v>
      </c>
      <c r="M508" s="2" t="s">
        <v>33</v>
      </c>
      <c r="N508" s="2">
        <v>18</v>
      </c>
      <c r="O508" s="2">
        <v>6</v>
      </c>
    </row>
    <row r="509" spans="1:15" x14ac:dyDescent="0.3">
      <c r="A509" s="2" t="s">
        <v>1094</v>
      </c>
      <c r="B509" s="2" t="s">
        <v>1095</v>
      </c>
      <c r="C509" s="2" t="s">
        <v>77</v>
      </c>
      <c r="D509" s="2">
        <v>21</v>
      </c>
      <c r="E509" s="2" t="s">
        <v>31</v>
      </c>
      <c r="F509" s="2" t="s">
        <v>31</v>
      </c>
      <c r="G509" s="2" t="s">
        <v>37</v>
      </c>
      <c r="H509" s="2">
        <v>0</v>
      </c>
      <c r="I509" s="9" t="s">
        <v>117</v>
      </c>
      <c r="J509" s="2">
        <v>2</v>
      </c>
      <c r="K509" s="3">
        <v>0.61</v>
      </c>
      <c r="L509" s="2" t="s">
        <v>46</v>
      </c>
      <c r="M509" s="2" t="s">
        <v>20</v>
      </c>
      <c r="N509" s="2">
        <v>5</v>
      </c>
      <c r="O509" s="2">
        <v>2</v>
      </c>
    </row>
    <row r="510" spans="1:15" x14ac:dyDescent="0.3">
      <c r="A510" s="2" t="s">
        <v>1096</v>
      </c>
      <c r="B510" s="2" t="s">
        <v>1097</v>
      </c>
      <c r="C510" s="2" t="s">
        <v>77</v>
      </c>
      <c r="D510" s="2">
        <v>36</v>
      </c>
      <c r="E510" s="2" t="s">
        <v>72</v>
      </c>
      <c r="F510" s="2" t="s">
        <v>73</v>
      </c>
      <c r="G510" s="2" t="s">
        <v>74</v>
      </c>
      <c r="H510" s="2">
        <v>8</v>
      </c>
      <c r="I510" s="9">
        <v>100</v>
      </c>
      <c r="J510" s="2">
        <v>2</v>
      </c>
      <c r="K510" s="3">
        <v>0.68</v>
      </c>
      <c r="L510" s="2" t="s">
        <v>69</v>
      </c>
      <c r="M510" s="2" t="s">
        <v>58</v>
      </c>
      <c r="N510" s="2">
        <v>9</v>
      </c>
      <c r="O510" s="2">
        <v>5</v>
      </c>
    </row>
    <row r="511" spans="1:15" x14ac:dyDescent="0.3">
      <c r="A511" s="2" t="s">
        <v>1098</v>
      </c>
      <c r="B511" s="2" t="s">
        <v>1099</v>
      </c>
      <c r="C511" s="2" t="s">
        <v>95</v>
      </c>
      <c r="D511" s="2">
        <v>33</v>
      </c>
      <c r="E511" s="2" t="s">
        <v>183</v>
      </c>
      <c r="F511" s="2" t="s">
        <v>73</v>
      </c>
      <c r="G511" s="2" t="s">
        <v>110</v>
      </c>
      <c r="H511" s="2">
        <v>13</v>
      </c>
      <c r="I511" s="9">
        <v>50</v>
      </c>
      <c r="J511" s="2">
        <v>3</v>
      </c>
      <c r="K511" s="3">
        <v>0.7</v>
      </c>
      <c r="L511" s="2" t="s">
        <v>19</v>
      </c>
      <c r="M511" s="2" t="s">
        <v>58</v>
      </c>
      <c r="N511" s="2">
        <v>8</v>
      </c>
      <c r="O511" s="2">
        <v>10</v>
      </c>
    </row>
    <row r="512" spans="1:15" x14ac:dyDescent="0.3">
      <c r="A512" s="2" t="s">
        <v>1100</v>
      </c>
      <c r="B512" s="2" t="s">
        <v>1101</v>
      </c>
      <c r="C512" s="2" t="s">
        <v>77</v>
      </c>
      <c r="D512" s="2">
        <v>54</v>
      </c>
      <c r="E512" s="2" t="s">
        <v>68</v>
      </c>
      <c r="F512" s="2" t="s">
        <v>25</v>
      </c>
      <c r="G512" s="2" t="s">
        <v>52</v>
      </c>
      <c r="H512" s="2">
        <v>15</v>
      </c>
      <c r="I512" s="9">
        <v>40</v>
      </c>
      <c r="J512" s="2">
        <v>3</v>
      </c>
      <c r="K512" s="3">
        <v>0.71</v>
      </c>
      <c r="L512" s="2" t="s">
        <v>19</v>
      </c>
      <c r="M512" s="2" t="s">
        <v>33</v>
      </c>
      <c r="N512" s="2">
        <v>14</v>
      </c>
      <c r="O512" s="2">
        <v>6</v>
      </c>
    </row>
    <row r="513" spans="1:15" x14ac:dyDescent="0.3">
      <c r="A513" s="2" t="s">
        <v>1102</v>
      </c>
      <c r="B513" s="2" t="s">
        <v>1103</v>
      </c>
      <c r="C513" s="2" t="s">
        <v>77</v>
      </c>
      <c r="D513" s="2">
        <v>33</v>
      </c>
      <c r="E513" s="2" t="s">
        <v>57</v>
      </c>
      <c r="F513" s="2" t="s">
        <v>25</v>
      </c>
      <c r="G513" s="2" t="s">
        <v>18</v>
      </c>
      <c r="H513" s="2">
        <v>2</v>
      </c>
      <c r="I513" s="9" t="s">
        <v>222</v>
      </c>
      <c r="J513" s="2">
        <v>1</v>
      </c>
      <c r="K513" s="3">
        <v>0.5</v>
      </c>
      <c r="L513" s="2" t="s">
        <v>65</v>
      </c>
      <c r="M513" s="2" t="s">
        <v>58</v>
      </c>
      <c r="N513" s="2">
        <v>1</v>
      </c>
      <c r="O513" s="2">
        <v>1</v>
      </c>
    </row>
    <row r="514" spans="1:15" x14ac:dyDescent="0.3">
      <c r="A514" s="2" t="s">
        <v>1104</v>
      </c>
      <c r="B514" s="2" t="s">
        <v>1105</v>
      </c>
      <c r="C514" s="2" t="s">
        <v>77</v>
      </c>
      <c r="D514" s="2">
        <v>36</v>
      </c>
      <c r="E514" s="2" t="s">
        <v>83</v>
      </c>
      <c r="F514" s="2" t="s">
        <v>84</v>
      </c>
      <c r="G514" s="2" t="s">
        <v>110</v>
      </c>
      <c r="H514" s="2">
        <v>9</v>
      </c>
      <c r="I514" s="9" t="s">
        <v>45</v>
      </c>
      <c r="J514" s="2">
        <v>3</v>
      </c>
      <c r="K514" s="3">
        <v>0.78</v>
      </c>
      <c r="L514" s="2" t="s">
        <v>65</v>
      </c>
      <c r="M514" s="2" t="s">
        <v>27</v>
      </c>
      <c r="N514" s="2">
        <v>12</v>
      </c>
      <c r="O514" s="2">
        <v>1</v>
      </c>
    </row>
    <row r="515" spans="1:15" x14ac:dyDescent="0.3">
      <c r="A515" s="2" t="s">
        <v>1106</v>
      </c>
      <c r="B515" s="2" t="s">
        <v>1107</v>
      </c>
      <c r="C515" s="2" t="s">
        <v>77</v>
      </c>
      <c r="D515" s="2">
        <v>36</v>
      </c>
      <c r="E515" s="2" t="s">
        <v>62</v>
      </c>
      <c r="F515" s="2" t="s">
        <v>63</v>
      </c>
      <c r="G515" s="2" t="s">
        <v>44</v>
      </c>
      <c r="H515" s="2">
        <v>3</v>
      </c>
      <c r="I515" s="9" t="s">
        <v>64</v>
      </c>
      <c r="J515" s="2">
        <v>3</v>
      </c>
      <c r="K515" s="3">
        <v>0.75</v>
      </c>
      <c r="L515" s="2" t="s">
        <v>65</v>
      </c>
      <c r="M515" s="2" t="s">
        <v>33</v>
      </c>
      <c r="N515" s="2">
        <v>2</v>
      </c>
      <c r="O515" s="2">
        <v>3</v>
      </c>
    </row>
    <row r="516" spans="1:15" x14ac:dyDescent="0.3">
      <c r="A516" s="2" t="s">
        <v>1108</v>
      </c>
      <c r="B516" s="2" t="s">
        <v>1109</v>
      </c>
      <c r="C516" s="2" t="s">
        <v>77</v>
      </c>
      <c r="D516" s="2">
        <v>43</v>
      </c>
      <c r="E516" s="2" t="s">
        <v>168</v>
      </c>
      <c r="F516" s="2" t="s">
        <v>169</v>
      </c>
      <c r="G516" s="2" t="s">
        <v>44</v>
      </c>
      <c r="H516" s="2">
        <v>15</v>
      </c>
      <c r="I516" s="9" t="s">
        <v>117</v>
      </c>
      <c r="J516" s="2">
        <v>5</v>
      </c>
      <c r="K516" s="3">
        <v>0.91</v>
      </c>
      <c r="L516" s="2" t="s">
        <v>69</v>
      </c>
      <c r="M516" s="2" t="s">
        <v>58</v>
      </c>
      <c r="N516" s="2">
        <v>6</v>
      </c>
      <c r="O516" s="2">
        <v>9</v>
      </c>
    </row>
    <row r="517" spans="1:15" x14ac:dyDescent="0.3">
      <c r="A517" s="2" t="s">
        <v>1110</v>
      </c>
      <c r="B517" s="2" t="s">
        <v>1111</v>
      </c>
      <c r="C517" s="2" t="s">
        <v>95</v>
      </c>
      <c r="D517" s="2">
        <v>52</v>
      </c>
      <c r="E517" s="2" t="s">
        <v>68</v>
      </c>
      <c r="F517" s="2" t="s">
        <v>25</v>
      </c>
      <c r="G517" s="2" t="s">
        <v>52</v>
      </c>
      <c r="H517" s="2">
        <v>21</v>
      </c>
      <c r="I517" s="9" t="s">
        <v>163</v>
      </c>
      <c r="J517" s="2">
        <v>2</v>
      </c>
      <c r="K517" s="3">
        <v>0.66</v>
      </c>
      <c r="L517" s="2" t="s">
        <v>19</v>
      </c>
      <c r="M517" s="2" t="s">
        <v>33</v>
      </c>
      <c r="N517" s="2">
        <v>20</v>
      </c>
      <c r="O517" s="2">
        <v>9</v>
      </c>
    </row>
    <row r="518" spans="1:15" x14ac:dyDescent="0.3">
      <c r="A518" s="2" t="s">
        <v>1112</v>
      </c>
      <c r="B518" s="2" t="s">
        <v>1113</v>
      </c>
      <c r="C518" s="2" t="s">
        <v>77</v>
      </c>
      <c r="D518" s="2">
        <v>28</v>
      </c>
      <c r="E518" s="2" t="s">
        <v>50</v>
      </c>
      <c r="F518" s="2" t="s">
        <v>51</v>
      </c>
      <c r="G518" s="2" t="s">
        <v>78</v>
      </c>
      <c r="H518" s="2">
        <v>2</v>
      </c>
      <c r="I518" s="9" t="s">
        <v>163</v>
      </c>
      <c r="J518" s="2">
        <v>2</v>
      </c>
      <c r="K518" s="3">
        <v>0.68</v>
      </c>
      <c r="L518" s="2" t="s">
        <v>46</v>
      </c>
      <c r="M518" s="2" t="s">
        <v>20</v>
      </c>
      <c r="N518" s="2">
        <v>4</v>
      </c>
      <c r="O518" s="2">
        <v>2</v>
      </c>
    </row>
    <row r="519" spans="1:15" x14ac:dyDescent="0.3">
      <c r="A519" s="2" t="s">
        <v>1114</v>
      </c>
      <c r="B519" s="2" t="s">
        <v>1115</v>
      </c>
      <c r="C519" s="2" t="s">
        <v>77</v>
      </c>
      <c r="D519" s="2">
        <v>47</v>
      </c>
      <c r="E519" s="2" t="s">
        <v>168</v>
      </c>
      <c r="F519" s="2" t="s">
        <v>169</v>
      </c>
      <c r="G519" s="2" t="s">
        <v>78</v>
      </c>
      <c r="H519" s="2">
        <v>21</v>
      </c>
      <c r="I519" s="9" t="s">
        <v>222</v>
      </c>
      <c r="J519" s="2">
        <v>1</v>
      </c>
      <c r="K519" s="3">
        <v>0.5</v>
      </c>
      <c r="L519" s="2" t="s">
        <v>69</v>
      </c>
      <c r="M519" s="2" t="s">
        <v>58</v>
      </c>
      <c r="N519" s="2">
        <v>18</v>
      </c>
      <c r="O519" s="2">
        <v>3</v>
      </c>
    </row>
    <row r="520" spans="1:15" x14ac:dyDescent="0.3">
      <c r="A520" s="2" t="s">
        <v>1116</v>
      </c>
      <c r="B520" s="2" t="s">
        <v>1117</v>
      </c>
      <c r="C520" s="2" t="s">
        <v>77</v>
      </c>
      <c r="D520" s="2">
        <v>30</v>
      </c>
      <c r="E520" s="2" t="s">
        <v>131</v>
      </c>
      <c r="F520" s="2" t="s">
        <v>132</v>
      </c>
      <c r="G520" s="2" t="s">
        <v>87</v>
      </c>
      <c r="H520" s="2">
        <v>0</v>
      </c>
      <c r="I520" s="9" t="s">
        <v>222</v>
      </c>
      <c r="J520" s="2">
        <v>2</v>
      </c>
      <c r="K520" s="3">
        <v>0.62</v>
      </c>
      <c r="L520" s="2" t="s">
        <v>46</v>
      </c>
      <c r="M520" s="2" t="s">
        <v>27</v>
      </c>
      <c r="N520" s="2">
        <v>3</v>
      </c>
      <c r="O520" s="2">
        <v>1</v>
      </c>
    </row>
    <row r="521" spans="1:15" x14ac:dyDescent="0.3">
      <c r="A521" s="2" t="s">
        <v>1118</v>
      </c>
      <c r="B521" s="2" t="s">
        <v>1119</v>
      </c>
      <c r="C521" s="2" t="s">
        <v>95</v>
      </c>
      <c r="D521" s="2">
        <v>36</v>
      </c>
      <c r="E521" s="2" t="s">
        <v>135</v>
      </c>
      <c r="F521" s="2" t="s">
        <v>136</v>
      </c>
      <c r="G521" s="2" t="s">
        <v>18</v>
      </c>
      <c r="H521" s="2">
        <v>4</v>
      </c>
      <c r="I521" s="9">
        <v>40</v>
      </c>
      <c r="J521" s="2">
        <v>5</v>
      </c>
      <c r="K521" s="3">
        <v>0.9</v>
      </c>
      <c r="L521" s="2" t="s">
        <v>46</v>
      </c>
      <c r="M521" s="2" t="s">
        <v>58</v>
      </c>
      <c r="N521" s="2">
        <v>2</v>
      </c>
      <c r="O521" s="2">
        <v>4</v>
      </c>
    </row>
    <row r="522" spans="1:15" x14ac:dyDescent="0.3">
      <c r="A522" s="2" t="s">
        <v>1120</v>
      </c>
      <c r="B522" s="2" t="s">
        <v>1121</v>
      </c>
      <c r="C522" s="2" t="s">
        <v>77</v>
      </c>
      <c r="D522" s="2">
        <v>45</v>
      </c>
      <c r="E522" s="2" t="s">
        <v>57</v>
      </c>
      <c r="F522" s="2" t="s">
        <v>25</v>
      </c>
      <c r="G522" s="2" t="s">
        <v>74</v>
      </c>
      <c r="H522" s="2">
        <v>23</v>
      </c>
      <c r="I522" s="9">
        <v>100</v>
      </c>
      <c r="J522" s="2">
        <v>5</v>
      </c>
      <c r="K522" s="3">
        <v>0.96</v>
      </c>
      <c r="L522" s="2" t="s">
        <v>69</v>
      </c>
      <c r="M522" s="2" t="s">
        <v>33</v>
      </c>
      <c r="N522" s="2">
        <v>14</v>
      </c>
      <c r="O522" s="2">
        <v>1</v>
      </c>
    </row>
    <row r="523" spans="1:15" x14ac:dyDescent="0.3">
      <c r="A523" s="2" t="s">
        <v>1122</v>
      </c>
      <c r="B523" s="2" t="s">
        <v>1123</v>
      </c>
      <c r="C523" s="2" t="s">
        <v>77</v>
      </c>
      <c r="D523" s="2">
        <v>51</v>
      </c>
      <c r="E523" s="2" t="s">
        <v>57</v>
      </c>
      <c r="F523" s="2" t="s">
        <v>25</v>
      </c>
      <c r="G523" s="2" t="s">
        <v>18</v>
      </c>
      <c r="H523" s="2">
        <v>25</v>
      </c>
      <c r="I523" s="9">
        <v>50</v>
      </c>
      <c r="J523" s="2">
        <v>2</v>
      </c>
      <c r="K523" s="3">
        <v>0.6</v>
      </c>
      <c r="L523" s="2" t="s">
        <v>46</v>
      </c>
      <c r="M523" s="2" t="s">
        <v>33</v>
      </c>
      <c r="N523" s="2">
        <v>17</v>
      </c>
      <c r="O523" s="2">
        <v>7</v>
      </c>
    </row>
    <row r="524" spans="1:15" x14ac:dyDescent="0.3">
      <c r="A524" s="2" t="s">
        <v>1124</v>
      </c>
      <c r="B524" s="2" t="s">
        <v>1125</v>
      </c>
      <c r="C524" s="2" t="s">
        <v>95</v>
      </c>
      <c r="D524" s="2">
        <v>46</v>
      </c>
      <c r="E524" s="2" t="s">
        <v>62</v>
      </c>
      <c r="F524" s="2" t="s">
        <v>63</v>
      </c>
      <c r="G524" s="2" t="s">
        <v>26</v>
      </c>
      <c r="H524" s="2">
        <v>10</v>
      </c>
      <c r="I524" s="9">
        <v>56.714285714285715</v>
      </c>
      <c r="J524" s="2">
        <v>2</v>
      </c>
      <c r="K524" s="3">
        <v>0.62</v>
      </c>
      <c r="L524" s="2" t="s">
        <v>19</v>
      </c>
      <c r="M524" s="2" t="s">
        <v>58</v>
      </c>
      <c r="N524" s="2">
        <v>6</v>
      </c>
      <c r="O524" s="2">
        <v>1</v>
      </c>
    </row>
    <row r="525" spans="1:15" x14ac:dyDescent="0.3">
      <c r="A525" s="2" t="s">
        <v>1126</v>
      </c>
      <c r="B525" s="2" t="s">
        <v>1127</v>
      </c>
      <c r="C525" s="2" t="s">
        <v>77</v>
      </c>
      <c r="D525" s="2">
        <v>38</v>
      </c>
      <c r="E525" s="2" t="s">
        <v>16</v>
      </c>
      <c r="F525" s="2" t="s">
        <v>17</v>
      </c>
      <c r="G525" s="2" t="s">
        <v>52</v>
      </c>
      <c r="H525" s="2">
        <v>18</v>
      </c>
      <c r="I525" s="9" t="s">
        <v>38</v>
      </c>
      <c r="J525" s="2">
        <v>3</v>
      </c>
      <c r="K525" s="3">
        <v>0.74</v>
      </c>
      <c r="L525" s="2" t="s">
        <v>46</v>
      </c>
      <c r="M525" s="2" t="s">
        <v>27</v>
      </c>
      <c r="N525" s="2">
        <v>11</v>
      </c>
      <c r="O525" s="2">
        <v>11</v>
      </c>
    </row>
    <row r="526" spans="1:15" x14ac:dyDescent="0.3">
      <c r="A526" s="2" t="s">
        <v>1128</v>
      </c>
      <c r="B526" s="2" t="s">
        <v>1129</v>
      </c>
      <c r="C526" s="2" t="s">
        <v>95</v>
      </c>
      <c r="D526" s="2">
        <v>26</v>
      </c>
      <c r="E526" s="2" t="s">
        <v>183</v>
      </c>
      <c r="F526" s="2" t="s">
        <v>73</v>
      </c>
      <c r="G526" s="2" t="s">
        <v>18</v>
      </c>
      <c r="H526" s="2">
        <v>1</v>
      </c>
      <c r="I526" s="9" t="s">
        <v>117</v>
      </c>
      <c r="J526" s="2">
        <v>1</v>
      </c>
      <c r="K526" s="3">
        <v>0.5</v>
      </c>
      <c r="L526" s="2" t="s">
        <v>19</v>
      </c>
      <c r="M526" s="2" t="s">
        <v>27</v>
      </c>
      <c r="N526" s="2">
        <v>1</v>
      </c>
      <c r="O526" s="2">
        <v>1</v>
      </c>
    </row>
    <row r="527" spans="1:15" x14ac:dyDescent="0.3">
      <c r="A527" s="2" t="s">
        <v>1130</v>
      </c>
      <c r="B527" s="2" t="s">
        <v>1131</v>
      </c>
      <c r="C527" s="2" t="s">
        <v>77</v>
      </c>
      <c r="D527" s="2">
        <v>40</v>
      </c>
      <c r="E527" s="2" t="s">
        <v>68</v>
      </c>
      <c r="F527" s="2" t="s">
        <v>25</v>
      </c>
      <c r="G527" s="2" t="s">
        <v>87</v>
      </c>
      <c r="H527" s="2">
        <v>12</v>
      </c>
      <c r="I527" s="9">
        <v>30</v>
      </c>
      <c r="J527" s="2">
        <v>5</v>
      </c>
      <c r="K527" s="3">
        <v>0.98</v>
      </c>
      <c r="L527" s="2" t="s">
        <v>19</v>
      </c>
      <c r="M527" s="2" t="s">
        <v>27</v>
      </c>
      <c r="N527" s="2">
        <v>12</v>
      </c>
      <c r="O527" s="2">
        <v>9</v>
      </c>
    </row>
    <row r="528" spans="1:15" x14ac:dyDescent="0.3">
      <c r="A528" s="2" t="s">
        <v>1132</v>
      </c>
      <c r="B528" s="2" t="s">
        <v>1133</v>
      </c>
      <c r="C528" s="2" t="s">
        <v>95</v>
      </c>
      <c r="D528" s="2">
        <v>37</v>
      </c>
      <c r="E528" s="2" t="s">
        <v>31</v>
      </c>
      <c r="F528" s="2" t="s">
        <v>31</v>
      </c>
      <c r="G528" s="2" t="s">
        <v>110</v>
      </c>
      <c r="H528" s="10">
        <v>11.373134328358208</v>
      </c>
      <c r="I528" s="9">
        <v>57.10144927536232</v>
      </c>
      <c r="J528" s="2">
        <v>2</v>
      </c>
      <c r="K528" s="3">
        <v>0.63</v>
      </c>
      <c r="L528" s="2" t="s">
        <v>19</v>
      </c>
      <c r="M528" s="2" t="s">
        <v>33</v>
      </c>
      <c r="N528" s="2">
        <v>2</v>
      </c>
      <c r="O528" s="2">
        <v>1</v>
      </c>
    </row>
    <row r="529" spans="1:15" x14ac:dyDescent="0.3">
      <c r="A529" s="2" t="s">
        <v>1134</v>
      </c>
      <c r="B529" s="2" t="s">
        <v>1135</v>
      </c>
      <c r="C529" s="2" t="s">
        <v>95</v>
      </c>
      <c r="D529" s="2">
        <v>28</v>
      </c>
      <c r="E529" s="2" t="s">
        <v>124</v>
      </c>
      <c r="F529" s="2" t="s">
        <v>25</v>
      </c>
      <c r="G529" s="2" t="s">
        <v>18</v>
      </c>
      <c r="H529" s="2">
        <v>5</v>
      </c>
      <c r="I529" s="9" t="s">
        <v>64</v>
      </c>
      <c r="J529" s="2">
        <v>5</v>
      </c>
      <c r="K529" s="3">
        <v>0.96</v>
      </c>
      <c r="L529" s="2" t="s">
        <v>65</v>
      </c>
      <c r="M529" s="2" t="s">
        <v>58</v>
      </c>
      <c r="N529" s="2">
        <v>2</v>
      </c>
      <c r="O529" s="2">
        <v>2</v>
      </c>
    </row>
    <row r="530" spans="1:15" x14ac:dyDescent="0.3">
      <c r="A530" s="2" t="s">
        <v>1136</v>
      </c>
      <c r="B530" s="2" t="s">
        <v>1137</v>
      </c>
      <c r="C530" s="2" t="s">
        <v>77</v>
      </c>
      <c r="D530" s="2">
        <v>48</v>
      </c>
      <c r="E530" s="2" t="s">
        <v>91</v>
      </c>
      <c r="F530" s="2" t="s">
        <v>92</v>
      </c>
      <c r="G530" s="2" t="s">
        <v>26</v>
      </c>
      <c r="H530" s="2">
        <v>28</v>
      </c>
      <c r="I530" s="9" t="s">
        <v>117</v>
      </c>
      <c r="J530" s="2">
        <v>4</v>
      </c>
      <c r="K530" s="3">
        <v>0.88</v>
      </c>
      <c r="L530" s="2" t="s">
        <v>46</v>
      </c>
      <c r="M530" s="2" t="s">
        <v>20</v>
      </c>
      <c r="N530" s="2">
        <v>18</v>
      </c>
      <c r="O530" s="2">
        <v>8</v>
      </c>
    </row>
    <row r="531" spans="1:15" x14ac:dyDescent="0.3">
      <c r="A531" s="2" t="s">
        <v>1138</v>
      </c>
      <c r="B531" s="2" t="s">
        <v>1139</v>
      </c>
      <c r="C531" s="2" t="s">
        <v>95</v>
      </c>
      <c r="D531" s="2">
        <v>22</v>
      </c>
      <c r="E531" s="2" t="s">
        <v>91</v>
      </c>
      <c r="F531" s="2" t="s">
        <v>92</v>
      </c>
      <c r="G531" s="2" t="s">
        <v>44</v>
      </c>
      <c r="H531" s="2">
        <v>0</v>
      </c>
      <c r="I531" s="9">
        <v>57.10144927536232</v>
      </c>
      <c r="J531" s="2">
        <v>1</v>
      </c>
      <c r="K531" s="3">
        <v>0.5</v>
      </c>
      <c r="L531" s="2" t="s">
        <v>69</v>
      </c>
      <c r="M531" s="2" t="s">
        <v>33</v>
      </c>
      <c r="N531" s="2">
        <v>4</v>
      </c>
      <c r="O531" s="2">
        <v>1</v>
      </c>
    </row>
    <row r="532" spans="1:15" x14ac:dyDescent="0.3">
      <c r="A532" s="2" t="s">
        <v>1140</v>
      </c>
      <c r="B532" s="2" t="s">
        <v>1141</v>
      </c>
      <c r="C532" s="2" t="s">
        <v>77</v>
      </c>
      <c r="D532" s="2">
        <v>41</v>
      </c>
      <c r="E532" s="2" t="s">
        <v>31</v>
      </c>
      <c r="F532" s="2" t="s">
        <v>31</v>
      </c>
      <c r="G532" s="2" t="s">
        <v>37</v>
      </c>
      <c r="H532" s="2">
        <v>14</v>
      </c>
      <c r="I532" s="9">
        <v>40</v>
      </c>
      <c r="J532" s="2">
        <v>3</v>
      </c>
      <c r="K532" s="3">
        <v>0.73</v>
      </c>
      <c r="L532" s="2" t="s">
        <v>69</v>
      </c>
      <c r="M532" s="2" t="s">
        <v>27</v>
      </c>
      <c r="N532" s="2">
        <v>7</v>
      </c>
      <c r="O532" s="2">
        <v>5</v>
      </c>
    </row>
    <row r="533" spans="1:15" x14ac:dyDescent="0.3">
      <c r="A533" s="2" t="s">
        <v>1142</v>
      </c>
      <c r="B533" s="2" t="s">
        <v>1143</v>
      </c>
      <c r="C533" s="2" t="s">
        <v>95</v>
      </c>
      <c r="D533" s="2">
        <v>38</v>
      </c>
      <c r="E533" s="2" t="s">
        <v>57</v>
      </c>
      <c r="F533" s="2" t="s">
        <v>25</v>
      </c>
      <c r="G533" s="2" t="s">
        <v>32</v>
      </c>
      <c r="H533" s="2">
        <v>15</v>
      </c>
      <c r="I533" s="9">
        <v>57.352941176470587</v>
      </c>
      <c r="J533" s="2">
        <v>4</v>
      </c>
      <c r="K533" s="3">
        <v>0.88</v>
      </c>
      <c r="L533" s="2" t="s">
        <v>46</v>
      </c>
      <c r="M533" s="2" t="s">
        <v>58</v>
      </c>
      <c r="N533" s="2">
        <v>15</v>
      </c>
      <c r="O533" s="2">
        <v>4</v>
      </c>
    </row>
    <row r="534" spans="1:15" x14ac:dyDescent="0.3">
      <c r="A534" s="2" t="s">
        <v>1144</v>
      </c>
      <c r="B534" s="2" t="s">
        <v>1145</v>
      </c>
      <c r="C534" s="2" t="s">
        <v>77</v>
      </c>
      <c r="D534" s="2">
        <v>31</v>
      </c>
      <c r="E534" s="2" t="s">
        <v>147</v>
      </c>
      <c r="F534" s="2" t="s">
        <v>148</v>
      </c>
      <c r="G534" s="2" t="s">
        <v>74</v>
      </c>
      <c r="H534" s="2">
        <v>9</v>
      </c>
      <c r="I534" s="9">
        <v>57.352941176470587</v>
      </c>
      <c r="J534" s="2">
        <v>5</v>
      </c>
      <c r="K534" s="3">
        <v>0.91</v>
      </c>
      <c r="L534" s="2" t="s">
        <v>65</v>
      </c>
      <c r="M534" s="2" t="s">
        <v>27</v>
      </c>
      <c r="N534" s="2">
        <v>10</v>
      </c>
      <c r="O534" s="2">
        <v>5</v>
      </c>
    </row>
    <row r="535" spans="1:15" x14ac:dyDescent="0.3">
      <c r="A535" s="2" t="s">
        <v>1146</v>
      </c>
      <c r="B535" s="2" t="s">
        <v>1147</v>
      </c>
      <c r="C535" s="2" t="s">
        <v>77</v>
      </c>
      <c r="D535" s="2">
        <v>30</v>
      </c>
      <c r="E535" s="2" t="s">
        <v>168</v>
      </c>
      <c r="F535" s="2" t="s">
        <v>169</v>
      </c>
      <c r="G535" s="2" t="s">
        <v>26</v>
      </c>
      <c r="H535" s="2">
        <v>9</v>
      </c>
      <c r="I535" s="9" t="s">
        <v>45</v>
      </c>
      <c r="J535" s="2">
        <v>2</v>
      </c>
      <c r="K535" s="3">
        <v>0.65</v>
      </c>
      <c r="L535" s="2" t="s">
        <v>65</v>
      </c>
      <c r="M535" s="2" t="s">
        <v>20</v>
      </c>
      <c r="N535" s="2">
        <v>15</v>
      </c>
      <c r="O535" s="2">
        <v>13</v>
      </c>
    </row>
    <row r="536" spans="1:15" x14ac:dyDescent="0.3">
      <c r="A536" s="2" t="s">
        <v>1148</v>
      </c>
      <c r="B536" s="2" t="s">
        <v>1149</v>
      </c>
      <c r="C536" s="2" t="s">
        <v>95</v>
      </c>
      <c r="D536" s="2">
        <v>51</v>
      </c>
      <c r="E536" s="2" t="s">
        <v>172</v>
      </c>
      <c r="F536" s="2" t="s">
        <v>73</v>
      </c>
      <c r="G536" s="2" t="s">
        <v>74</v>
      </c>
      <c r="H536" s="2">
        <v>22</v>
      </c>
      <c r="I536" s="9">
        <v>20</v>
      </c>
      <c r="J536" s="2">
        <v>5</v>
      </c>
      <c r="K536" s="3">
        <v>0.9</v>
      </c>
      <c r="L536" s="2" t="s">
        <v>19</v>
      </c>
      <c r="M536" s="2" t="s">
        <v>27</v>
      </c>
      <c r="N536" s="2">
        <v>15</v>
      </c>
      <c r="O536" s="2">
        <v>15</v>
      </c>
    </row>
    <row r="537" spans="1:15" x14ac:dyDescent="0.3">
      <c r="A537" s="2" t="s">
        <v>1150</v>
      </c>
      <c r="B537" s="2" t="s">
        <v>1151</v>
      </c>
      <c r="C537" s="2" t="s">
        <v>77</v>
      </c>
      <c r="D537" s="2">
        <v>21</v>
      </c>
      <c r="E537" s="2" t="s">
        <v>31</v>
      </c>
      <c r="F537" s="2" t="s">
        <v>31</v>
      </c>
      <c r="G537" s="2" t="s">
        <v>87</v>
      </c>
      <c r="H537" s="2">
        <v>0</v>
      </c>
      <c r="I537" s="9" t="s">
        <v>117</v>
      </c>
      <c r="J537" s="2">
        <v>3</v>
      </c>
      <c r="K537" s="3">
        <v>0.72</v>
      </c>
      <c r="L537" s="2" t="s">
        <v>46</v>
      </c>
      <c r="M537" s="2" t="s">
        <v>27</v>
      </c>
      <c r="N537" s="2">
        <v>2</v>
      </c>
      <c r="O537" s="2">
        <v>5</v>
      </c>
    </row>
    <row r="538" spans="1:15" x14ac:dyDescent="0.3">
      <c r="A538" s="2" t="s">
        <v>1152</v>
      </c>
      <c r="B538" s="2" t="s">
        <v>1153</v>
      </c>
      <c r="C538" s="2" t="s">
        <v>77</v>
      </c>
      <c r="D538" s="2">
        <v>20</v>
      </c>
      <c r="E538" s="2" t="s">
        <v>16</v>
      </c>
      <c r="F538" s="2" t="s">
        <v>17</v>
      </c>
      <c r="G538" s="2" t="s">
        <v>87</v>
      </c>
      <c r="H538" s="2">
        <v>1</v>
      </c>
      <c r="I538" s="9" t="s">
        <v>38</v>
      </c>
      <c r="J538" s="2">
        <v>3</v>
      </c>
      <c r="K538" s="3">
        <v>0.72</v>
      </c>
      <c r="L538" s="2" t="s">
        <v>46</v>
      </c>
      <c r="M538" s="2" t="s">
        <v>20</v>
      </c>
      <c r="N538" s="2">
        <v>1</v>
      </c>
      <c r="O538" s="2">
        <v>2</v>
      </c>
    </row>
    <row r="539" spans="1:15" x14ac:dyDescent="0.3">
      <c r="A539" s="2" t="s">
        <v>1154</v>
      </c>
      <c r="B539" s="2" t="s">
        <v>1155</v>
      </c>
      <c r="C539" s="2" t="s">
        <v>95</v>
      </c>
      <c r="D539" s="2">
        <v>30</v>
      </c>
      <c r="E539" s="2" t="s">
        <v>83</v>
      </c>
      <c r="F539" s="2" t="s">
        <v>84</v>
      </c>
      <c r="G539" s="2" t="s">
        <v>18</v>
      </c>
      <c r="H539" s="2">
        <v>5</v>
      </c>
      <c r="I539" s="9" t="s">
        <v>45</v>
      </c>
      <c r="J539" s="2">
        <v>1</v>
      </c>
      <c r="K539" s="3">
        <v>0.5</v>
      </c>
      <c r="L539" s="2" t="s">
        <v>69</v>
      </c>
      <c r="M539" s="2" t="s">
        <v>58</v>
      </c>
      <c r="N539" s="2">
        <v>1</v>
      </c>
      <c r="O539" s="2">
        <v>2</v>
      </c>
    </row>
    <row r="540" spans="1:15" x14ac:dyDescent="0.3">
      <c r="A540" s="2" t="s">
        <v>1156</v>
      </c>
      <c r="B540" s="2" t="s">
        <v>1157</v>
      </c>
      <c r="C540" s="2" t="s">
        <v>95</v>
      </c>
      <c r="D540" s="2">
        <v>41</v>
      </c>
      <c r="E540" s="2" t="s">
        <v>168</v>
      </c>
      <c r="F540" s="2" t="s">
        <v>169</v>
      </c>
      <c r="G540" s="2" t="s">
        <v>52</v>
      </c>
      <c r="H540" s="2">
        <v>0</v>
      </c>
      <c r="I540" s="9" t="s">
        <v>38</v>
      </c>
      <c r="J540" s="2">
        <v>2</v>
      </c>
      <c r="K540" s="3">
        <v>0.68</v>
      </c>
      <c r="L540" s="2" t="s">
        <v>46</v>
      </c>
      <c r="M540" s="2" t="s">
        <v>33</v>
      </c>
      <c r="N540" s="2">
        <v>3</v>
      </c>
      <c r="O540" s="2">
        <v>2</v>
      </c>
    </row>
    <row r="541" spans="1:15" x14ac:dyDescent="0.3">
      <c r="A541" s="2" t="s">
        <v>1158</v>
      </c>
      <c r="B541" s="2" t="s">
        <v>1159</v>
      </c>
      <c r="C541" s="2" t="s">
        <v>95</v>
      </c>
      <c r="D541" s="2">
        <v>22</v>
      </c>
      <c r="E541" s="2" t="s">
        <v>183</v>
      </c>
      <c r="F541" s="2" t="s">
        <v>73</v>
      </c>
      <c r="G541" s="2" t="s">
        <v>18</v>
      </c>
      <c r="H541" s="2">
        <v>0</v>
      </c>
      <c r="I541" s="9" t="s">
        <v>45</v>
      </c>
      <c r="J541" s="2">
        <v>4</v>
      </c>
      <c r="K541" s="3">
        <v>0.87</v>
      </c>
      <c r="L541" s="2" t="s">
        <v>65</v>
      </c>
      <c r="M541" s="2" t="s">
        <v>58</v>
      </c>
      <c r="N541" s="2">
        <v>5</v>
      </c>
      <c r="O541" s="2">
        <v>3</v>
      </c>
    </row>
    <row r="542" spans="1:15" x14ac:dyDescent="0.3">
      <c r="A542" s="2" t="s">
        <v>1160</v>
      </c>
      <c r="B542" s="2" t="s">
        <v>1161</v>
      </c>
      <c r="C542" s="2" t="s">
        <v>95</v>
      </c>
      <c r="D542" s="2">
        <v>45</v>
      </c>
      <c r="E542" s="2" t="s">
        <v>172</v>
      </c>
      <c r="F542" s="2" t="s">
        <v>73</v>
      </c>
      <c r="G542" s="2" t="s">
        <v>78</v>
      </c>
      <c r="H542" s="2">
        <v>19</v>
      </c>
      <c r="I542" s="9">
        <v>75</v>
      </c>
      <c r="J542" s="2">
        <v>3</v>
      </c>
      <c r="K542" s="3">
        <v>0.72</v>
      </c>
      <c r="L542" s="2" t="s">
        <v>46</v>
      </c>
      <c r="M542" s="2" t="s">
        <v>20</v>
      </c>
      <c r="N542" s="2">
        <v>14</v>
      </c>
      <c r="O542" s="2">
        <v>20</v>
      </c>
    </row>
    <row r="543" spans="1:15" x14ac:dyDescent="0.3">
      <c r="A543" s="2" t="s">
        <v>1162</v>
      </c>
      <c r="B543" s="2" t="s">
        <v>1163</v>
      </c>
      <c r="C543" s="2" t="s">
        <v>77</v>
      </c>
      <c r="D543" s="2">
        <v>22</v>
      </c>
      <c r="E543" s="2" t="s">
        <v>24</v>
      </c>
      <c r="F543" s="2" t="s">
        <v>25</v>
      </c>
      <c r="G543" s="2" t="s">
        <v>52</v>
      </c>
      <c r="H543" s="2">
        <v>2</v>
      </c>
      <c r="I543" s="9">
        <v>40</v>
      </c>
      <c r="J543" s="2">
        <v>3</v>
      </c>
      <c r="K543" s="3">
        <v>0.76</v>
      </c>
      <c r="L543" s="2" t="s">
        <v>69</v>
      </c>
      <c r="M543" s="2" t="s">
        <v>27</v>
      </c>
      <c r="N543" s="2">
        <v>4</v>
      </c>
      <c r="O543" s="2">
        <v>1</v>
      </c>
    </row>
    <row r="544" spans="1:15" x14ac:dyDescent="0.3">
      <c r="A544" s="2" t="s">
        <v>1164</v>
      </c>
      <c r="B544" s="2" t="s">
        <v>1165</v>
      </c>
      <c r="C544" s="2" t="s">
        <v>77</v>
      </c>
      <c r="D544" s="2">
        <v>20</v>
      </c>
      <c r="E544" s="2" t="s">
        <v>62</v>
      </c>
      <c r="F544" s="2" t="s">
        <v>63</v>
      </c>
      <c r="G544" s="2" t="s">
        <v>26</v>
      </c>
      <c r="H544" s="2">
        <v>0</v>
      </c>
      <c r="I544" s="9">
        <v>100</v>
      </c>
      <c r="J544" s="2">
        <v>2</v>
      </c>
      <c r="K544" s="3">
        <v>0.63</v>
      </c>
      <c r="L544" s="2" t="s">
        <v>19</v>
      </c>
      <c r="M544" s="2" t="s">
        <v>58</v>
      </c>
      <c r="N544" s="2">
        <v>1</v>
      </c>
      <c r="O544" s="2">
        <v>3</v>
      </c>
    </row>
    <row r="545" spans="1:15" x14ac:dyDescent="0.3">
      <c r="A545" s="2" t="s">
        <v>1166</v>
      </c>
      <c r="B545" s="2" t="s">
        <v>1167</v>
      </c>
      <c r="C545" s="2" t="s">
        <v>77</v>
      </c>
      <c r="D545" s="2">
        <v>20</v>
      </c>
      <c r="E545" s="2" t="s">
        <v>124</v>
      </c>
      <c r="F545" s="2" t="s">
        <v>25</v>
      </c>
      <c r="G545" s="2" t="s">
        <v>52</v>
      </c>
      <c r="H545" s="2">
        <v>2</v>
      </c>
      <c r="I545" s="9">
        <v>40</v>
      </c>
      <c r="J545" s="2">
        <v>5</v>
      </c>
      <c r="K545" s="3">
        <v>0.91</v>
      </c>
      <c r="L545" s="2" t="s">
        <v>69</v>
      </c>
      <c r="M545" s="2" t="s">
        <v>33</v>
      </c>
      <c r="N545" s="2">
        <v>1</v>
      </c>
      <c r="O545" s="2">
        <v>1</v>
      </c>
    </row>
    <row r="546" spans="1:15" x14ac:dyDescent="0.3">
      <c r="A546" s="2" t="s">
        <v>1168</v>
      </c>
      <c r="B546" s="2" t="s">
        <v>1169</v>
      </c>
      <c r="C546" s="2" t="s">
        <v>95</v>
      </c>
      <c r="D546" s="2">
        <v>21</v>
      </c>
      <c r="E546" s="2" t="s">
        <v>68</v>
      </c>
      <c r="F546" s="2" t="s">
        <v>25</v>
      </c>
      <c r="G546" s="2" t="s">
        <v>44</v>
      </c>
      <c r="H546" s="2">
        <v>0</v>
      </c>
      <c r="I546" s="9">
        <v>100</v>
      </c>
      <c r="J546" s="2">
        <v>3</v>
      </c>
      <c r="K546" s="3">
        <v>0.73</v>
      </c>
      <c r="L546" s="2" t="s">
        <v>69</v>
      </c>
      <c r="M546" s="2" t="s">
        <v>20</v>
      </c>
      <c r="N546" s="2">
        <v>1</v>
      </c>
      <c r="O546" s="2">
        <v>1</v>
      </c>
    </row>
    <row r="547" spans="1:15" x14ac:dyDescent="0.3">
      <c r="A547" s="2" t="s">
        <v>1170</v>
      </c>
      <c r="B547" s="2" t="s">
        <v>1171</v>
      </c>
      <c r="C547" s="2" t="s">
        <v>95</v>
      </c>
      <c r="D547" s="2">
        <v>22</v>
      </c>
      <c r="E547" s="2" t="s">
        <v>42</v>
      </c>
      <c r="F547" s="2" t="s">
        <v>43</v>
      </c>
      <c r="G547" s="2" t="s">
        <v>78</v>
      </c>
      <c r="H547" s="2">
        <v>1</v>
      </c>
      <c r="I547" s="9">
        <v>40</v>
      </c>
      <c r="J547" s="2">
        <v>2</v>
      </c>
      <c r="K547" s="3">
        <v>0.63</v>
      </c>
      <c r="L547" s="2" t="s">
        <v>19</v>
      </c>
      <c r="M547" s="2" t="s">
        <v>58</v>
      </c>
      <c r="N547" s="2">
        <v>5</v>
      </c>
      <c r="O547" s="2">
        <v>1</v>
      </c>
    </row>
    <row r="548" spans="1:15" x14ac:dyDescent="0.3">
      <c r="A548" s="2" t="s">
        <v>1172</v>
      </c>
      <c r="B548" s="2" t="s">
        <v>1173</v>
      </c>
      <c r="C548" s="2" t="s">
        <v>77</v>
      </c>
      <c r="D548" s="2">
        <v>28</v>
      </c>
      <c r="E548" s="2" t="s">
        <v>68</v>
      </c>
      <c r="F548" s="2" t="s">
        <v>25</v>
      </c>
      <c r="G548" s="2" t="s">
        <v>87</v>
      </c>
      <c r="H548" s="2">
        <v>3</v>
      </c>
      <c r="I548" s="9" t="s">
        <v>117</v>
      </c>
      <c r="J548" s="2">
        <v>3</v>
      </c>
      <c r="K548" s="3">
        <v>0.79</v>
      </c>
      <c r="L548" s="2" t="s">
        <v>69</v>
      </c>
      <c r="M548" s="2" t="s">
        <v>33</v>
      </c>
      <c r="N548" s="2">
        <v>2</v>
      </c>
      <c r="O548" s="2">
        <v>1</v>
      </c>
    </row>
    <row r="549" spans="1:15" x14ac:dyDescent="0.3">
      <c r="A549" s="2" t="s">
        <v>1174</v>
      </c>
      <c r="B549" s="2" t="s">
        <v>1175</v>
      </c>
      <c r="C549" s="2" t="s">
        <v>77</v>
      </c>
      <c r="D549" s="2">
        <v>59</v>
      </c>
      <c r="E549" s="2" t="s">
        <v>72</v>
      </c>
      <c r="F549" s="2" t="s">
        <v>73</v>
      </c>
      <c r="G549" s="2" t="s">
        <v>44</v>
      </c>
      <c r="H549" s="10">
        <v>10</v>
      </c>
      <c r="I549" s="9">
        <v>20</v>
      </c>
      <c r="J549" s="2">
        <v>3</v>
      </c>
      <c r="K549" s="3">
        <v>0.75</v>
      </c>
      <c r="L549" s="2" t="s">
        <v>69</v>
      </c>
      <c r="M549" s="2" t="s">
        <v>20</v>
      </c>
      <c r="N549" s="2">
        <v>2</v>
      </c>
      <c r="O549" s="2">
        <v>2</v>
      </c>
    </row>
    <row r="550" spans="1:15" x14ac:dyDescent="0.3">
      <c r="A550" s="2" t="s">
        <v>1176</v>
      </c>
      <c r="B550" s="2" t="s">
        <v>1177</v>
      </c>
      <c r="C550" s="2" t="s">
        <v>77</v>
      </c>
      <c r="D550" s="2">
        <v>28</v>
      </c>
      <c r="E550" s="2" t="s">
        <v>131</v>
      </c>
      <c r="F550" s="2" t="s">
        <v>132</v>
      </c>
      <c r="G550" s="2" t="s">
        <v>37</v>
      </c>
      <c r="H550" s="2">
        <v>1</v>
      </c>
      <c r="I550" s="9">
        <v>57.75</v>
      </c>
      <c r="J550" s="2">
        <v>3</v>
      </c>
      <c r="K550" s="3">
        <v>0.7</v>
      </c>
      <c r="L550" s="2" t="s">
        <v>46</v>
      </c>
      <c r="M550" s="2" t="s">
        <v>33</v>
      </c>
      <c r="N550" s="2">
        <v>1</v>
      </c>
      <c r="O550" s="2">
        <v>2</v>
      </c>
    </row>
    <row r="551" spans="1:15" x14ac:dyDescent="0.3">
      <c r="A551" s="2" t="s">
        <v>1178</v>
      </c>
      <c r="B551" s="2" t="s">
        <v>1179</v>
      </c>
      <c r="C551" s="2" t="s">
        <v>77</v>
      </c>
      <c r="D551" s="2">
        <v>40</v>
      </c>
      <c r="E551" s="2" t="s">
        <v>24</v>
      </c>
      <c r="F551" s="2" t="s">
        <v>25</v>
      </c>
      <c r="G551" s="2" t="s">
        <v>87</v>
      </c>
      <c r="H551" s="2">
        <v>0</v>
      </c>
      <c r="I551" s="9" t="s">
        <v>222</v>
      </c>
      <c r="J551" s="2">
        <v>4</v>
      </c>
      <c r="K551" s="3">
        <v>0.87</v>
      </c>
      <c r="L551" s="2" t="s">
        <v>46</v>
      </c>
      <c r="M551" s="2" t="s">
        <v>20</v>
      </c>
      <c r="N551" s="2">
        <v>1</v>
      </c>
      <c r="O551" s="2">
        <v>1</v>
      </c>
    </row>
    <row r="552" spans="1:15" x14ac:dyDescent="0.3">
      <c r="A552" s="2" t="s">
        <v>1180</v>
      </c>
      <c r="B552" s="2" t="s">
        <v>1181</v>
      </c>
      <c r="C552" s="2" t="s">
        <v>95</v>
      </c>
      <c r="D552" s="2">
        <v>57</v>
      </c>
      <c r="E552" s="2" t="s">
        <v>16</v>
      </c>
      <c r="F552" s="2" t="s">
        <v>17</v>
      </c>
      <c r="G552" s="2" t="s">
        <v>18</v>
      </c>
      <c r="H552" s="2">
        <v>7</v>
      </c>
      <c r="I552" s="9">
        <v>30</v>
      </c>
      <c r="J552" s="2">
        <v>1</v>
      </c>
      <c r="K552" s="3">
        <v>0.5</v>
      </c>
      <c r="L552" s="2" t="s">
        <v>19</v>
      </c>
      <c r="M552" s="2" t="s">
        <v>27</v>
      </c>
      <c r="N552" s="2">
        <v>13</v>
      </c>
      <c r="O552" s="2">
        <v>5</v>
      </c>
    </row>
    <row r="553" spans="1:15" x14ac:dyDescent="0.3">
      <c r="A553" s="2" t="s">
        <v>1182</v>
      </c>
      <c r="B553" s="2" t="s">
        <v>1183</v>
      </c>
      <c r="C553" s="2" t="s">
        <v>95</v>
      </c>
      <c r="D553" s="2">
        <v>47</v>
      </c>
      <c r="E553" s="2" t="s">
        <v>62</v>
      </c>
      <c r="F553" s="2" t="s">
        <v>63</v>
      </c>
      <c r="G553" s="2" t="s">
        <v>87</v>
      </c>
      <c r="H553" s="2">
        <v>1</v>
      </c>
      <c r="I553" s="9">
        <v>50</v>
      </c>
      <c r="J553" s="2">
        <v>4</v>
      </c>
      <c r="K553" s="3">
        <v>0.88</v>
      </c>
      <c r="L553" s="2" t="s">
        <v>46</v>
      </c>
      <c r="M553" s="2" t="s">
        <v>58</v>
      </c>
      <c r="N553" s="2">
        <v>5</v>
      </c>
      <c r="O553" s="2">
        <v>3</v>
      </c>
    </row>
    <row r="554" spans="1:15" x14ac:dyDescent="0.3">
      <c r="A554" s="2" t="s">
        <v>1184</v>
      </c>
      <c r="B554" s="2" t="s">
        <v>1185</v>
      </c>
      <c r="C554" s="2" t="s">
        <v>95</v>
      </c>
      <c r="D554" s="2">
        <v>48</v>
      </c>
      <c r="E554" s="2" t="s">
        <v>108</v>
      </c>
      <c r="F554" s="2" t="s">
        <v>109</v>
      </c>
      <c r="G554" s="2" t="s">
        <v>78</v>
      </c>
      <c r="H554" s="2">
        <v>21</v>
      </c>
      <c r="I554" s="9">
        <v>40</v>
      </c>
      <c r="J554" s="2">
        <v>1</v>
      </c>
      <c r="K554" s="3">
        <v>0.5</v>
      </c>
      <c r="L554" s="2" t="s">
        <v>46</v>
      </c>
      <c r="M554" s="2" t="s">
        <v>33</v>
      </c>
      <c r="N554" s="2">
        <v>15</v>
      </c>
      <c r="O554" s="2">
        <v>11</v>
      </c>
    </row>
    <row r="555" spans="1:15" x14ac:dyDescent="0.3">
      <c r="A555" s="2" t="s">
        <v>1186</v>
      </c>
      <c r="B555" s="2" t="s">
        <v>1187</v>
      </c>
      <c r="C555" s="2" t="s">
        <v>95</v>
      </c>
      <c r="D555" s="2">
        <v>28</v>
      </c>
      <c r="E555" s="2" t="s">
        <v>57</v>
      </c>
      <c r="F555" s="2" t="s">
        <v>25</v>
      </c>
      <c r="G555" s="2" t="s">
        <v>74</v>
      </c>
      <c r="H555" s="2">
        <v>1</v>
      </c>
      <c r="I555" s="9" t="s">
        <v>117</v>
      </c>
      <c r="J555" s="2">
        <v>5</v>
      </c>
      <c r="K555" s="3">
        <v>0.93</v>
      </c>
      <c r="L555" s="2" t="s">
        <v>69</v>
      </c>
      <c r="M555" s="2" t="s">
        <v>20</v>
      </c>
      <c r="N555" s="2">
        <v>5</v>
      </c>
      <c r="O555" s="2">
        <v>3</v>
      </c>
    </row>
    <row r="556" spans="1:15" x14ac:dyDescent="0.3">
      <c r="A556" s="2" t="s">
        <v>1188</v>
      </c>
      <c r="B556" s="2" t="s">
        <v>1189</v>
      </c>
      <c r="C556" s="2" t="s">
        <v>95</v>
      </c>
      <c r="D556" s="2">
        <v>41</v>
      </c>
      <c r="E556" s="2" t="s">
        <v>62</v>
      </c>
      <c r="F556" s="2" t="s">
        <v>63</v>
      </c>
      <c r="G556" s="2" t="s">
        <v>32</v>
      </c>
      <c r="H556" s="2">
        <v>15</v>
      </c>
      <c r="I556" s="9">
        <v>58.684210526315788</v>
      </c>
      <c r="J556" s="2">
        <v>1</v>
      </c>
      <c r="K556" s="3">
        <v>0.5</v>
      </c>
      <c r="L556" s="2" t="s">
        <v>65</v>
      </c>
      <c r="M556" s="2" t="s">
        <v>33</v>
      </c>
      <c r="N556" s="2">
        <v>13</v>
      </c>
      <c r="O556" s="2">
        <v>5</v>
      </c>
    </row>
    <row r="557" spans="1:15" x14ac:dyDescent="0.3">
      <c r="A557" s="2" t="s">
        <v>1190</v>
      </c>
      <c r="B557" s="2" t="s">
        <v>1191</v>
      </c>
      <c r="C557" s="2" t="s">
        <v>77</v>
      </c>
      <c r="D557" s="2">
        <v>57</v>
      </c>
      <c r="E557" s="2" t="s">
        <v>147</v>
      </c>
      <c r="F557" s="2" t="s">
        <v>148</v>
      </c>
      <c r="G557" s="2" t="s">
        <v>78</v>
      </c>
      <c r="H557" s="2">
        <v>33</v>
      </c>
      <c r="I557" s="9">
        <v>100</v>
      </c>
      <c r="J557" s="2">
        <v>3</v>
      </c>
      <c r="K557" s="3">
        <v>0.74</v>
      </c>
      <c r="L557" s="2" t="s">
        <v>46</v>
      </c>
      <c r="M557" s="2" t="s">
        <v>33</v>
      </c>
      <c r="N557" s="2">
        <v>19</v>
      </c>
      <c r="O557" s="2">
        <v>17</v>
      </c>
    </row>
    <row r="558" spans="1:15" x14ac:dyDescent="0.3">
      <c r="A558" s="2" t="s">
        <v>1192</v>
      </c>
      <c r="B558" s="2" t="s">
        <v>1193</v>
      </c>
      <c r="C558" s="2" t="s">
        <v>95</v>
      </c>
      <c r="D558" s="2">
        <v>60</v>
      </c>
      <c r="E558" s="2" t="s">
        <v>72</v>
      </c>
      <c r="F558" s="2" t="s">
        <v>73</v>
      </c>
      <c r="G558" s="2" t="s">
        <v>32</v>
      </c>
      <c r="H558" s="2">
        <v>39</v>
      </c>
      <c r="I558" s="9" t="s">
        <v>163</v>
      </c>
      <c r="J558" s="2">
        <v>3</v>
      </c>
      <c r="K558" s="3">
        <v>0.7</v>
      </c>
      <c r="L558" s="2" t="s">
        <v>65</v>
      </c>
      <c r="M558" s="2" t="s">
        <v>58</v>
      </c>
      <c r="N558" s="2">
        <v>15</v>
      </c>
      <c r="O558" s="2">
        <v>15</v>
      </c>
    </row>
    <row r="559" spans="1:15" x14ac:dyDescent="0.3">
      <c r="A559" s="2" t="s">
        <v>1194</v>
      </c>
      <c r="B559" s="2" t="s">
        <v>1195</v>
      </c>
      <c r="C559" s="2" t="s">
        <v>77</v>
      </c>
      <c r="D559" s="2">
        <v>48</v>
      </c>
      <c r="E559" s="2" t="s">
        <v>135</v>
      </c>
      <c r="F559" s="2" t="s">
        <v>136</v>
      </c>
      <c r="G559" s="2" t="s">
        <v>32</v>
      </c>
      <c r="H559" s="2">
        <v>21</v>
      </c>
      <c r="I559" s="9">
        <v>30</v>
      </c>
      <c r="J559" s="2">
        <v>2</v>
      </c>
      <c r="K559" s="3">
        <v>0.67</v>
      </c>
      <c r="L559" s="2" t="s">
        <v>46</v>
      </c>
      <c r="M559" s="2" t="s">
        <v>27</v>
      </c>
      <c r="N559" s="2">
        <v>15</v>
      </c>
      <c r="O559" s="2">
        <v>5</v>
      </c>
    </row>
    <row r="560" spans="1:15" x14ac:dyDescent="0.3">
      <c r="A560" s="2" t="s">
        <v>1196</v>
      </c>
      <c r="B560" s="2" t="s">
        <v>1197</v>
      </c>
      <c r="C560" s="2" t="s">
        <v>77</v>
      </c>
      <c r="D560" s="2">
        <v>24</v>
      </c>
      <c r="E560" s="2" t="s">
        <v>131</v>
      </c>
      <c r="F560" s="2" t="s">
        <v>132</v>
      </c>
      <c r="G560" s="2" t="s">
        <v>78</v>
      </c>
      <c r="H560" s="2">
        <v>5</v>
      </c>
      <c r="I560" s="9">
        <v>40</v>
      </c>
      <c r="J560" s="2">
        <v>4</v>
      </c>
      <c r="K560" s="3">
        <v>0.86</v>
      </c>
      <c r="L560" s="2" t="s">
        <v>46</v>
      </c>
      <c r="M560" s="2" t="s">
        <v>33</v>
      </c>
      <c r="N560" s="2">
        <v>1</v>
      </c>
      <c r="O560" s="2">
        <v>1</v>
      </c>
    </row>
    <row r="561" spans="1:15" x14ac:dyDescent="0.3">
      <c r="A561" s="2" t="s">
        <v>1198</v>
      </c>
      <c r="B561" s="2" t="s">
        <v>1199</v>
      </c>
      <c r="C561" s="2" t="s">
        <v>77</v>
      </c>
      <c r="D561" s="2">
        <v>33</v>
      </c>
      <c r="E561" s="2" t="s">
        <v>172</v>
      </c>
      <c r="F561" s="2" t="s">
        <v>73</v>
      </c>
      <c r="G561" s="2" t="s">
        <v>87</v>
      </c>
      <c r="H561" s="2">
        <v>11</v>
      </c>
      <c r="I561" s="9">
        <v>50</v>
      </c>
      <c r="J561" s="2">
        <v>2</v>
      </c>
      <c r="K561" s="3">
        <v>0.69</v>
      </c>
      <c r="L561" s="2" t="s">
        <v>19</v>
      </c>
      <c r="M561" s="2" t="s">
        <v>20</v>
      </c>
      <c r="N561" s="2">
        <v>8</v>
      </c>
      <c r="O561" s="2">
        <v>9</v>
      </c>
    </row>
    <row r="562" spans="1:15" x14ac:dyDescent="0.3">
      <c r="A562" s="2" t="s">
        <v>1200</v>
      </c>
      <c r="B562" s="2" t="s">
        <v>1201</v>
      </c>
      <c r="C562" s="2" t="s">
        <v>77</v>
      </c>
      <c r="D562" s="2">
        <v>20</v>
      </c>
      <c r="E562" s="2" t="s">
        <v>62</v>
      </c>
      <c r="F562" s="2" t="s">
        <v>63</v>
      </c>
      <c r="G562" s="2" t="s">
        <v>32</v>
      </c>
      <c r="H562" s="2">
        <v>0</v>
      </c>
      <c r="I562" s="9">
        <v>30</v>
      </c>
      <c r="J562" s="2">
        <v>2</v>
      </c>
      <c r="K562" s="3">
        <v>0.68</v>
      </c>
      <c r="L562" s="2" t="s">
        <v>19</v>
      </c>
      <c r="M562" s="2" t="s">
        <v>20</v>
      </c>
      <c r="N562" s="2">
        <v>5</v>
      </c>
      <c r="O562" s="2">
        <v>3</v>
      </c>
    </row>
    <row r="563" spans="1:15" x14ac:dyDescent="0.3">
      <c r="A563" s="2" t="s">
        <v>1202</v>
      </c>
      <c r="B563" s="2" t="s">
        <v>1203</v>
      </c>
      <c r="C563" s="2" t="s">
        <v>95</v>
      </c>
      <c r="D563" s="2">
        <v>59</v>
      </c>
      <c r="E563" s="2" t="s">
        <v>68</v>
      </c>
      <c r="F563" s="2" t="s">
        <v>25</v>
      </c>
      <c r="G563" s="2" t="s">
        <v>87</v>
      </c>
      <c r="H563" s="2">
        <v>15</v>
      </c>
      <c r="I563" s="9" t="s">
        <v>64</v>
      </c>
      <c r="J563" s="2">
        <v>1</v>
      </c>
      <c r="K563" s="3">
        <v>0.5</v>
      </c>
      <c r="L563" s="2" t="s">
        <v>19</v>
      </c>
      <c r="M563" s="2" t="s">
        <v>27</v>
      </c>
      <c r="N563" s="2">
        <v>7</v>
      </c>
      <c r="O563" s="2">
        <v>8</v>
      </c>
    </row>
    <row r="564" spans="1:15" x14ac:dyDescent="0.3">
      <c r="A564" s="2" t="s">
        <v>1204</v>
      </c>
      <c r="B564" s="2" t="s">
        <v>1205</v>
      </c>
      <c r="C564" s="2" t="s">
        <v>77</v>
      </c>
      <c r="D564" s="2">
        <v>42</v>
      </c>
      <c r="E564" s="2" t="s">
        <v>168</v>
      </c>
      <c r="F564" s="2" t="s">
        <v>169</v>
      </c>
      <c r="G564" s="2" t="s">
        <v>87</v>
      </c>
      <c r="H564" s="2">
        <v>22</v>
      </c>
      <c r="I564" s="9">
        <v>59.519230769230766</v>
      </c>
      <c r="J564" s="2">
        <v>2</v>
      </c>
      <c r="K564" s="3">
        <v>0.61</v>
      </c>
      <c r="L564" s="2" t="s">
        <v>65</v>
      </c>
      <c r="M564" s="2" t="s">
        <v>20</v>
      </c>
      <c r="N564" s="2">
        <v>14</v>
      </c>
      <c r="O564" s="2">
        <v>9</v>
      </c>
    </row>
    <row r="565" spans="1:15" x14ac:dyDescent="0.3">
      <c r="A565" s="2" t="s">
        <v>1206</v>
      </c>
      <c r="B565" s="2" t="s">
        <v>1207</v>
      </c>
      <c r="C565" s="2" t="s">
        <v>77</v>
      </c>
      <c r="D565" s="2">
        <v>22</v>
      </c>
      <c r="E565" s="2" t="s">
        <v>62</v>
      </c>
      <c r="F565" s="2" t="s">
        <v>63</v>
      </c>
      <c r="G565" s="2" t="s">
        <v>74</v>
      </c>
      <c r="H565" s="2">
        <v>3</v>
      </c>
      <c r="I565" s="9">
        <v>59.519230769230766</v>
      </c>
      <c r="J565" s="2">
        <v>5</v>
      </c>
      <c r="K565" s="3">
        <v>0.96</v>
      </c>
      <c r="L565" s="2" t="s">
        <v>69</v>
      </c>
      <c r="M565" s="2" t="s">
        <v>27</v>
      </c>
      <c r="N565" s="2">
        <v>1</v>
      </c>
      <c r="O565" s="2">
        <v>2</v>
      </c>
    </row>
    <row r="566" spans="1:15" x14ac:dyDescent="0.3">
      <c r="A566" s="2" t="s">
        <v>1208</v>
      </c>
      <c r="B566" s="2" t="s">
        <v>1209</v>
      </c>
      <c r="C566" s="2" t="s">
        <v>95</v>
      </c>
      <c r="D566" s="2">
        <v>41</v>
      </c>
      <c r="E566" s="2" t="s">
        <v>124</v>
      </c>
      <c r="F566" s="2" t="s">
        <v>25</v>
      </c>
      <c r="G566" s="2" t="s">
        <v>78</v>
      </c>
      <c r="H566" s="2">
        <v>11</v>
      </c>
      <c r="I566" s="9">
        <v>50</v>
      </c>
      <c r="J566" s="2">
        <v>2</v>
      </c>
      <c r="K566" s="3">
        <v>0.68</v>
      </c>
      <c r="L566" s="2" t="s">
        <v>46</v>
      </c>
      <c r="M566" s="2" t="s">
        <v>20</v>
      </c>
      <c r="N566" s="2">
        <v>12</v>
      </c>
      <c r="O566" s="2">
        <v>1</v>
      </c>
    </row>
    <row r="567" spans="1:15" x14ac:dyDescent="0.3">
      <c r="A567" s="2" t="s">
        <v>1210</v>
      </c>
      <c r="B567" s="2" t="s">
        <v>1211</v>
      </c>
      <c r="C567" s="2" t="s">
        <v>77</v>
      </c>
      <c r="D567" s="2">
        <v>25</v>
      </c>
      <c r="E567" s="2" t="s">
        <v>72</v>
      </c>
      <c r="F567" s="2" t="s">
        <v>73</v>
      </c>
      <c r="G567" s="2" t="s">
        <v>37</v>
      </c>
      <c r="H567" s="2">
        <v>5</v>
      </c>
      <c r="I567" s="9">
        <v>40</v>
      </c>
      <c r="J567" s="2">
        <v>3</v>
      </c>
      <c r="K567" s="3">
        <v>0.75</v>
      </c>
      <c r="L567" s="2" t="s">
        <v>46</v>
      </c>
      <c r="M567" s="2" t="s">
        <v>58</v>
      </c>
      <c r="N567" s="2">
        <v>4</v>
      </c>
      <c r="O567" s="2">
        <v>1</v>
      </c>
    </row>
    <row r="568" spans="1:15" x14ac:dyDescent="0.3">
      <c r="A568" s="2" t="s">
        <v>1212</v>
      </c>
      <c r="B568" s="2" t="s">
        <v>1213</v>
      </c>
      <c r="C568" s="2" t="s">
        <v>77</v>
      </c>
      <c r="D568" s="2">
        <v>38</v>
      </c>
      <c r="E568" s="2" t="s">
        <v>124</v>
      </c>
      <c r="F568" s="2" t="s">
        <v>25</v>
      </c>
      <c r="G568" s="2" t="s">
        <v>74</v>
      </c>
      <c r="H568" s="2">
        <v>3</v>
      </c>
      <c r="I568" s="9">
        <v>40</v>
      </c>
      <c r="J568" s="2">
        <v>2</v>
      </c>
      <c r="K568" s="3">
        <v>0.69</v>
      </c>
      <c r="L568" s="2" t="s">
        <v>46</v>
      </c>
      <c r="M568" s="2" t="s">
        <v>33</v>
      </c>
      <c r="N568" s="2">
        <v>4</v>
      </c>
      <c r="O568" s="2">
        <v>2</v>
      </c>
    </row>
    <row r="569" spans="1:15" x14ac:dyDescent="0.3">
      <c r="A569" s="2" t="s">
        <v>1214</v>
      </c>
      <c r="B569" s="2" t="s">
        <v>1215</v>
      </c>
      <c r="C569" s="2" t="s">
        <v>77</v>
      </c>
      <c r="D569" s="2">
        <v>43</v>
      </c>
      <c r="E569" s="2" t="s">
        <v>57</v>
      </c>
      <c r="F569" s="2" t="s">
        <v>25</v>
      </c>
      <c r="G569" s="2" t="s">
        <v>87</v>
      </c>
      <c r="H569" s="2">
        <v>1</v>
      </c>
      <c r="I569" s="9">
        <v>60.510204081632651</v>
      </c>
      <c r="J569" s="2">
        <v>3</v>
      </c>
      <c r="K569" s="3">
        <v>0.78</v>
      </c>
      <c r="L569" s="2" t="s">
        <v>65</v>
      </c>
      <c r="M569" s="2" t="s">
        <v>58</v>
      </c>
      <c r="N569" s="2">
        <v>5</v>
      </c>
      <c r="O569" s="2">
        <v>2</v>
      </c>
    </row>
    <row r="570" spans="1:15" x14ac:dyDescent="0.3">
      <c r="A570" s="2" t="s">
        <v>1216</v>
      </c>
      <c r="B570" s="2" t="s">
        <v>1217</v>
      </c>
      <c r="C570" s="2" t="s">
        <v>77</v>
      </c>
      <c r="D570" s="2">
        <v>54</v>
      </c>
      <c r="E570" s="2" t="s">
        <v>172</v>
      </c>
      <c r="F570" s="2" t="s">
        <v>73</v>
      </c>
      <c r="G570" s="2" t="s">
        <v>44</v>
      </c>
      <c r="H570" s="2">
        <v>1</v>
      </c>
      <c r="I570" s="9">
        <v>75</v>
      </c>
      <c r="J570" s="2">
        <v>1</v>
      </c>
      <c r="K570" s="3">
        <v>0.5</v>
      </c>
      <c r="L570" s="2" t="s">
        <v>19</v>
      </c>
      <c r="M570" s="2" t="s">
        <v>33</v>
      </c>
      <c r="N570" s="2">
        <v>4</v>
      </c>
      <c r="O570" s="2">
        <v>5</v>
      </c>
    </row>
    <row r="571" spans="1:15" x14ac:dyDescent="0.3">
      <c r="A571" s="2" t="s">
        <v>1218</v>
      </c>
      <c r="B571" s="2" t="s">
        <v>1219</v>
      </c>
      <c r="C571" s="2" t="s">
        <v>77</v>
      </c>
      <c r="D571" s="2">
        <v>31</v>
      </c>
      <c r="E571" s="2" t="s">
        <v>50</v>
      </c>
      <c r="F571" s="2" t="s">
        <v>51</v>
      </c>
      <c r="G571" s="2" t="s">
        <v>26</v>
      </c>
      <c r="H571" s="2">
        <v>2</v>
      </c>
      <c r="I571" s="9">
        <v>40</v>
      </c>
      <c r="J571" s="2">
        <v>5</v>
      </c>
      <c r="K571" s="3">
        <v>0.98</v>
      </c>
      <c r="L571" s="2" t="s">
        <v>69</v>
      </c>
      <c r="M571" s="2" t="s">
        <v>33</v>
      </c>
      <c r="N571" s="2">
        <v>5</v>
      </c>
      <c r="O571" s="2">
        <v>1</v>
      </c>
    </row>
    <row r="572" spans="1:15" x14ac:dyDescent="0.3">
      <c r="A572" s="2" t="s">
        <v>1220</v>
      </c>
      <c r="B572" s="2" t="s">
        <v>1221</v>
      </c>
      <c r="C572" s="2" t="s">
        <v>77</v>
      </c>
      <c r="D572" s="2">
        <v>56</v>
      </c>
      <c r="E572" s="2" t="s">
        <v>172</v>
      </c>
      <c r="F572" s="2" t="s">
        <v>73</v>
      </c>
      <c r="G572" s="2" t="s">
        <v>44</v>
      </c>
      <c r="H572" s="2">
        <v>3</v>
      </c>
      <c r="I572" s="9" t="s">
        <v>45</v>
      </c>
      <c r="J572" s="2">
        <v>4</v>
      </c>
      <c r="K572" s="3">
        <v>0.83</v>
      </c>
      <c r="L572" s="2" t="s">
        <v>65</v>
      </c>
      <c r="M572" s="2" t="s">
        <v>33</v>
      </c>
      <c r="N572" s="2">
        <v>4</v>
      </c>
      <c r="O572" s="2">
        <v>2</v>
      </c>
    </row>
    <row r="573" spans="1:15" x14ac:dyDescent="0.3">
      <c r="A573" s="2" t="s">
        <v>1222</v>
      </c>
      <c r="B573" s="2" t="s">
        <v>1223</v>
      </c>
      <c r="C573" s="2" t="s">
        <v>95</v>
      </c>
      <c r="D573" s="2">
        <v>46</v>
      </c>
      <c r="E573" s="2" t="s">
        <v>172</v>
      </c>
      <c r="F573" s="2" t="s">
        <v>73</v>
      </c>
      <c r="G573" s="2" t="s">
        <v>32</v>
      </c>
      <c r="H573" s="2">
        <v>11</v>
      </c>
      <c r="I573" s="9">
        <v>60.638297872340424</v>
      </c>
      <c r="J573" s="2">
        <v>5</v>
      </c>
      <c r="K573" s="3">
        <v>0.91</v>
      </c>
      <c r="L573" s="2" t="s">
        <v>19</v>
      </c>
      <c r="M573" s="2" t="s">
        <v>58</v>
      </c>
      <c r="N573" s="2">
        <v>8</v>
      </c>
      <c r="O573" s="2">
        <v>9</v>
      </c>
    </row>
    <row r="574" spans="1:15" x14ac:dyDescent="0.3">
      <c r="A574" s="2" t="s">
        <v>1224</v>
      </c>
      <c r="B574" s="2" t="s">
        <v>1225</v>
      </c>
      <c r="C574" s="2" t="s">
        <v>95</v>
      </c>
      <c r="D574" s="2">
        <v>60</v>
      </c>
      <c r="E574" s="2" t="s">
        <v>135</v>
      </c>
      <c r="F574" s="2" t="s">
        <v>136</v>
      </c>
      <c r="G574" s="2" t="s">
        <v>44</v>
      </c>
      <c r="H574" s="10">
        <v>10</v>
      </c>
      <c r="I574" s="9">
        <v>100</v>
      </c>
      <c r="J574" s="2">
        <v>5</v>
      </c>
      <c r="K574" s="3">
        <v>0.96</v>
      </c>
      <c r="L574" s="2" t="s">
        <v>65</v>
      </c>
      <c r="M574" s="2" t="s">
        <v>33</v>
      </c>
      <c r="N574" s="2">
        <v>5</v>
      </c>
      <c r="O574" s="2">
        <v>1</v>
      </c>
    </row>
    <row r="575" spans="1:15" x14ac:dyDescent="0.3">
      <c r="A575" s="2" t="s">
        <v>1226</v>
      </c>
      <c r="B575" s="2" t="s">
        <v>1227</v>
      </c>
      <c r="C575" s="2" t="s">
        <v>77</v>
      </c>
      <c r="D575" s="2">
        <v>28</v>
      </c>
      <c r="E575" s="2" t="s">
        <v>108</v>
      </c>
      <c r="F575" s="2" t="s">
        <v>109</v>
      </c>
      <c r="G575" s="2" t="s">
        <v>32</v>
      </c>
      <c r="H575" s="2">
        <v>2</v>
      </c>
      <c r="I575" s="9" t="s">
        <v>64</v>
      </c>
      <c r="J575" s="2">
        <v>4</v>
      </c>
      <c r="K575" s="3">
        <v>0.85</v>
      </c>
      <c r="L575" s="2" t="s">
        <v>69</v>
      </c>
      <c r="M575" s="2" t="s">
        <v>58</v>
      </c>
      <c r="N575" s="2">
        <v>3</v>
      </c>
      <c r="O575" s="2">
        <v>2</v>
      </c>
    </row>
    <row r="576" spans="1:15" x14ac:dyDescent="0.3">
      <c r="A576" s="2" t="s">
        <v>1228</v>
      </c>
      <c r="B576" s="2" t="s">
        <v>1229</v>
      </c>
      <c r="C576" s="2" t="s">
        <v>77</v>
      </c>
      <c r="D576" s="2">
        <v>43</v>
      </c>
      <c r="E576" s="2" t="s">
        <v>50</v>
      </c>
      <c r="F576" s="2" t="s">
        <v>51</v>
      </c>
      <c r="G576" s="2" t="s">
        <v>37</v>
      </c>
      <c r="H576" s="2">
        <v>20</v>
      </c>
      <c r="I576" s="9" t="s">
        <v>45</v>
      </c>
      <c r="J576" s="2">
        <v>3</v>
      </c>
      <c r="K576" s="3">
        <v>0.72</v>
      </c>
      <c r="L576" s="2" t="s">
        <v>19</v>
      </c>
      <c r="M576" s="2" t="s">
        <v>27</v>
      </c>
      <c r="N576" s="2">
        <v>14</v>
      </c>
      <c r="O576" s="2">
        <v>2</v>
      </c>
    </row>
    <row r="577" spans="1:15" x14ac:dyDescent="0.3">
      <c r="A577" s="2" t="s">
        <v>1230</v>
      </c>
      <c r="B577" s="2" t="s">
        <v>1231</v>
      </c>
      <c r="C577" s="2" t="s">
        <v>95</v>
      </c>
      <c r="D577" s="2">
        <v>41</v>
      </c>
      <c r="E577" s="2" t="s">
        <v>131</v>
      </c>
      <c r="F577" s="2" t="s">
        <v>132</v>
      </c>
      <c r="G577" s="2" t="s">
        <v>37</v>
      </c>
      <c r="H577" s="2">
        <v>11</v>
      </c>
      <c r="I577" s="9" t="s">
        <v>117</v>
      </c>
      <c r="J577" s="2">
        <v>2</v>
      </c>
      <c r="K577" s="3">
        <v>0.69</v>
      </c>
      <c r="L577" s="2" t="s">
        <v>65</v>
      </c>
      <c r="M577" s="2" t="s">
        <v>20</v>
      </c>
      <c r="N577" s="2">
        <v>10</v>
      </c>
      <c r="O577" s="2">
        <v>4</v>
      </c>
    </row>
    <row r="578" spans="1:15" x14ac:dyDescent="0.3">
      <c r="A578" s="2" t="s">
        <v>1232</v>
      </c>
      <c r="B578" s="2" t="s">
        <v>1233</v>
      </c>
      <c r="C578" s="2" t="s">
        <v>95</v>
      </c>
      <c r="D578" s="2">
        <v>41</v>
      </c>
      <c r="E578" s="2" t="s">
        <v>68</v>
      </c>
      <c r="F578" s="2" t="s">
        <v>25</v>
      </c>
      <c r="G578" s="2" t="s">
        <v>87</v>
      </c>
      <c r="H578" s="2">
        <v>0</v>
      </c>
      <c r="I578" s="9" t="s">
        <v>117</v>
      </c>
      <c r="J578" s="2">
        <v>5</v>
      </c>
      <c r="K578" s="3">
        <v>0.9</v>
      </c>
      <c r="L578" s="2" t="s">
        <v>69</v>
      </c>
      <c r="M578" s="2" t="s">
        <v>20</v>
      </c>
      <c r="N578" s="2">
        <v>4</v>
      </c>
      <c r="O578" s="2">
        <v>1</v>
      </c>
    </row>
    <row r="579" spans="1:15" x14ac:dyDescent="0.3">
      <c r="A579" s="2" t="s">
        <v>1234</v>
      </c>
      <c r="B579" s="2" t="s">
        <v>1235</v>
      </c>
      <c r="C579" s="2" t="s">
        <v>77</v>
      </c>
      <c r="D579" s="2">
        <v>40</v>
      </c>
      <c r="E579" s="2" t="s">
        <v>68</v>
      </c>
      <c r="F579" s="2" t="s">
        <v>25</v>
      </c>
      <c r="G579" s="2" t="s">
        <v>26</v>
      </c>
      <c r="H579" s="2">
        <v>20</v>
      </c>
      <c r="I579" s="9">
        <v>20</v>
      </c>
      <c r="J579" s="2">
        <v>5</v>
      </c>
      <c r="K579" s="3">
        <v>0.92</v>
      </c>
      <c r="L579" s="2" t="s">
        <v>46</v>
      </c>
      <c r="M579" s="2" t="s">
        <v>33</v>
      </c>
      <c r="N579" s="2">
        <v>14</v>
      </c>
      <c r="O579" s="2">
        <v>10</v>
      </c>
    </row>
    <row r="580" spans="1:15" x14ac:dyDescent="0.3">
      <c r="A580" s="2" t="s">
        <v>1236</v>
      </c>
      <c r="B580" s="2" t="s">
        <v>1237</v>
      </c>
      <c r="C580" s="2" t="s">
        <v>95</v>
      </c>
      <c r="D580" s="2">
        <v>45</v>
      </c>
      <c r="E580" s="2" t="s">
        <v>31</v>
      </c>
      <c r="F580" s="2" t="s">
        <v>31</v>
      </c>
      <c r="G580" s="2" t="s">
        <v>87</v>
      </c>
      <c r="H580" s="2">
        <v>3</v>
      </c>
      <c r="I580" s="9" t="s">
        <v>117</v>
      </c>
      <c r="J580" s="2">
        <v>5</v>
      </c>
      <c r="K580" s="3">
        <v>0.91</v>
      </c>
      <c r="L580" s="2" t="s">
        <v>69</v>
      </c>
      <c r="M580" s="2" t="s">
        <v>58</v>
      </c>
      <c r="N580" s="2">
        <v>5</v>
      </c>
      <c r="O580" s="2">
        <v>1</v>
      </c>
    </row>
    <row r="581" spans="1:15" x14ac:dyDescent="0.3">
      <c r="A581" s="2" t="s">
        <v>1238</v>
      </c>
      <c r="B581" s="2" t="s">
        <v>1239</v>
      </c>
      <c r="C581" s="2" t="s">
        <v>95</v>
      </c>
      <c r="D581" s="2">
        <v>47</v>
      </c>
      <c r="E581" s="2" t="s">
        <v>135</v>
      </c>
      <c r="F581" s="2" t="s">
        <v>136</v>
      </c>
      <c r="G581" s="2" t="s">
        <v>87</v>
      </c>
      <c r="H581" s="2">
        <v>28</v>
      </c>
      <c r="I581" s="9" t="s">
        <v>64</v>
      </c>
      <c r="J581" s="2">
        <v>1</v>
      </c>
      <c r="K581" s="3">
        <v>0.5</v>
      </c>
      <c r="L581" s="2" t="s">
        <v>46</v>
      </c>
      <c r="M581" s="2" t="s">
        <v>20</v>
      </c>
      <c r="N581" s="2">
        <v>18</v>
      </c>
      <c r="O581" s="2">
        <v>13</v>
      </c>
    </row>
    <row r="582" spans="1:15" x14ac:dyDescent="0.3">
      <c r="A582" s="2" t="s">
        <v>1240</v>
      </c>
      <c r="B582" s="2" t="s">
        <v>1241</v>
      </c>
      <c r="C582" s="2" t="s">
        <v>95</v>
      </c>
      <c r="D582" s="2">
        <v>34</v>
      </c>
      <c r="E582" s="2" t="s">
        <v>91</v>
      </c>
      <c r="F582" s="2" t="s">
        <v>92</v>
      </c>
      <c r="G582" s="2" t="s">
        <v>52</v>
      </c>
      <c r="H582" s="2">
        <v>0</v>
      </c>
      <c r="I582" s="9">
        <v>40</v>
      </c>
      <c r="J582" s="2">
        <v>5</v>
      </c>
      <c r="K582" s="3">
        <v>0.98</v>
      </c>
      <c r="L582" s="2" t="s">
        <v>65</v>
      </c>
      <c r="M582" s="2" t="s">
        <v>58</v>
      </c>
      <c r="N582" s="2">
        <v>1</v>
      </c>
      <c r="O582" s="2">
        <v>3</v>
      </c>
    </row>
    <row r="583" spans="1:15" x14ac:dyDescent="0.3">
      <c r="A583" s="2" t="s">
        <v>1242</v>
      </c>
      <c r="B583" s="2" t="s">
        <v>1243</v>
      </c>
      <c r="C583" s="2" t="s">
        <v>95</v>
      </c>
      <c r="D583" s="2">
        <v>47</v>
      </c>
      <c r="E583" s="2" t="s">
        <v>57</v>
      </c>
      <c r="F583" s="2" t="s">
        <v>25</v>
      </c>
      <c r="G583" s="2" t="s">
        <v>74</v>
      </c>
      <c r="H583" s="2">
        <v>4</v>
      </c>
      <c r="I583" s="9" t="s">
        <v>117</v>
      </c>
      <c r="J583" s="2">
        <v>4</v>
      </c>
      <c r="K583" s="3">
        <v>0.82</v>
      </c>
      <c r="L583" s="2" t="s">
        <v>19</v>
      </c>
      <c r="M583" s="2" t="s">
        <v>58</v>
      </c>
      <c r="N583" s="2">
        <v>5</v>
      </c>
      <c r="O583" s="2">
        <v>2</v>
      </c>
    </row>
    <row r="584" spans="1:15" x14ac:dyDescent="0.3">
      <c r="A584" s="2" t="s">
        <v>1244</v>
      </c>
      <c r="B584" s="2" t="s">
        <v>1245</v>
      </c>
      <c r="C584" s="2" t="s">
        <v>95</v>
      </c>
      <c r="D584" s="2">
        <v>32</v>
      </c>
      <c r="E584" s="2" t="s">
        <v>172</v>
      </c>
      <c r="F584" s="2" t="s">
        <v>73</v>
      </c>
      <c r="G584" s="2" t="s">
        <v>74</v>
      </c>
      <c r="H584" s="2">
        <v>9</v>
      </c>
      <c r="I584" s="9" t="s">
        <v>38</v>
      </c>
      <c r="J584" s="2">
        <v>4</v>
      </c>
      <c r="K584" s="3">
        <v>0.83</v>
      </c>
      <c r="L584" s="2" t="s">
        <v>19</v>
      </c>
      <c r="M584" s="2" t="s">
        <v>33</v>
      </c>
      <c r="N584" s="2">
        <v>10</v>
      </c>
      <c r="O584" s="2">
        <v>4</v>
      </c>
    </row>
    <row r="585" spans="1:15" x14ac:dyDescent="0.3">
      <c r="A585" s="2" t="s">
        <v>1246</v>
      </c>
      <c r="B585" s="2" t="s">
        <v>1247</v>
      </c>
      <c r="C585" s="2" t="s">
        <v>95</v>
      </c>
      <c r="D585" s="2">
        <v>28</v>
      </c>
      <c r="E585" s="2" t="s">
        <v>68</v>
      </c>
      <c r="F585" s="2" t="s">
        <v>25</v>
      </c>
      <c r="G585" s="2" t="s">
        <v>26</v>
      </c>
      <c r="H585" s="2">
        <v>2</v>
      </c>
      <c r="I585" s="9" t="s">
        <v>222</v>
      </c>
      <c r="J585" s="2">
        <v>1</v>
      </c>
      <c r="K585" s="3">
        <v>0.5</v>
      </c>
      <c r="L585" s="2" t="s">
        <v>65</v>
      </c>
      <c r="M585" s="2" t="s">
        <v>20</v>
      </c>
      <c r="N585" s="2">
        <v>5</v>
      </c>
      <c r="O585" s="2">
        <v>2</v>
      </c>
    </row>
    <row r="586" spans="1:15" x14ac:dyDescent="0.3">
      <c r="A586" s="2" t="s">
        <v>1248</v>
      </c>
      <c r="B586" s="2" t="s">
        <v>1249</v>
      </c>
      <c r="C586" s="2" t="s">
        <v>95</v>
      </c>
      <c r="D586" s="2">
        <v>32</v>
      </c>
      <c r="E586" s="2" t="s">
        <v>24</v>
      </c>
      <c r="F586" s="2" t="s">
        <v>25</v>
      </c>
      <c r="G586" s="2" t="s">
        <v>87</v>
      </c>
      <c r="H586" s="2">
        <v>1</v>
      </c>
      <c r="I586" s="9">
        <v>100</v>
      </c>
      <c r="J586" s="2">
        <v>1</v>
      </c>
      <c r="K586" s="3">
        <v>0.5</v>
      </c>
      <c r="L586" s="2" t="s">
        <v>19</v>
      </c>
      <c r="M586" s="2" t="s">
        <v>33</v>
      </c>
      <c r="N586" s="2">
        <v>3</v>
      </c>
      <c r="O586" s="2">
        <v>1</v>
      </c>
    </row>
    <row r="587" spans="1:15" x14ac:dyDescent="0.3">
      <c r="A587" s="2" t="s">
        <v>1250</v>
      </c>
      <c r="B587" s="2" t="s">
        <v>1251</v>
      </c>
      <c r="C587" s="2" t="s">
        <v>77</v>
      </c>
      <c r="D587" s="2">
        <v>49</v>
      </c>
      <c r="E587" s="2" t="s">
        <v>42</v>
      </c>
      <c r="F587" s="2" t="s">
        <v>43</v>
      </c>
      <c r="G587" s="2" t="s">
        <v>44</v>
      </c>
      <c r="H587" s="2">
        <v>2</v>
      </c>
      <c r="I587" s="9" t="s">
        <v>222</v>
      </c>
      <c r="J587" s="2">
        <v>4</v>
      </c>
      <c r="K587" s="3">
        <v>0.85</v>
      </c>
      <c r="L587" s="2" t="s">
        <v>19</v>
      </c>
      <c r="M587" s="2" t="s">
        <v>33</v>
      </c>
      <c r="N587" s="2">
        <v>5</v>
      </c>
      <c r="O587" s="2">
        <v>1</v>
      </c>
    </row>
    <row r="588" spans="1:15" x14ac:dyDescent="0.3">
      <c r="A588" s="2" t="s">
        <v>1252</v>
      </c>
      <c r="B588" s="2" t="s">
        <v>1253</v>
      </c>
      <c r="C588" s="2" t="s">
        <v>77</v>
      </c>
      <c r="D588" s="2">
        <v>36</v>
      </c>
      <c r="E588" s="2" t="s">
        <v>72</v>
      </c>
      <c r="F588" s="2" t="s">
        <v>73</v>
      </c>
      <c r="G588" s="2" t="s">
        <v>26</v>
      </c>
      <c r="H588" s="2">
        <v>16</v>
      </c>
      <c r="I588" s="9" t="s">
        <v>117</v>
      </c>
      <c r="J588" s="2">
        <v>1</v>
      </c>
      <c r="K588" s="3">
        <v>0.5</v>
      </c>
      <c r="L588" s="2" t="s">
        <v>46</v>
      </c>
      <c r="M588" s="2" t="s">
        <v>20</v>
      </c>
      <c r="N588" s="2">
        <v>18</v>
      </c>
      <c r="O588" s="2">
        <v>2</v>
      </c>
    </row>
    <row r="589" spans="1:15" x14ac:dyDescent="0.3">
      <c r="A589" s="2" t="s">
        <v>1254</v>
      </c>
      <c r="B589" s="2" t="s">
        <v>1255</v>
      </c>
      <c r="C589" s="2" t="s">
        <v>95</v>
      </c>
      <c r="D589" s="2">
        <v>59</v>
      </c>
      <c r="E589" s="2" t="s">
        <v>172</v>
      </c>
      <c r="F589" s="2" t="s">
        <v>73</v>
      </c>
      <c r="G589" s="2" t="s">
        <v>18</v>
      </c>
      <c r="H589" s="2">
        <v>22</v>
      </c>
      <c r="I589" s="9" t="s">
        <v>117</v>
      </c>
      <c r="J589" s="2">
        <v>2</v>
      </c>
      <c r="K589" s="3">
        <v>0.63</v>
      </c>
      <c r="L589" s="2" t="s">
        <v>65</v>
      </c>
      <c r="M589" s="2" t="s">
        <v>20</v>
      </c>
      <c r="N589" s="2">
        <v>16</v>
      </c>
      <c r="O589" s="2">
        <v>6</v>
      </c>
    </row>
    <row r="590" spans="1:15" x14ac:dyDescent="0.3">
      <c r="A590" s="2" t="s">
        <v>1256</v>
      </c>
      <c r="B590" s="2" t="s">
        <v>1257</v>
      </c>
      <c r="C590" s="2" t="s">
        <v>77</v>
      </c>
      <c r="D590" s="2">
        <v>52</v>
      </c>
      <c r="E590" s="2" t="s">
        <v>124</v>
      </c>
      <c r="F590" s="2" t="s">
        <v>25</v>
      </c>
      <c r="G590" s="2" t="s">
        <v>78</v>
      </c>
      <c r="H590" s="2">
        <v>22</v>
      </c>
      <c r="I590" s="9" t="s">
        <v>117</v>
      </c>
      <c r="J590" s="2">
        <v>1</v>
      </c>
      <c r="K590" s="3">
        <v>0.5</v>
      </c>
      <c r="L590" s="2" t="s">
        <v>69</v>
      </c>
      <c r="M590" s="2" t="s">
        <v>27</v>
      </c>
      <c r="N590" s="2">
        <v>14</v>
      </c>
      <c r="O590" s="2">
        <v>10</v>
      </c>
    </row>
    <row r="591" spans="1:15" x14ac:dyDescent="0.3">
      <c r="A591" s="2" t="s">
        <v>1258</v>
      </c>
      <c r="B591" s="2" t="s">
        <v>1259</v>
      </c>
      <c r="C591" s="2" t="s">
        <v>77</v>
      </c>
      <c r="D591" s="2">
        <v>24</v>
      </c>
      <c r="E591" s="2" t="s">
        <v>168</v>
      </c>
      <c r="F591" s="2" t="s">
        <v>169</v>
      </c>
      <c r="G591" s="2" t="s">
        <v>18</v>
      </c>
      <c r="H591" s="2">
        <v>5</v>
      </c>
      <c r="I591" s="9">
        <v>40</v>
      </c>
      <c r="J591" s="2">
        <v>4</v>
      </c>
      <c r="K591" s="3">
        <v>0.86</v>
      </c>
      <c r="L591" s="2" t="s">
        <v>46</v>
      </c>
      <c r="M591" s="2" t="s">
        <v>27</v>
      </c>
      <c r="N591" s="2">
        <v>4</v>
      </c>
      <c r="O591" s="2">
        <v>2</v>
      </c>
    </row>
    <row r="592" spans="1:15" x14ac:dyDescent="0.3">
      <c r="A592" s="2" t="s">
        <v>1260</v>
      </c>
      <c r="B592" s="2" t="s">
        <v>1261</v>
      </c>
      <c r="C592" s="2" t="s">
        <v>77</v>
      </c>
      <c r="D592" s="2">
        <v>26</v>
      </c>
      <c r="E592" s="2" t="s">
        <v>24</v>
      </c>
      <c r="F592" s="2" t="s">
        <v>25</v>
      </c>
      <c r="G592" s="2" t="s">
        <v>32</v>
      </c>
      <c r="H592" s="2">
        <v>2</v>
      </c>
      <c r="I592" s="9" t="s">
        <v>163</v>
      </c>
      <c r="J592" s="2">
        <v>2</v>
      </c>
      <c r="K592" s="3">
        <v>0.6</v>
      </c>
      <c r="L592" s="2" t="s">
        <v>65</v>
      </c>
      <c r="M592" s="2" t="s">
        <v>58</v>
      </c>
      <c r="N592" s="2">
        <v>5</v>
      </c>
      <c r="O592" s="2">
        <v>1</v>
      </c>
    </row>
    <row r="593" spans="1:15" x14ac:dyDescent="0.3">
      <c r="A593" s="2" t="s">
        <v>1262</v>
      </c>
      <c r="B593" s="2" t="s">
        <v>1263</v>
      </c>
      <c r="C593" s="2" t="s">
        <v>95</v>
      </c>
      <c r="D593" s="2">
        <v>55</v>
      </c>
      <c r="E593" s="2" t="s">
        <v>124</v>
      </c>
      <c r="F593" s="2" t="s">
        <v>25</v>
      </c>
      <c r="G593" s="2" t="s">
        <v>78</v>
      </c>
      <c r="H593" s="2">
        <v>24</v>
      </c>
      <c r="I593" s="9">
        <v>40</v>
      </c>
      <c r="J593" s="2">
        <v>4</v>
      </c>
      <c r="K593" s="3">
        <v>0.88</v>
      </c>
      <c r="L593" s="2" t="s">
        <v>46</v>
      </c>
      <c r="M593" s="2" t="s">
        <v>20</v>
      </c>
      <c r="N593" s="2">
        <v>15</v>
      </c>
      <c r="O593" s="2">
        <v>3</v>
      </c>
    </row>
    <row r="594" spans="1:15" x14ac:dyDescent="0.3">
      <c r="A594" s="2" t="s">
        <v>1264</v>
      </c>
      <c r="B594" s="2" t="s">
        <v>1265</v>
      </c>
      <c r="C594" s="2" t="s">
        <v>77</v>
      </c>
      <c r="D594" s="2">
        <v>56</v>
      </c>
      <c r="E594" s="2" t="s">
        <v>16</v>
      </c>
      <c r="F594" s="2" t="s">
        <v>17</v>
      </c>
      <c r="G594" s="2" t="s">
        <v>26</v>
      </c>
      <c r="H594" s="2">
        <v>37</v>
      </c>
      <c r="I594" s="9">
        <v>40</v>
      </c>
      <c r="J594" s="2">
        <v>3</v>
      </c>
      <c r="K594" s="3">
        <v>0.7</v>
      </c>
      <c r="L594" s="2" t="s">
        <v>69</v>
      </c>
      <c r="M594" s="2" t="s">
        <v>27</v>
      </c>
      <c r="N594" s="2">
        <v>11</v>
      </c>
      <c r="O594" s="2">
        <v>9</v>
      </c>
    </row>
    <row r="595" spans="1:15" x14ac:dyDescent="0.3">
      <c r="A595" s="2" t="s">
        <v>1266</v>
      </c>
      <c r="B595" s="2" t="s">
        <v>1267</v>
      </c>
      <c r="C595" s="2" t="s">
        <v>95</v>
      </c>
      <c r="D595" s="2">
        <v>36</v>
      </c>
      <c r="E595" s="2" t="s">
        <v>131</v>
      </c>
      <c r="F595" s="2" t="s">
        <v>132</v>
      </c>
      <c r="G595" s="2" t="s">
        <v>32</v>
      </c>
      <c r="H595" s="2">
        <v>3</v>
      </c>
      <c r="I595" s="9" t="s">
        <v>64</v>
      </c>
      <c r="J595" s="2">
        <v>3</v>
      </c>
      <c r="K595" s="3">
        <v>0.77</v>
      </c>
      <c r="L595" s="2" t="s">
        <v>69</v>
      </c>
      <c r="M595" s="2" t="s">
        <v>58</v>
      </c>
      <c r="N595" s="2">
        <v>2</v>
      </c>
      <c r="O595" s="2">
        <v>4</v>
      </c>
    </row>
    <row r="596" spans="1:15" x14ac:dyDescent="0.3">
      <c r="A596" s="2" t="s">
        <v>1268</v>
      </c>
      <c r="B596" s="2" t="s">
        <v>1269</v>
      </c>
      <c r="C596" s="2" t="s">
        <v>95</v>
      </c>
      <c r="D596" s="2">
        <v>48</v>
      </c>
      <c r="E596" s="2" t="s">
        <v>72</v>
      </c>
      <c r="F596" s="2" t="s">
        <v>73</v>
      </c>
      <c r="G596" s="2" t="s">
        <v>37</v>
      </c>
      <c r="H596" s="2">
        <v>18</v>
      </c>
      <c r="I596" s="9">
        <v>75</v>
      </c>
      <c r="J596" s="2">
        <v>4</v>
      </c>
      <c r="K596" s="3">
        <v>0.8</v>
      </c>
      <c r="L596" s="2" t="s">
        <v>65</v>
      </c>
      <c r="M596" s="2" t="s">
        <v>58</v>
      </c>
      <c r="N596" s="2">
        <v>20</v>
      </c>
      <c r="O596" s="2">
        <v>5</v>
      </c>
    </row>
    <row r="597" spans="1:15" x14ac:dyDescent="0.3">
      <c r="A597" s="2" t="s">
        <v>1270</v>
      </c>
      <c r="B597" s="2" t="s">
        <v>1271</v>
      </c>
      <c r="C597" s="2" t="s">
        <v>95</v>
      </c>
      <c r="D597" s="2">
        <v>55</v>
      </c>
      <c r="E597" s="2" t="s">
        <v>135</v>
      </c>
      <c r="F597" s="2" t="s">
        <v>136</v>
      </c>
      <c r="G597" s="2" t="s">
        <v>110</v>
      </c>
      <c r="H597" s="2">
        <v>6</v>
      </c>
      <c r="I597" s="9" t="s">
        <v>38</v>
      </c>
      <c r="J597" s="2">
        <v>1</v>
      </c>
      <c r="K597" s="3">
        <v>0.5</v>
      </c>
      <c r="L597" s="2" t="s">
        <v>69</v>
      </c>
      <c r="M597" s="2" t="s">
        <v>58</v>
      </c>
      <c r="N597" s="2">
        <v>13</v>
      </c>
      <c r="O597" s="2">
        <v>3</v>
      </c>
    </row>
    <row r="598" spans="1:15" x14ac:dyDescent="0.3">
      <c r="A598" s="2" t="s">
        <v>1272</v>
      </c>
      <c r="B598" s="2" t="s">
        <v>1273</v>
      </c>
      <c r="C598" s="2" t="s">
        <v>77</v>
      </c>
      <c r="D598" s="2">
        <v>56</v>
      </c>
      <c r="E598" s="2" t="s">
        <v>183</v>
      </c>
      <c r="F598" s="2" t="s">
        <v>73</v>
      </c>
      <c r="G598" s="2" t="s">
        <v>87</v>
      </c>
      <c r="H598" s="2">
        <v>17</v>
      </c>
      <c r="I598" s="9">
        <v>61.410256410256409</v>
      </c>
      <c r="J598" s="2">
        <v>4</v>
      </c>
      <c r="K598" s="3">
        <v>0.87</v>
      </c>
      <c r="L598" s="2" t="s">
        <v>46</v>
      </c>
      <c r="M598" s="2" t="s">
        <v>27</v>
      </c>
      <c r="N598" s="2">
        <v>12</v>
      </c>
      <c r="O598" s="2">
        <v>5</v>
      </c>
    </row>
    <row r="599" spans="1:15" x14ac:dyDescent="0.3">
      <c r="A599" s="2" t="s">
        <v>1274</v>
      </c>
      <c r="B599" s="2" t="s">
        <v>1275</v>
      </c>
      <c r="C599" s="2" t="s">
        <v>77</v>
      </c>
      <c r="D599" s="2">
        <v>28</v>
      </c>
      <c r="E599" s="2" t="s">
        <v>124</v>
      </c>
      <c r="F599" s="2" t="s">
        <v>25</v>
      </c>
      <c r="G599" s="2" t="s">
        <v>18</v>
      </c>
      <c r="H599" s="2">
        <v>1</v>
      </c>
      <c r="I599" s="9">
        <v>75</v>
      </c>
      <c r="J599" s="2">
        <v>5</v>
      </c>
      <c r="K599" s="3">
        <v>0.93</v>
      </c>
      <c r="L599" s="2" t="s">
        <v>69</v>
      </c>
      <c r="M599" s="2" t="s">
        <v>20</v>
      </c>
      <c r="N599" s="2">
        <v>1</v>
      </c>
      <c r="O599" s="2">
        <v>2</v>
      </c>
    </row>
    <row r="600" spans="1:15" x14ac:dyDescent="0.3">
      <c r="A600" s="2" t="s">
        <v>1276</v>
      </c>
      <c r="B600" s="2" t="s">
        <v>1277</v>
      </c>
      <c r="C600" s="2" t="s">
        <v>95</v>
      </c>
      <c r="D600" s="2">
        <v>60</v>
      </c>
      <c r="E600" s="2" t="s">
        <v>57</v>
      </c>
      <c r="F600" s="2" t="s">
        <v>25</v>
      </c>
      <c r="G600" s="2" t="s">
        <v>44</v>
      </c>
      <c r="H600" s="2">
        <v>39</v>
      </c>
      <c r="I600" s="9" t="s">
        <v>222</v>
      </c>
      <c r="J600" s="2">
        <v>4</v>
      </c>
      <c r="K600" s="3">
        <v>0.88</v>
      </c>
      <c r="L600" s="2" t="s">
        <v>46</v>
      </c>
      <c r="M600" s="2" t="s">
        <v>33</v>
      </c>
      <c r="N600" s="2">
        <v>19</v>
      </c>
      <c r="O600" s="2">
        <v>4</v>
      </c>
    </row>
    <row r="601" spans="1:15" x14ac:dyDescent="0.3">
      <c r="A601" s="2" t="s">
        <v>1278</v>
      </c>
      <c r="B601" s="2" t="s">
        <v>1279</v>
      </c>
      <c r="C601" s="2" t="s">
        <v>95</v>
      </c>
      <c r="D601" s="2">
        <v>34</v>
      </c>
      <c r="E601" s="2" t="s">
        <v>108</v>
      </c>
      <c r="F601" s="2" t="s">
        <v>109</v>
      </c>
      <c r="G601" s="2" t="s">
        <v>18</v>
      </c>
      <c r="H601" s="2">
        <v>15</v>
      </c>
      <c r="I601" s="9">
        <v>20</v>
      </c>
      <c r="J601" s="2">
        <v>5</v>
      </c>
      <c r="K601" s="3">
        <v>1</v>
      </c>
      <c r="L601" s="2" t="s">
        <v>46</v>
      </c>
      <c r="M601" s="2" t="s">
        <v>58</v>
      </c>
      <c r="N601" s="2">
        <v>13</v>
      </c>
      <c r="O601" s="2">
        <v>3</v>
      </c>
    </row>
    <row r="602" spans="1:15" x14ac:dyDescent="0.3">
      <c r="A602" s="2" t="s">
        <v>1280</v>
      </c>
      <c r="B602" s="2" t="s">
        <v>1281</v>
      </c>
      <c r="C602" s="2" t="s">
        <v>77</v>
      </c>
      <c r="D602" s="2">
        <v>38</v>
      </c>
      <c r="E602" s="2" t="s">
        <v>50</v>
      </c>
      <c r="F602" s="2" t="s">
        <v>51</v>
      </c>
      <c r="G602" s="2" t="s">
        <v>44</v>
      </c>
      <c r="H602" s="2">
        <v>13</v>
      </c>
      <c r="I602" s="9" t="s">
        <v>38</v>
      </c>
      <c r="J602" s="2">
        <v>2</v>
      </c>
      <c r="K602" s="3">
        <v>0.61</v>
      </c>
      <c r="L602" s="2" t="s">
        <v>69</v>
      </c>
      <c r="M602" s="2" t="s">
        <v>27</v>
      </c>
      <c r="N602" s="2">
        <v>13</v>
      </c>
      <c r="O602" s="2">
        <v>2</v>
      </c>
    </row>
    <row r="603" spans="1:15" x14ac:dyDescent="0.3">
      <c r="A603" s="2" t="s">
        <v>1282</v>
      </c>
      <c r="B603" s="2" t="s">
        <v>1283</v>
      </c>
      <c r="C603" s="2" t="s">
        <v>77</v>
      </c>
      <c r="D603" s="2">
        <v>51</v>
      </c>
      <c r="E603" s="2" t="s">
        <v>108</v>
      </c>
      <c r="F603" s="2" t="s">
        <v>109</v>
      </c>
      <c r="G603" s="2" t="s">
        <v>37</v>
      </c>
      <c r="H603" s="2">
        <v>17</v>
      </c>
      <c r="I603" s="9">
        <v>100</v>
      </c>
      <c r="J603" s="2">
        <v>3</v>
      </c>
      <c r="K603" s="3">
        <v>0.79</v>
      </c>
      <c r="L603" s="2" t="s">
        <v>65</v>
      </c>
      <c r="M603" s="2" t="s">
        <v>27</v>
      </c>
      <c r="N603" s="2">
        <v>13</v>
      </c>
      <c r="O603" s="2">
        <v>1</v>
      </c>
    </row>
    <row r="604" spans="1:15" x14ac:dyDescent="0.3">
      <c r="A604" s="2" t="s">
        <v>1284</v>
      </c>
      <c r="B604" s="2" t="s">
        <v>1285</v>
      </c>
      <c r="C604" s="2" t="s">
        <v>77</v>
      </c>
      <c r="D604" s="2">
        <v>21</v>
      </c>
      <c r="E604" s="2" t="s">
        <v>83</v>
      </c>
      <c r="F604" s="2" t="s">
        <v>84</v>
      </c>
      <c r="G604" s="2" t="s">
        <v>26</v>
      </c>
      <c r="H604" s="2">
        <v>1</v>
      </c>
      <c r="I604" s="9">
        <v>30</v>
      </c>
      <c r="J604" s="2">
        <v>3</v>
      </c>
      <c r="K604" s="3">
        <v>0.73</v>
      </c>
      <c r="L604" s="2" t="s">
        <v>19</v>
      </c>
      <c r="M604" s="2" t="s">
        <v>33</v>
      </c>
      <c r="N604" s="2">
        <v>1</v>
      </c>
      <c r="O604" s="2">
        <v>1</v>
      </c>
    </row>
    <row r="605" spans="1:15" x14ac:dyDescent="0.3">
      <c r="A605" s="2" t="s">
        <v>1286</v>
      </c>
      <c r="B605" s="2" t="s">
        <v>1287</v>
      </c>
      <c r="C605" s="2" t="s">
        <v>95</v>
      </c>
      <c r="D605" s="2">
        <v>35</v>
      </c>
      <c r="E605" s="2" t="s">
        <v>16</v>
      </c>
      <c r="F605" s="2" t="s">
        <v>17</v>
      </c>
      <c r="G605" s="2" t="s">
        <v>74</v>
      </c>
      <c r="H605" s="2">
        <v>16</v>
      </c>
      <c r="I605" s="9">
        <v>62</v>
      </c>
      <c r="J605" s="2">
        <v>2</v>
      </c>
      <c r="K605" s="3">
        <v>0.64</v>
      </c>
      <c r="L605" s="2" t="s">
        <v>69</v>
      </c>
      <c r="M605" s="2" t="s">
        <v>33</v>
      </c>
      <c r="N605" s="2">
        <v>12</v>
      </c>
      <c r="O605" s="2">
        <v>18</v>
      </c>
    </row>
    <row r="606" spans="1:15" x14ac:dyDescent="0.3">
      <c r="A606" s="2" t="s">
        <v>1288</v>
      </c>
      <c r="B606" s="2" t="s">
        <v>1289</v>
      </c>
      <c r="C606" s="2" t="s">
        <v>95</v>
      </c>
      <c r="D606" s="2">
        <v>27</v>
      </c>
      <c r="E606" s="2" t="s">
        <v>104</v>
      </c>
      <c r="F606" s="2" t="s">
        <v>105</v>
      </c>
      <c r="G606" s="2" t="s">
        <v>37</v>
      </c>
      <c r="H606" s="2">
        <v>9</v>
      </c>
      <c r="I606" s="9" t="s">
        <v>222</v>
      </c>
      <c r="J606" s="2">
        <v>1</v>
      </c>
      <c r="K606" s="3">
        <v>0.5</v>
      </c>
      <c r="L606" s="2" t="s">
        <v>46</v>
      </c>
      <c r="M606" s="2" t="s">
        <v>27</v>
      </c>
      <c r="N606" s="2">
        <v>13</v>
      </c>
      <c r="O606" s="2">
        <v>6</v>
      </c>
    </row>
    <row r="607" spans="1:15" x14ac:dyDescent="0.3">
      <c r="A607" s="2" t="s">
        <v>1290</v>
      </c>
      <c r="B607" s="2" t="s">
        <v>1291</v>
      </c>
      <c r="C607" s="2" t="s">
        <v>77</v>
      </c>
      <c r="D607" s="2">
        <v>42</v>
      </c>
      <c r="E607" s="2" t="s">
        <v>62</v>
      </c>
      <c r="F607" s="2" t="s">
        <v>63</v>
      </c>
      <c r="G607" s="2" t="s">
        <v>26</v>
      </c>
      <c r="H607" s="2">
        <v>20</v>
      </c>
      <c r="I607" s="9" t="s">
        <v>64</v>
      </c>
      <c r="J607" s="2">
        <v>5</v>
      </c>
      <c r="K607" s="3">
        <v>0.93</v>
      </c>
      <c r="L607" s="2" t="s">
        <v>46</v>
      </c>
      <c r="M607" s="2" t="s">
        <v>20</v>
      </c>
      <c r="N607" s="2">
        <v>10</v>
      </c>
      <c r="O607" s="2">
        <v>14</v>
      </c>
    </row>
    <row r="608" spans="1:15" x14ac:dyDescent="0.3">
      <c r="A608" s="2" t="s">
        <v>1292</v>
      </c>
      <c r="B608" s="2" t="s">
        <v>1293</v>
      </c>
      <c r="C608" s="2" t="s">
        <v>77</v>
      </c>
      <c r="D608" s="2">
        <v>52</v>
      </c>
      <c r="E608" s="2" t="s">
        <v>124</v>
      </c>
      <c r="F608" s="2" t="s">
        <v>25</v>
      </c>
      <c r="G608" s="2" t="s">
        <v>18</v>
      </c>
      <c r="H608" s="2">
        <v>29</v>
      </c>
      <c r="I608" s="9">
        <v>30</v>
      </c>
      <c r="J608" s="2">
        <v>2</v>
      </c>
      <c r="K608" s="3">
        <v>0.68</v>
      </c>
      <c r="L608" s="2" t="s">
        <v>69</v>
      </c>
      <c r="M608" s="2" t="s">
        <v>33</v>
      </c>
      <c r="N608" s="2">
        <v>14</v>
      </c>
      <c r="O608" s="2">
        <v>7</v>
      </c>
    </row>
    <row r="609" spans="1:15" x14ac:dyDescent="0.3">
      <c r="A609" s="2" t="s">
        <v>1294</v>
      </c>
      <c r="B609" s="2" t="s">
        <v>1295</v>
      </c>
      <c r="C609" s="2" t="s">
        <v>95</v>
      </c>
      <c r="D609" s="2">
        <v>53</v>
      </c>
      <c r="E609" s="2" t="s">
        <v>108</v>
      </c>
      <c r="F609" s="2" t="s">
        <v>109</v>
      </c>
      <c r="G609" s="2" t="s">
        <v>37</v>
      </c>
      <c r="H609" s="2">
        <v>21</v>
      </c>
      <c r="I609" s="9">
        <v>40</v>
      </c>
      <c r="J609" s="2">
        <v>2</v>
      </c>
      <c r="K609" s="3">
        <v>0.62</v>
      </c>
      <c r="L609" s="2" t="s">
        <v>65</v>
      </c>
      <c r="M609" s="2" t="s">
        <v>27</v>
      </c>
      <c r="N609" s="2">
        <v>19</v>
      </c>
      <c r="O609" s="2">
        <v>15</v>
      </c>
    </row>
    <row r="610" spans="1:15" x14ac:dyDescent="0.3">
      <c r="A610" s="2" t="s">
        <v>1296</v>
      </c>
      <c r="B610" s="2" t="s">
        <v>1297</v>
      </c>
      <c r="C610" s="2" t="s">
        <v>77</v>
      </c>
      <c r="D610" s="2">
        <v>54</v>
      </c>
      <c r="E610" s="2" t="s">
        <v>16</v>
      </c>
      <c r="F610" s="2" t="s">
        <v>17</v>
      </c>
      <c r="G610" s="2" t="s">
        <v>26</v>
      </c>
      <c r="H610" s="2">
        <v>28</v>
      </c>
      <c r="I610" s="9" t="s">
        <v>38</v>
      </c>
      <c r="J610" s="2">
        <v>1</v>
      </c>
      <c r="K610" s="3">
        <v>0.5</v>
      </c>
      <c r="L610" s="2" t="s">
        <v>65</v>
      </c>
      <c r="M610" s="2" t="s">
        <v>33</v>
      </c>
      <c r="N610" s="2">
        <v>13</v>
      </c>
      <c r="O610" s="2">
        <v>2</v>
      </c>
    </row>
    <row r="611" spans="1:15" x14ac:dyDescent="0.3">
      <c r="A611" s="2" t="s">
        <v>1298</v>
      </c>
      <c r="B611" s="2" t="s">
        <v>1299</v>
      </c>
      <c r="C611" s="2" t="s">
        <v>95</v>
      </c>
      <c r="D611" s="2">
        <v>51</v>
      </c>
      <c r="E611" s="2" t="s">
        <v>83</v>
      </c>
      <c r="F611" s="2" t="s">
        <v>84</v>
      </c>
      <c r="G611" s="2" t="s">
        <v>32</v>
      </c>
      <c r="H611" s="2">
        <v>5</v>
      </c>
      <c r="I611" s="9">
        <v>50</v>
      </c>
      <c r="J611" s="2">
        <v>4</v>
      </c>
      <c r="K611" s="3">
        <v>0.82</v>
      </c>
      <c r="L611" s="2" t="s">
        <v>46</v>
      </c>
      <c r="M611" s="2" t="s">
        <v>20</v>
      </c>
      <c r="N611" s="2">
        <v>4</v>
      </c>
      <c r="O611" s="2">
        <v>2</v>
      </c>
    </row>
    <row r="612" spans="1:15" x14ac:dyDescent="0.3">
      <c r="A612" s="2" t="s">
        <v>1300</v>
      </c>
      <c r="B612" s="2" t="s">
        <v>1301</v>
      </c>
      <c r="C612" s="2" t="s">
        <v>77</v>
      </c>
      <c r="D612" s="2">
        <v>30</v>
      </c>
      <c r="E612" s="2" t="s">
        <v>108</v>
      </c>
      <c r="F612" s="2" t="s">
        <v>109</v>
      </c>
      <c r="G612" s="2" t="s">
        <v>37</v>
      </c>
      <c r="H612" s="2">
        <v>0</v>
      </c>
      <c r="I612" s="9">
        <v>64.0625</v>
      </c>
      <c r="J612" s="2">
        <v>1</v>
      </c>
      <c r="K612" s="3">
        <v>0.5</v>
      </c>
      <c r="L612" s="2" t="s">
        <v>46</v>
      </c>
      <c r="M612" s="2" t="s">
        <v>58</v>
      </c>
      <c r="N612" s="2">
        <v>1</v>
      </c>
      <c r="O612" s="2">
        <v>5</v>
      </c>
    </row>
    <row r="613" spans="1:15" x14ac:dyDescent="0.3">
      <c r="A613" s="2" t="s">
        <v>1302</v>
      </c>
      <c r="B613" s="2" t="s">
        <v>1303</v>
      </c>
      <c r="C613" s="2" t="s">
        <v>77</v>
      </c>
      <c r="D613" s="2">
        <v>45</v>
      </c>
      <c r="E613" s="2" t="s">
        <v>42</v>
      </c>
      <c r="F613" s="2" t="s">
        <v>43</v>
      </c>
      <c r="G613" s="2" t="s">
        <v>110</v>
      </c>
      <c r="H613" s="2">
        <v>27</v>
      </c>
      <c r="I613" s="9" t="s">
        <v>163</v>
      </c>
      <c r="J613" s="2">
        <v>4</v>
      </c>
      <c r="K613" s="3">
        <v>0.85</v>
      </c>
      <c r="L613" s="2" t="s">
        <v>65</v>
      </c>
      <c r="M613" s="2" t="s">
        <v>33</v>
      </c>
      <c r="N613" s="2">
        <v>20</v>
      </c>
      <c r="O613" s="2">
        <v>2</v>
      </c>
    </row>
    <row r="614" spans="1:15" x14ac:dyDescent="0.3">
      <c r="A614" s="2" t="s">
        <v>1304</v>
      </c>
      <c r="B614" s="2" t="s">
        <v>1305</v>
      </c>
      <c r="C614" s="2" t="s">
        <v>95</v>
      </c>
      <c r="D614" s="2">
        <v>57</v>
      </c>
      <c r="E614" s="2" t="s">
        <v>50</v>
      </c>
      <c r="F614" s="2" t="s">
        <v>51</v>
      </c>
      <c r="G614" s="2" t="s">
        <v>32</v>
      </c>
      <c r="H614" s="2">
        <v>26</v>
      </c>
      <c r="I614" s="9" t="s">
        <v>222</v>
      </c>
      <c r="J614" s="2">
        <v>3</v>
      </c>
      <c r="K614" s="3">
        <v>0.78</v>
      </c>
      <c r="L614" s="2" t="s">
        <v>19</v>
      </c>
      <c r="M614" s="2" t="s">
        <v>20</v>
      </c>
      <c r="N614" s="2">
        <v>13</v>
      </c>
      <c r="O614" s="2">
        <v>11</v>
      </c>
    </row>
    <row r="615" spans="1:15" x14ac:dyDescent="0.3">
      <c r="A615" s="2" t="s">
        <v>1306</v>
      </c>
      <c r="B615" s="2" t="s">
        <v>1307</v>
      </c>
      <c r="C615" s="2" t="s">
        <v>95</v>
      </c>
      <c r="D615" s="2">
        <v>38</v>
      </c>
      <c r="E615" s="2" t="s">
        <v>62</v>
      </c>
      <c r="F615" s="2" t="s">
        <v>63</v>
      </c>
      <c r="G615" s="2" t="s">
        <v>18</v>
      </c>
      <c r="H615" s="2">
        <v>19</v>
      </c>
      <c r="I615" s="9">
        <v>40</v>
      </c>
      <c r="J615" s="2">
        <v>4</v>
      </c>
      <c r="K615" s="3">
        <v>0.86</v>
      </c>
      <c r="L615" s="2" t="s">
        <v>69</v>
      </c>
      <c r="M615" s="2" t="s">
        <v>27</v>
      </c>
      <c r="N615" s="2">
        <v>17</v>
      </c>
      <c r="O615" s="2">
        <v>5</v>
      </c>
    </row>
    <row r="616" spans="1:15" x14ac:dyDescent="0.3">
      <c r="A616" s="2" t="s">
        <v>1308</v>
      </c>
      <c r="B616" s="2" t="s">
        <v>1309</v>
      </c>
      <c r="C616" s="2" t="s">
        <v>77</v>
      </c>
      <c r="D616" s="2">
        <v>42</v>
      </c>
      <c r="E616" s="2" t="s">
        <v>120</v>
      </c>
      <c r="F616" s="2" t="s">
        <v>121</v>
      </c>
      <c r="G616" s="2" t="s">
        <v>87</v>
      </c>
      <c r="H616" s="2">
        <v>24</v>
      </c>
      <c r="I616" s="9" t="s">
        <v>38</v>
      </c>
      <c r="J616" s="2">
        <v>4</v>
      </c>
      <c r="K616" s="3">
        <v>0.88</v>
      </c>
      <c r="L616" s="2" t="s">
        <v>46</v>
      </c>
      <c r="M616" s="2" t="s">
        <v>33</v>
      </c>
      <c r="N616" s="2">
        <v>12</v>
      </c>
      <c r="O616" s="2">
        <v>3</v>
      </c>
    </row>
    <row r="617" spans="1:15" x14ac:dyDescent="0.3">
      <c r="A617" s="2" t="s">
        <v>1310</v>
      </c>
      <c r="B617" s="2" t="s">
        <v>1311</v>
      </c>
      <c r="C617" s="2" t="s">
        <v>77</v>
      </c>
      <c r="D617" s="2">
        <v>30</v>
      </c>
      <c r="E617" s="2" t="s">
        <v>147</v>
      </c>
      <c r="F617" s="2" t="s">
        <v>148</v>
      </c>
      <c r="G617" s="2" t="s">
        <v>87</v>
      </c>
      <c r="H617" s="2">
        <v>7</v>
      </c>
      <c r="I617" s="9">
        <v>30</v>
      </c>
      <c r="J617" s="2">
        <v>2</v>
      </c>
      <c r="K617" s="3">
        <v>0.68</v>
      </c>
      <c r="L617" s="2" t="s">
        <v>46</v>
      </c>
      <c r="M617" s="2" t="s">
        <v>33</v>
      </c>
      <c r="N617" s="2">
        <v>8</v>
      </c>
      <c r="O617" s="2">
        <v>14</v>
      </c>
    </row>
    <row r="618" spans="1:15" x14ac:dyDescent="0.3">
      <c r="A618" s="2" t="s">
        <v>1312</v>
      </c>
      <c r="B618" s="2" t="s">
        <v>1313</v>
      </c>
      <c r="C618" s="2" t="s">
        <v>77</v>
      </c>
      <c r="D618" s="2">
        <v>43</v>
      </c>
      <c r="E618" s="2" t="s">
        <v>24</v>
      </c>
      <c r="F618" s="2" t="s">
        <v>25</v>
      </c>
      <c r="G618" s="2" t="s">
        <v>37</v>
      </c>
      <c r="H618" s="2">
        <v>13</v>
      </c>
      <c r="I618" s="9" t="s">
        <v>222</v>
      </c>
      <c r="J618" s="2">
        <v>5</v>
      </c>
      <c r="K618" s="3">
        <v>0.97</v>
      </c>
      <c r="L618" s="2" t="s">
        <v>65</v>
      </c>
      <c r="M618" s="2" t="s">
        <v>27</v>
      </c>
      <c r="N618" s="2">
        <v>7</v>
      </c>
      <c r="O618" s="2">
        <v>4</v>
      </c>
    </row>
    <row r="619" spans="1:15" x14ac:dyDescent="0.3">
      <c r="A619" s="2" t="s">
        <v>1314</v>
      </c>
      <c r="B619" s="2" t="s">
        <v>1315</v>
      </c>
      <c r="C619" s="2" t="s">
        <v>95</v>
      </c>
      <c r="D619" s="2">
        <v>22</v>
      </c>
      <c r="E619" s="2" t="s">
        <v>135</v>
      </c>
      <c r="F619" s="2" t="s">
        <v>136</v>
      </c>
      <c r="G619" s="2" t="s">
        <v>74</v>
      </c>
      <c r="H619" s="2">
        <v>2</v>
      </c>
      <c r="I619" s="9" t="s">
        <v>163</v>
      </c>
      <c r="J619" s="2">
        <v>5</v>
      </c>
      <c r="K619" s="3">
        <v>0.91</v>
      </c>
      <c r="L619" s="2" t="s">
        <v>69</v>
      </c>
      <c r="M619" s="2" t="s">
        <v>58</v>
      </c>
      <c r="N619" s="2">
        <v>5</v>
      </c>
      <c r="O619" s="2">
        <v>1</v>
      </c>
    </row>
    <row r="620" spans="1:15" x14ac:dyDescent="0.3">
      <c r="A620" s="2" t="s">
        <v>1316</v>
      </c>
      <c r="B620" s="2" t="s">
        <v>1317</v>
      </c>
      <c r="C620" s="2" t="s">
        <v>95</v>
      </c>
      <c r="D620" s="2">
        <v>57</v>
      </c>
      <c r="E620" s="2" t="s">
        <v>172</v>
      </c>
      <c r="F620" s="2" t="s">
        <v>73</v>
      </c>
      <c r="G620" s="2" t="s">
        <v>110</v>
      </c>
      <c r="H620" s="2">
        <v>37</v>
      </c>
      <c r="I620" s="9">
        <v>30</v>
      </c>
      <c r="J620" s="2">
        <v>1</v>
      </c>
      <c r="K620" s="3">
        <v>0.5</v>
      </c>
      <c r="L620" s="2" t="s">
        <v>65</v>
      </c>
      <c r="M620" s="2" t="s">
        <v>27</v>
      </c>
      <c r="N620" s="2">
        <v>10</v>
      </c>
      <c r="O620" s="2">
        <v>7</v>
      </c>
    </row>
    <row r="621" spans="1:15" x14ac:dyDescent="0.3">
      <c r="A621" s="2" t="s">
        <v>1318</v>
      </c>
      <c r="B621" s="2" t="s">
        <v>1319</v>
      </c>
      <c r="C621" s="2" t="s">
        <v>95</v>
      </c>
      <c r="D621" s="2">
        <v>44</v>
      </c>
      <c r="E621" s="2" t="s">
        <v>68</v>
      </c>
      <c r="F621" s="2" t="s">
        <v>25</v>
      </c>
      <c r="G621" s="2" t="s">
        <v>32</v>
      </c>
      <c r="H621" s="2">
        <v>1</v>
      </c>
      <c r="I621" s="9">
        <v>67.241379310344826</v>
      </c>
      <c r="J621" s="2">
        <v>5</v>
      </c>
      <c r="K621" s="3">
        <v>0.97</v>
      </c>
      <c r="L621" s="2" t="s">
        <v>69</v>
      </c>
      <c r="M621" s="2" t="s">
        <v>33</v>
      </c>
      <c r="N621" s="2">
        <v>1</v>
      </c>
      <c r="O621" s="2">
        <v>1</v>
      </c>
    </row>
    <row r="622" spans="1:15" x14ac:dyDescent="0.3">
      <c r="A622" s="2" t="s">
        <v>1320</v>
      </c>
      <c r="B622" s="2" t="s">
        <v>1321</v>
      </c>
      <c r="C622" s="2" t="s">
        <v>77</v>
      </c>
      <c r="D622" s="2">
        <v>46</v>
      </c>
      <c r="E622" s="2" t="s">
        <v>168</v>
      </c>
      <c r="F622" s="2" t="s">
        <v>169</v>
      </c>
      <c r="G622" s="2" t="s">
        <v>87</v>
      </c>
      <c r="H622" s="2">
        <v>5</v>
      </c>
      <c r="I622" s="9" t="s">
        <v>45</v>
      </c>
      <c r="J622" s="2">
        <v>2</v>
      </c>
      <c r="K622" s="3">
        <v>0.64</v>
      </c>
      <c r="L622" s="2" t="s">
        <v>69</v>
      </c>
      <c r="M622" s="2" t="s">
        <v>27</v>
      </c>
      <c r="N622" s="2">
        <v>3</v>
      </c>
      <c r="O622" s="2">
        <v>1</v>
      </c>
    </row>
    <row r="623" spans="1:15" x14ac:dyDescent="0.3">
      <c r="A623" s="2" t="s">
        <v>1322</v>
      </c>
      <c r="B623" s="2" t="s">
        <v>1323</v>
      </c>
      <c r="C623" s="2" t="s">
        <v>95</v>
      </c>
      <c r="D623" s="2">
        <v>41</v>
      </c>
      <c r="E623" s="2" t="s">
        <v>183</v>
      </c>
      <c r="F623" s="2" t="s">
        <v>73</v>
      </c>
      <c r="G623" s="2" t="s">
        <v>18</v>
      </c>
      <c r="H623" s="2">
        <v>1</v>
      </c>
      <c r="I623" s="9" t="s">
        <v>64</v>
      </c>
      <c r="J623" s="2">
        <v>4</v>
      </c>
      <c r="K623" s="3">
        <v>0.87</v>
      </c>
      <c r="L623" s="2" t="s">
        <v>69</v>
      </c>
      <c r="M623" s="2" t="s">
        <v>20</v>
      </c>
      <c r="N623" s="2">
        <v>3</v>
      </c>
      <c r="O623" s="2">
        <v>1</v>
      </c>
    </row>
    <row r="624" spans="1:15" x14ac:dyDescent="0.3">
      <c r="A624" s="2" t="s">
        <v>1324</v>
      </c>
      <c r="B624" s="2" t="s">
        <v>1325</v>
      </c>
      <c r="C624" s="2" t="s">
        <v>77</v>
      </c>
      <c r="D624" s="2">
        <v>34</v>
      </c>
      <c r="E624" s="2" t="s">
        <v>24</v>
      </c>
      <c r="F624" s="2" t="s">
        <v>25</v>
      </c>
      <c r="G624" s="2" t="s">
        <v>52</v>
      </c>
      <c r="H624" s="2">
        <v>2</v>
      </c>
      <c r="I624" s="9">
        <v>100</v>
      </c>
      <c r="J624" s="2">
        <v>4</v>
      </c>
      <c r="K624" s="3">
        <v>0.86</v>
      </c>
      <c r="L624" s="2" t="s">
        <v>46</v>
      </c>
      <c r="M624" s="2" t="s">
        <v>27</v>
      </c>
      <c r="N624" s="2">
        <v>5</v>
      </c>
      <c r="O624" s="2">
        <v>1</v>
      </c>
    </row>
    <row r="625" spans="1:15" x14ac:dyDescent="0.3">
      <c r="A625" s="2" t="s">
        <v>1326</v>
      </c>
      <c r="B625" s="2" t="s">
        <v>1327</v>
      </c>
      <c r="C625" s="2" t="s">
        <v>77</v>
      </c>
      <c r="D625" s="2">
        <v>46</v>
      </c>
      <c r="E625" s="2" t="s">
        <v>16</v>
      </c>
      <c r="F625" s="2" t="s">
        <v>17</v>
      </c>
      <c r="G625" s="2" t="s">
        <v>26</v>
      </c>
      <c r="H625" s="10">
        <v>11.507692307692308</v>
      </c>
      <c r="I625" s="9" t="s">
        <v>222</v>
      </c>
      <c r="J625" s="2">
        <v>5</v>
      </c>
      <c r="K625" s="3">
        <v>0.97</v>
      </c>
      <c r="L625" s="2" t="s">
        <v>19</v>
      </c>
      <c r="M625" s="2" t="s">
        <v>33</v>
      </c>
      <c r="N625" s="2">
        <v>2</v>
      </c>
      <c r="O625" s="2">
        <v>3</v>
      </c>
    </row>
    <row r="626" spans="1:15" x14ac:dyDescent="0.3">
      <c r="A626" s="2" t="s">
        <v>1328</v>
      </c>
      <c r="B626" s="2" t="s">
        <v>1329</v>
      </c>
      <c r="C626" s="2" t="s">
        <v>77</v>
      </c>
      <c r="D626" s="2">
        <v>22</v>
      </c>
      <c r="E626" s="2" t="s">
        <v>131</v>
      </c>
      <c r="F626" s="2" t="s">
        <v>132</v>
      </c>
      <c r="G626" s="2" t="s">
        <v>18</v>
      </c>
      <c r="H626" s="2">
        <v>0</v>
      </c>
      <c r="I626" s="9" t="s">
        <v>45</v>
      </c>
      <c r="J626" s="2">
        <v>3</v>
      </c>
      <c r="K626" s="3">
        <v>0.73</v>
      </c>
      <c r="L626" s="2" t="s">
        <v>65</v>
      </c>
      <c r="M626" s="2" t="s">
        <v>27</v>
      </c>
      <c r="N626" s="2">
        <v>3</v>
      </c>
      <c r="O626" s="2">
        <v>2</v>
      </c>
    </row>
    <row r="627" spans="1:15" x14ac:dyDescent="0.3">
      <c r="A627" s="2" t="s">
        <v>1330</v>
      </c>
      <c r="B627" s="2" t="s">
        <v>1331</v>
      </c>
      <c r="C627" s="2" t="s">
        <v>77</v>
      </c>
      <c r="D627" s="2">
        <v>23</v>
      </c>
      <c r="E627" s="2" t="s">
        <v>147</v>
      </c>
      <c r="F627" s="2" t="s">
        <v>148</v>
      </c>
      <c r="G627" s="2" t="s">
        <v>44</v>
      </c>
      <c r="H627" s="2">
        <v>0</v>
      </c>
      <c r="I627" s="9" t="s">
        <v>163</v>
      </c>
      <c r="J627" s="2">
        <v>2</v>
      </c>
      <c r="K627" s="3">
        <v>0.6</v>
      </c>
      <c r="L627" s="2" t="s">
        <v>19</v>
      </c>
      <c r="M627" s="2" t="s">
        <v>58</v>
      </c>
      <c r="N627" s="2">
        <v>4</v>
      </c>
      <c r="O627" s="2">
        <v>1</v>
      </c>
    </row>
    <row r="628" spans="1:15" x14ac:dyDescent="0.3">
      <c r="A628" s="2" t="s">
        <v>1332</v>
      </c>
      <c r="B628" s="2" t="s">
        <v>1333</v>
      </c>
      <c r="C628" s="2" t="s">
        <v>77</v>
      </c>
      <c r="D628" s="2">
        <v>60</v>
      </c>
      <c r="E628" s="2" t="s">
        <v>62</v>
      </c>
      <c r="F628" s="2" t="s">
        <v>63</v>
      </c>
      <c r="G628" s="2" t="s">
        <v>37</v>
      </c>
      <c r="H628" s="2">
        <v>41</v>
      </c>
      <c r="I628" s="9" t="s">
        <v>38</v>
      </c>
      <c r="J628" s="2">
        <v>2</v>
      </c>
      <c r="K628" s="3">
        <v>0.66</v>
      </c>
      <c r="L628" s="2" t="s">
        <v>65</v>
      </c>
      <c r="M628" s="2" t="s">
        <v>27</v>
      </c>
      <c r="N628" s="2">
        <v>20</v>
      </c>
      <c r="O628" s="2">
        <v>19</v>
      </c>
    </row>
    <row r="629" spans="1:15" x14ac:dyDescent="0.3">
      <c r="A629" s="2" t="s">
        <v>1334</v>
      </c>
      <c r="B629" s="2" t="s">
        <v>1335</v>
      </c>
      <c r="C629" s="2" t="s">
        <v>95</v>
      </c>
      <c r="D629" s="2">
        <v>20</v>
      </c>
      <c r="E629" s="2" t="s">
        <v>124</v>
      </c>
      <c r="F629" s="2" t="s">
        <v>25</v>
      </c>
      <c r="G629" s="2" t="s">
        <v>87</v>
      </c>
      <c r="H629" s="10">
        <v>11.191780821917808</v>
      </c>
      <c r="I629" s="9" t="s">
        <v>163</v>
      </c>
      <c r="J629" s="2">
        <v>5</v>
      </c>
      <c r="K629" s="3">
        <v>0.9</v>
      </c>
      <c r="L629" s="2" t="s">
        <v>69</v>
      </c>
      <c r="M629" s="2" t="s">
        <v>58</v>
      </c>
      <c r="N629" s="2">
        <v>1</v>
      </c>
      <c r="O629" s="2">
        <v>2</v>
      </c>
    </row>
    <row r="630" spans="1:15" x14ac:dyDescent="0.3">
      <c r="A630" s="2" t="s">
        <v>1336</v>
      </c>
      <c r="B630" s="2" t="s">
        <v>1337</v>
      </c>
      <c r="C630" s="2" t="s">
        <v>77</v>
      </c>
      <c r="D630" s="2">
        <v>41</v>
      </c>
      <c r="E630" s="2" t="s">
        <v>108</v>
      </c>
      <c r="F630" s="2" t="s">
        <v>109</v>
      </c>
      <c r="G630" s="2" t="s">
        <v>74</v>
      </c>
      <c r="H630" s="2">
        <v>23</v>
      </c>
      <c r="I630" s="9" t="s">
        <v>163</v>
      </c>
      <c r="J630" s="2">
        <v>1</v>
      </c>
      <c r="K630" s="3">
        <v>0.5</v>
      </c>
      <c r="L630" s="2" t="s">
        <v>46</v>
      </c>
      <c r="M630" s="2" t="s">
        <v>20</v>
      </c>
      <c r="N630" s="2">
        <v>11</v>
      </c>
      <c r="O630" s="2">
        <v>4</v>
      </c>
    </row>
    <row r="631" spans="1:15" x14ac:dyDescent="0.3">
      <c r="A631" s="2" t="s">
        <v>1338</v>
      </c>
      <c r="B631" s="2" t="s">
        <v>1339</v>
      </c>
      <c r="C631" s="2" t="s">
        <v>95</v>
      </c>
      <c r="D631" s="2">
        <v>24</v>
      </c>
      <c r="E631" s="2" t="s">
        <v>131</v>
      </c>
      <c r="F631" s="2" t="s">
        <v>132</v>
      </c>
      <c r="G631" s="2" t="s">
        <v>26</v>
      </c>
      <c r="H631" s="2">
        <v>0</v>
      </c>
      <c r="I631" s="9">
        <v>100</v>
      </c>
      <c r="J631" s="2">
        <v>1</v>
      </c>
      <c r="K631" s="3">
        <v>0.5</v>
      </c>
      <c r="L631" s="2" t="s">
        <v>19</v>
      </c>
      <c r="M631" s="2" t="s">
        <v>58</v>
      </c>
      <c r="N631" s="2">
        <v>5</v>
      </c>
      <c r="O631" s="2">
        <v>1</v>
      </c>
    </row>
    <row r="632" spans="1:15" x14ac:dyDescent="0.3">
      <c r="A632" s="2" t="s">
        <v>1340</v>
      </c>
      <c r="B632" s="2" t="s">
        <v>1341</v>
      </c>
      <c r="C632" s="2" t="s">
        <v>95</v>
      </c>
      <c r="D632" s="2">
        <v>44</v>
      </c>
      <c r="E632" s="2" t="s">
        <v>42</v>
      </c>
      <c r="F632" s="2" t="s">
        <v>43</v>
      </c>
      <c r="G632" s="2" t="s">
        <v>110</v>
      </c>
      <c r="H632" s="2">
        <v>4</v>
      </c>
      <c r="I632" s="9">
        <v>64.81481481481481</v>
      </c>
      <c r="J632" s="2">
        <v>3</v>
      </c>
      <c r="K632" s="3">
        <v>0.77</v>
      </c>
      <c r="L632" s="2" t="s">
        <v>46</v>
      </c>
      <c r="M632" s="2" t="s">
        <v>27</v>
      </c>
      <c r="N632" s="2">
        <v>3</v>
      </c>
      <c r="O632" s="2">
        <v>3</v>
      </c>
    </row>
    <row r="633" spans="1:15" x14ac:dyDescent="0.3">
      <c r="A633" s="2" t="s">
        <v>1342</v>
      </c>
      <c r="B633" s="2" t="s">
        <v>1343</v>
      </c>
      <c r="C633" s="2" t="s">
        <v>95</v>
      </c>
      <c r="D633" s="2">
        <v>52</v>
      </c>
      <c r="E633" s="2" t="s">
        <v>168</v>
      </c>
      <c r="F633" s="2" t="s">
        <v>169</v>
      </c>
      <c r="G633" s="2" t="s">
        <v>74</v>
      </c>
      <c r="H633" s="2">
        <v>4</v>
      </c>
      <c r="I633" s="9">
        <v>75</v>
      </c>
      <c r="J633" s="2">
        <v>3</v>
      </c>
      <c r="K633" s="3">
        <v>0.79</v>
      </c>
      <c r="L633" s="2" t="s">
        <v>65</v>
      </c>
      <c r="M633" s="2" t="s">
        <v>33</v>
      </c>
      <c r="N633" s="2">
        <v>1</v>
      </c>
      <c r="O633" s="2">
        <v>2</v>
      </c>
    </row>
    <row r="634" spans="1:15" x14ac:dyDescent="0.3">
      <c r="A634" s="2" t="s">
        <v>1344</v>
      </c>
      <c r="B634" s="2" t="s">
        <v>1345</v>
      </c>
      <c r="C634" s="2" t="s">
        <v>95</v>
      </c>
      <c r="D634" s="2">
        <v>35</v>
      </c>
      <c r="E634" s="2" t="s">
        <v>183</v>
      </c>
      <c r="F634" s="2" t="s">
        <v>73</v>
      </c>
      <c r="G634" s="2" t="s">
        <v>110</v>
      </c>
      <c r="H634" s="2">
        <v>13</v>
      </c>
      <c r="I634" s="9">
        <v>40</v>
      </c>
      <c r="J634" s="2">
        <v>4</v>
      </c>
      <c r="K634" s="3">
        <v>0.83</v>
      </c>
      <c r="L634" s="2" t="s">
        <v>46</v>
      </c>
      <c r="M634" s="2" t="s">
        <v>58</v>
      </c>
      <c r="N634" s="2">
        <v>14</v>
      </c>
      <c r="O634" s="2">
        <v>4</v>
      </c>
    </row>
    <row r="635" spans="1:15" x14ac:dyDescent="0.3">
      <c r="A635" s="2" t="s">
        <v>1346</v>
      </c>
      <c r="B635" s="2" t="s">
        <v>1347</v>
      </c>
      <c r="C635" s="2" t="s">
        <v>77</v>
      </c>
      <c r="D635" s="2">
        <v>24</v>
      </c>
      <c r="E635" s="2" t="s">
        <v>42</v>
      </c>
      <c r="F635" s="2" t="s">
        <v>43</v>
      </c>
      <c r="G635" s="2" t="s">
        <v>87</v>
      </c>
      <c r="H635" s="2">
        <v>2</v>
      </c>
      <c r="I635" s="9" t="s">
        <v>64</v>
      </c>
      <c r="J635" s="2">
        <v>2</v>
      </c>
      <c r="K635" s="3">
        <v>0.64</v>
      </c>
      <c r="L635" s="2" t="s">
        <v>46</v>
      </c>
      <c r="M635" s="2" t="s">
        <v>20</v>
      </c>
      <c r="N635" s="2">
        <v>4</v>
      </c>
      <c r="O635" s="2">
        <v>2</v>
      </c>
    </row>
    <row r="636" spans="1:15" x14ac:dyDescent="0.3">
      <c r="A636" s="2" t="s">
        <v>1348</v>
      </c>
      <c r="B636" s="2" t="s">
        <v>1349</v>
      </c>
      <c r="C636" s="2" t="s">
        <v>77</v>
      </c>
      <c r="D636" s="2">
        <v>46</v>
      </c>
      <c r="E636" s="2" t="s">
        <v>24</v>
      </c>
      <c r="F636" s="2" t="s">
        <v>25</v>
      </c>
      <c r="G636" s="2" t="s">
        <v>78</v>
      </c>
      <c r="H636" s="2">
        <v>25</v>
      </c>
      <c r="I636" s="9" t="s">
        <v>222</v>
      </c>
      <c r="J636" s="2">
        <v>4</v>
      </c>
      <c r="K636" s="3">
        <v>0.8</v>
      </c>
      <c r="L636" s="2" t="s">
        <v>19</v>
      </c>
      <c r="M636" s="2" t="s">
        <v>58</v>
      </c>
      <c r="N636" s="2">
        <v>18</v>
      </c>
      <c r="O636" s="2">
        <v>5</v>
      </c>
    </row>
    <row r="637" spans="1:15" x14ac:dyDescent="0.3">
      <c r="A637" s="2" t="s">
        <v>1350</v>
      </c>
      <c r="B637" s="2" t="s">
        <v>1351</v>
      </c>
      <c r="C637" s="2" t="s">
        <v>95</v>
      </c>
      <c r="D637" s="2">
        <v>57</v>
      </c>
      <c r="E637" s="2" t="s">
        <v>172</v>
      </c>
      <c r="F637" s="2" t="s">
        <v>73</v>
      </c>
      <c r="G637" s="2" t="s">
        <v>26</v>
      </c>
      <c r="H637" s="2">
        <v>18</v>
      </c>
      <c r="I637" s="9" t="s">
        <v>45</v>
      </c>
      <c r="J637" s="2">
        <v>5</v>
      </c>
      <c r="K637" s="3">
        <v>0.9</v>
      </c>
      <c r="L637" s="2" t="s">
        <v>69</v>
      </c>
      <c r="M637" s="2" t="s">
        <v>58</v>
      </c>
      <c r="N637" s="2">
        <v>13</v>
      </c>
      <c r="O637" s="2">
        <v>6</v>
      </c>
    </row>
    <row r="638" spans="1:15" x14ac:dyDescent="0.3">
      <c r="A638" s="2" t="s">
        <v>1352</v>
      </c>
      <c r="B638" s="2" t="s">
        <v>1353</v>
      </c>
      <c r="C638" s="2" t="s">
        <v>77</v>
      </c>
      <c r="D638" s="2">
        <v>49</v>
      </c>
      <c r="E638" s="2" t="s">
        <v>172</v>
      </c>
      <c r="F638" s="2" t="s">
        <v>73</v>
      </c>
      <c r="G638" s="2" t="s">
        <v>37</v>
      </c>
      <c r="H638" s="2">
        <v>24</v>
      </c>
      <c r="I638" s="9" t="s">
        <v>64</v>
      </c>
      <c r="J638" s="2">
        <v>5</v>
      </c>
      <c r="K638" s="3">
        <v>0.94</v>
      </c>
      <c r="L638" s="2" t="s">
        <v>46</v>
      </c>
      <c r="M638" s="2" t="s">
        <v>58</v>
      </c>
      <c r="N638" s="2">
        <v>14</v>
      </c>
      <c r="O638" s="2">
        <v>8</v>
      </c>
    </row>
    <row r="639" spans="1:15" x14ac:dyDescent="0.3">
      <c r="A639" s="2" t="s">
        <v>1354</v>
      </c>
      <c r="B639" s="2" t="s">
        <v>1355</v>
      </c>
      <c r="C639" s="2" t="s">
        <v>95</v>
      </c>
      <c r="D639" s="2">
        <v>41</v>
      </c>
      <c r="E639" s="2" t="s">
        <v>83</v>
      </c>
      <c r="F639" s="2" t="s">
        <v>84</v>
      </c>
      <c r="G639" s="2" t="s">
        <v>44</v>
      </c>
      <c r="H639" s="2">
        <v>7</v>
      </c>
      <c r="I639" s="9">
        <v>40</v>
      </c>
      <c r="J639" s="2">
        <v>3</v>
      </c>
      <c r="K639" s="3">
        <v>0.7</v>
      </c>
      <c r="L639" s="2" t="s">
        <v>69</v>
      </c>
      <c r="M639" s="2" t="s">
        <v>20</v>
      </c>
      <c r="N639" s="2">
        <v>14</v>
      </c>
      <c r="O639" s="2">
        <v>6</v>
      </c>
    </row>
    <row r="640" spans="1:15" x14ac:dyDescent="0.3">
      <c r="A640" s="2" t="s">
        <v>1356</v>
      </c>
      <c r="B640" s="2" t="s">
        <v>1357</v>
      </c>
      <c r="C640" s="2" t="s">
        <v>95</v>
      </c>
      <c r="D640" s="2">
        <v>22</v>
      </c>
      <c r="E640" s="2" t="s">
        <v>172</v>
      </c>
      <c r="F640" s="2" t="s">
        <v>73</v>
      </c>
      <c r="G640" s="2" t="s">
        <v>110</v>
      </c>
      <c r="H640" s="2">
        <v>1</v>
      </c>
      <c r="I640" s="9" t="s">
        <v>117</v>
      </c>
      <c r="J640" s="2">
        <v>3</v>
      </c>
      <c r="K640" s="3">
        <v>0.75</v>
      </c>
      <c r="L640" s="2" t="s">
        <v>65</v>
      </c>
      <c r="M640" s="2" t="s">
        <v>27</v>
      </c>
      <c r="N640" s="2">
        <v>1</v>
      </c>
      <c r="O640" s="2">
        <v>1</v>
      </c>
    </row>
    <row r="641" spans="1:15" x14ac:dyDescent="0.3">
      <c r="A641" s="2" t="s">
        <v>1358</v>
      </c>
      <c r="B641" s="2" t="s">
        <v>1359</v>
      </c>
      <c r="C641" s="2" t="s">
        <v>95</v>
      </c>
      <c r="D641" s="2">
        <v>50</v>
      </c>
      <c r="E641" s="2" t="s">
        <v>24</v>
      </c>
      <c r="F641" s="2" t="s">
        <v>25</v>
      </c>
      <c r="G641" s="2" t="s">
        <v>18</v>
      </c>
      <c r="H641" s="2">
        <v>17</v>
      </c>
      <c r="I641" s="9">
        <v>75</v>
      </c>
      <c r="J641" s="2">
        <v>2</v>
      </c>
      <c r="K641" s="3">
        <v>0.69</v>
      </c>
      <c r="L641" s="2" t="s">
        <v>46</v>
      </c>
      <c r="M641" s="2" t="s">
        <v>58</v>
      </c>
      <c r="N641" s="2">
        <v>15</v>
      </c>
      <c r="O641" s="2">
        <v>9</v>
      </c>
    </row>
    <row r="642" spans="1:15" x14ac:dyDescent="0.3">
      <c r="A642" s="2" t="s">
        <v>1360</v>
      </c>
      <c r="B642" s="2" t="s">
        <v>1361</v>
      </c>
      <c r="C642" s="2" t="s">
        <v>95</v>
      </c>
      <c r="D642" s="2">
        <v>57</v>
      </c>
      <c r="E642" s="2" t="s">
        <v>31</v>
      </c>
      <c r="F642" s="2" t="s">
        <v>31</v>
      </c>
      <c r="G642" s="2" t="s">
        <v>32</v>
      </c>
      <c r="H642" s="2">
        <v>4</v>
      </c>
      <c r="I642" s="9" t="s">
        <v>45</v>
      </c>
      <c r="J642" s="2">
        <v>1</v>
      </c>
      <c r="K642" s="3">
        <v>0.5</v>
      </c>
      <c r="L642" s="2" t="s">
        <v>19</v>
      </c>
      <c r="M642" s="2" t="s">
        <v>58</v>
      </c>
      <c r="N642" s="2">
        <v>5</v>
      </c>
      <c r="O642" s="2">
        <v>2</v>
      </c>
    </row>
    <row r="643" spans="1:15" x14ac:dyDescent="0.3">
      <c r="A643" s="2" t="s">
        <v>1362</v>
      </c>
      <c r="B643" s="2" t="s">
        <v>1363</v>
      </c>
      <c r="C643" s="2" t="s">
        <v>77</v>
      </c>
      <c r="D643" s="2">
        <v>47</v>
      </c>
      <c r="E643" s="2" t="s">
        <v>172</v>
      </c>
      <c r="F643" s="2" t="s">
        <v>73</v>
      </c>
      <c r="G643" s="2" t="s">
        <v>44</v>
      </c>
      <c r="H643" s="2">
        <v>29</v>
      </c>
      <c r="I643" s="9" t="s">
        <v>64</v>
      </c>
      <c r="J643" s="2">
        <v>3</v>
      </c>
      <c r="K643" s="3">
        <v>0.79</v>
      </c>
      <c r="L643" s="2" t="s">
        <v>65</v>
      </c>
      <c r="M643" s="2" t="s">
        <v>33</v>
      </c>
      <c r="N643" s="2">
        <v>14</v>
      </c>
      <c r="O643" s="2">
        <v>5</v>
      </c>
    </row>
    <row r="644" spans="1:15" x14ac:dyDescent="0.3">
      <c r="A644" s="2" t="s">
        <v>1364</v>
      </c>
      <c r="B644" s="2" t="s">
        <v>1365</v>
      </c>
      <c r="C644" s="2" t="s">
        <v>95</v>
      </c>
      <c r="D644" s="2">
        <v>24</v>
      </c>
      <c r="E644" s="2" t="s">
        <v>147</v>
      </c>
      <c r="F644" s="2" t="s">
        <v>148</v>
      </c>
      <c r="G644" s="2" t="s">
        <v>52</v>
      </c>
      <c r="H644" s="2">
        <v>2</v>
      </c>
      <c r="I644" s="9" t="s">
        <v>222</v>
      </c>
      <c r="J644" s="2">
        <v>3</v>
      </c>
      <c r="K644" s="3">
        <v>0.71</v>
      </c>
      <c r="L644" s="2" t="s">
        <v>65</v>
      </c>
      <c r="M644" s="2" t="s">
        <v>20</v>
      </c>
      <c r="N644" s="2">
        <v>5</v>
      </c>
      <c r="O644" s="2">
        <v>1</v>
      </c>
    </row>
    <row r="645" spans="1:15" x14ac:dyDescent="0.3">
      <c r="A645" s="2" t="s">
        <v>1366</v>
      </c>
      <c r="B645" s="2" t="s">
        <v>1367</v>
      </c>
      <c r="C645" s="2" t="s">
        <v>95</v>
      </c>
      <c r="D645" s="2">
        <v>41</v>
      </c>
      <c r="E645" s="2" t="s">
        <v>91</v>
      </c>
      <c r="F645" s="2" t="s">
        <v>92</v>
      </c>
      <c r="G645" s="2" t="s">
        <v>78</v>
      </c>
      <c r="H645" s="2">
        <v>9</v>
      </c>
      <c r="I645" s="9">
        <v>100</v>
      </c>
      <c r="J645" s="2">
        <v>3</v>
      </c>
      <c r="K645" s="3">
        <v>0.72</v>
      </c>
      <c r="L645" s="2" t="s">
        <v>19</v>
      </c>
      <c r="M645" s="2" t="s">
        <v>58</v>
      </c>
      <c r="N645" s="2">
        <v>12</v>
      </c>
      <c r="O645" s="2">
        <v>10</v>
      </c>
    </row>
    <row r="646" spans="1:15" x14ac:dyDescent="0.3">
      <c r="A646" s="2" t="s">
        <v>1368</v>
      </c>
      <c r="B646" s="2" t="s">
        <v>1369</v>
      </c>
      <c r="C646" s="2" t="s">
        <v>77</v>
      </c>
      <c r="D646" s="2">
        <v>50</v>
      </c>
      <c r="E646" s="2" t="s">
        <v>31</v>
      </c>
      <c r="F646" s="2" t="s">
        <v>31</v>
      </c>
      <c r="G646" s="2" t="s">
        <v>87</v>
      </c>
      <c r="H646" s="2">
        <v>10</v>
      </c>
      <c r="I646" s="9" t="s">
        <v>222</v>
      </c>
      <c r="J646" s="2">
        <v>5</v>
      </c>
      <c r="K646" s="3">
        <v>0.93</v>
      </c>
      <c r="L646" s="2" t="s">
        <v>46</v>
      </c>
      <c r="M646" s="2" t="s">
        <v>20</v>
      </c>
      <c r="N646" s="2">
        <v>8</v>
      </c>
      <c r="O646" s="2">
        <v>5</v>
      </c>
    </row>
    <row r="647" spans="1:15" x14ac:dyDescent="0.3">
      <c r="A647" s="2" t="s">
        <v>1370</v>
      </c>
      <c r="B647" s="2" t="s">
        <v>1371</v>
      </c>
      <c r="C647" s="2" t="s">
        <v>95</v>
      </c>
      <c r="D647" s="2">
        <v>46</v>
      </c>
      <c r="E647" s="2" t="s">
        <v>104</v>
      </c>
      <c r="F647" s="2" t="s">
        <v>105</v>
      </c>
      <c r="G647" s="2" t="s">
        <v>110</v>
      </c>
      <c r="H647" s="2">
        <v>20</v>
      </c>
      <c r="I647" s="9">
        <v>64.545454545454547</v>
      </c>
      <c r="J647" s="2">
        <v>4</v>
      </c>
      <c r="K647" s="3">
        <v>0.82</v>
      </c>
      <c r="L647" s="2" t="s">
        <v>46</v>
      </c>
      <c r="M647" s="2" t="s">
        <v>58</v>
      </c>
      <c r="N647" s="2">
        <v>10</v>
      </c>
      <c r="O647" s="2">
        <v>9</v>
      </c>
    </row>
    <row r="648" spans="1:15" x14ac:dyDescent="0.3">
      <c r="A648" s="2" t="s">
        <v>1372</v>
      </c>
      <c r="B648" s="2" t="s">
        <v>1373</v>
      </c>
      <c r="C648" s="2" t="s">
        <v>95</v>
      </c>
      <c r="D648" s="2">
        <v>51</v>
      </c>
      <c r="E648" s="2" t="s">
        <v>24</v>
      </c>
      <c r="F648" s="2" t="s">
        <v>25</v>
      </c>
      <c r="G648" s="2" t="s">
        <v>78</v>
      </c>
      <c r="H648" s="2">
        <v>9</v>
      </c>
      <c r="I648" s="9" t="s">
        <v>38</v>
      </c>
      <c r="J648" s="2">
        <v>2</v>
      </c>
      <c r="K648" s="3">
        <v>0.6</v>
      </c>
      <c r="L648" s="2" t="s">
        <v>65</v>
      </c>
      <c r="M648" s="2" t="s">
        <v>27</v>
      </c>
      <c r="N648" s="2">
        <v>12</v>
      </c>
      <c r="O648" s="2">
        <v>5</v>
      </c>
    </row>
    <row r="649" spans="1:15" x14ac:dyDescent="0.3">
      <c r="A649" s="2" t="s">
        <v>1374</v>
      </c>
      <c r="B649" s="2" t="s">
        <v>1375</v>
      </c>
      <c r="C649" s="2" t="s">
        <v>95</v>
      </c>
      <c r="D649" s="2">
        <v>51</v>
      </c>
      <c r="E649" s="2" t="s">
        <v>68</v>
      </c>
      <c r="F649" s="2" t="s">
        <v>25</v>
      </c>
      <c r="G649" s="2" t="s">
        <v>44</v>
      </c>
      <c r="H649" s="2">
        <v>12</v>
      </c>
      <c r="I649" s="9">
        <v>20</v>
      </c>
      <c r="J649" s="2">
        <v>5</v>
      </c>
      <c r="K649" s="3">
        <v>0.93</v>
      </c>
      <c r="L649" s="2" t="s">
        <v>46</v>
      </c>
      <c r="M649" s="2" t="s">
        <v>27</v>
      </c>
      <c r="N649" s="2">
        <v>15</v>
      </c>
      <c r="O649" s="2">
        <v>3</v>
      </c>
    </row>
    <row r="650" spans="1:15" x14ac:dyDescent="0.3">
      <c r="A650" s="2" t="s">
        <v>1376</v>
      </c>
      <c r="B650" s="2" t="s">
        <v>1377</v>
      </c>
      <c r="C650" s="2" t="s">
        <v>95</v>
      </c>
      <c r="D650" s="2">
        <v>27</v>
      </c>
      <c r="E650" s="2" t="s">
        <v>68</v>
      </c>
      <c r="F650" s="2" t="s">
        <v>25</v>
      </c>
      <c r="G650" s="2" t="s">
        <v>44</v>
      </c>
      <c r="H650" s="2">
        <v>3</v>
      </c>
      <c r="I650" s="9" t="s">
        <v>64</v>
      </c>
      <c r="J650" s="2">
        <v>1</v>
      </c>
      <c r="K650" s="3">
        <v>0.5</v>
      </c>
      <c r="L650" s="2" t="s">
        <v>69</v>
      </c>
      <c r="M650" s="2" t="s">
        <v>58</v>
      </c>
      <c r="N650" s="2">
        <v>1</v>
      </c>
      <c r="O650" s="2">
        <v>3</v>
      </c>
    </row>
    <row r="651" spans="1:15" x14ac:dyDescent="0.3">
      <c r="A651" s="2" t="s">
        <v>1378</v>
      </c>
      <c r="B651" s="2" t="s">
        <v>1379</v>
      </c>
      <c r="C651" s="2" t="s">
        <v>95</v>
      </c>
      <c r="D651" s="2">
        <v>42</v>
      </c>
      <c r="E651" s="2" t="s">
        <v>183</v>
      </c>
      <c r="F651" s="2" t="s">
        <v>73</v>
      </c>
      <c r="G651" s="2" t="s">
        <v>37</v>
      </c>
      <c r="H651" s="2">
        <v>13</v>
      </c>
      <c r="I651" s="9">
        <v>30</v>
      </c>
      <c r="J651" s="2">
        <v>3</v>
      </c>
      <c r="K651" s="3">
        <v>0.74</v>
      </c>
      <c r="L651" s="2" t="s">
        <v>19</v>
      </c>
      <c r="M651" s="2" t="s">
        <v>27</v>
      </c>
      <c r="N651" s="2">
        <v>12</v>
      </c>
      <c r="O651" s="2">
        <v>8</v>
      </c>
    </row>
    <row r="652" spans="1:15" x14ac:dyDescent="0.3">
      <c r="A652" s="2" t="s">
        <v>1380</v>
      </c>
      <c r="B652" s="2" t="s">
        <v>1381</v>
      </c>
      <c r="C652" s="2" t="s">
        <v>95</v>
      </c>
      <c r="D652" s="2">
        <v>25</v>
      </c>
      <c r="E652" s="2" t="s">
        <v>31</v>
      </c>
      <c r="F652" s="2" t="s">
        <v>31</v>
      </c>
      <c r="G652" s="2" t="s">
        <v>74</v>
      </c>
      <c r="H652" s="2">
        <v>4</v>
      </c>
      <c r="I652" s="9" t="s">
        <v>38</v>
      </c>
      <c r="J652" s="2">
        <v>3</v>
      </c>
      <c r="K652" s="3">
        <v>0.73</v>
      </c>
      <c r="L652" s="2" t="s">
        <v>69</v>
      </c>
      <c r="M652" s="2" t="s">
        <v>58</v>
      </c>
      <c r="N652" s="2">
        <v>1</v>
      </c>
      <c r="O652" s="2">
        <v>1</v>
      </c>
    </row>
    <row r="653" spans="1:15" x14ac:dyDescent="0.3">
      <c r="A653" s="2" t="s">
        <v>1382</v>
      </c>
      <c r="B653" s="2" t="s">
        <v>1383</v>
      </c>
      <c r="C653" s="2" t="s">
        <v>77</v>
      </c>
      <c r="D653" s="2">
        <v>32</v>
      </c>
      <c r="E653" s="2" t="s">
        <v>31</v>
      </c>
      <c r="F653" s="2" t="s">
        <v>31</v>
      </c>
      <c r="G653" s="2" t="s">
        <v>52</v>
      </c>
      <c r="H653" s="2">
        <v>9</v>
      </c>
      <c r="I653" s="9">
        <v>75</v>
      </c>
      <c r="J653" s="2">
        <v>5</v>
      </c>
      <c r="K653" s="3">
        <v>0.96</v>
      </c>
      <c r="L653" s="2" t="s">
        <v>46</v>
      </c>
      <c r="M653" s="2" t="s">
        <v>27</v>
      </c>
      <c r="N653" s="2">
        <v>11</v>
      </c>
      <c r="O653" s="2">
        <v>5</v>
      </c>
    </row>
    <row r="654" spans="1:15" x14ac:dyDescent="0.3">
      <c r="A654" s="2" t="s">
        <v>1384</v>
      </c>
      <c r="B654" s="2" t="s">
        <v>1385</v>
      </c>
      <c r="C654" s="2" t="s">
        <v>77</v>
      </c>
      <c r="D654" s="2">
        <v>59</v>
      </c>
      <c r="E654" s="2" t="s">
        <v>124</v>
      </c>
      <c r="F654" s="2" t="s">
        <v>25</v>
      </c>
      <c r="G654" s="2" t="s">
        <v>32</v>
      </c>
      <c r="H654" s="2">
        <v>14</v>
      </c>
      <c r="I654" s="9">
        <v>30</v>
      </c>
      <c r="J654" s="2">
        <v>2</v>
      </c>
      <c r="K654" s="3">
        <v>0.66</v>
      </c>
      <c r="L654" s="2" t="s">
        <v>65</v>
      </c>
      <c r="M654" s="2" t="s">
        <v>33</v>
      </c>
      <c r="N654" s="2">
        <v>8</v>
      </c>
      <c r="O654" s="2">
        <v>8</v>
      </c>
    </row>
    <row r="655" spans="1:15" x14ac:dyDescent="0.3">
      <c r="A655" s="2" t="s">
        <v>1386</v>
      </c>
      <c r="B655" s="2" t="s">
        <v>1387</v>
      </c>
      <c r="C655" s="2" t="s">
        <v>77</v>
      </c>
      <c r="D655" s="2">
        <v>59</v>
      </c>
      <c r="E655" s="2" t="s">
        <v>131</v>
      </c>
      <c r="F655" s="2" t="s">
        <v>132</v>
      </c>
      <c r="G655" s="2" t="s">
        <v>78</v>
      </c>
      <c r="H655" s="2">
        <v>37</v>
      </c>
      <c r="I655" s="9">
        <v>30</v>
      </c>
      <c r="J655" s="2">
        <v>2</v>
      </c>
      <c r="K655" s="3">
        <v>0.62</v>
      </c>
      <c r="L655" s="2" t="s">
        <v>19</v>
      </c>
      <c r="M655" s="2" t="s">
        <v>33</v>
      </c>
      <c r="N655" s="2">
        <v>20</v>
      </c>
      <c r="O655" s="2">
        <v>2</v>
      </c>
    </row>
    <row r="656" spans="1:15" x14ac:dyDescent="0.3">
      <c r="A656" s="2" t="s">
        <v>1388</v>
      </c>
      <c r="B656" s="2" t="s">
        <v>1389</v>
      </c>
      <c r="C656" s="2" t="s">
        <v>95</v>
      </c>
      <c r="D656" s="2">
        <v>29</v>
      </c>
      <c r="E656" s="2" t="s">
        <v>31</v>
      </c>
      <c r="F656" s="2" t="s">
        <v>31</v>
      </c>
      <c r="G656" s="2" t="s">
        <v>32</v>
      </c>
      <c r="H656" s="2">
        <v>2</v>
      </c>
      <c r="I656" s="9" t="s">
        <v>163</v>
      </c>
      <c r="J656" s="2">
        <v>4</v>
      </c>
      <c r="K656" s="3">
        <v>0.85</v>
      </c>
      <c r="L656" s="2" t="s">
        <v>46</v>
      </c>
      <c r="M656" s="2" t="s">
        <v>33</v>
      </c>
      <c r="N656" s="2">
        <v>5</v>
      </c>
      <c r="O656" s="2">
        <v>1</v>
      </c>
    </row>
    <row r="657" spans="1:15" x14ac:dyDescent="0.3">
      <c r="A657" s="2" t="s">
        <v>1390</v>
      </c>
      <c r="B657" s="2" t="s">
        <v>1391</v>
      </c>
      <c r="C657" s="2" t="s">
        <v>95</v>
      </c>
      <c r="D657" s="2">
        <v>58</v>
      </c>
      <c r="E657" s="2" t="s">
        <v>168</v>
      </c>
      <c r="F657" s="2" t="s">
        <v>169</v>
      </c>
      <c r="G657" s="2" t="s">
        <v>44</v>
      </c>
      <c r="H657" s="2">
        <v>11</v>
      </c>
      <c r="I657" s="9">
        <v>100</v>
      </c>
      <c r="J657" s="2">
        <v>2</v>
      </c>
      <c r="K657" s="3">
        <v>0.66</v>
      </c>
      <c r="L657" s="2" t="s">
        <v>46</v>
      </c>
      <c r="M657" s="2" t="s">
        <v>20</v>
      </c>
      <c r="N657" s="2">
        <v>6</v>
      </c>
      <c r="O657" s="2">
        <v>3</v>
      </c>
    </row>
    <row r="658" spans="1:15" x14ac:dyDescent="0.3">
      <c r="A658" s="2" t="s">
        <v>1392</v>
      </c>
      <c r="B658" s="2" t="s">
        <v>1393</v>
      </c>
      <c r="C658" s="2" t="s">
        <v>77</v>
      </c>
      <c r="D658" s="2">
        <v>56</v>
      </c>
      <c r="E658" s="2" t="s">
        <v>124</v>
      </c>
      <c r="F658" s="2" t="s">
        <v>25</v>
      </c>
      <c r="G658" s="2" t="s">
        <v>78</v>
      </c>
      <c r="H658" s="2">
        <v>19</v>
      </c>
      <c r="I658" s="9">
        <v>20</v>
      </c>
      <c r="J658" s="2">
        <v>4</v>
      </c>
      <c r="K658" s="3">
        <v>0.87</v>
      </c>
      <c r="L658" s="2" t="s">
        <v>65</v>
      </c>
      <c r="M658" s="2" t="s">
        <v>20</v>
      </c>
      <c r="N658" s="2">
        <v>16</v>
      </c>
      <c r="O658" s="2">
        <v>5</v>
      </c>
    </row>
    <row r="659" spans="1:15" x14ac:dyDescent="0.3">
      <c r="A659" s="2" t="s">
        <v>1394</v>
      </c>
      <c r="B659" s="2" t="s">
        <v>1395</v>
      </c>
      <c r="C659" s="2" t="s">
        <v>77</v>
      </c>
      <c r="D659" s="2">
        <v>36</v>
      </c>
      <c r="E659" s="2" t="s">
        <v>57</v>
      </c>
      <c r="F659" s="2" t="s">
        <v>25</v>
      </c>
      <c r="G659" s="2" t="s">
        <v>110</v>
      </c>
      <c r="H659" s="2">
        <v>9</v>
      </c>
      <c r="I659" s="9">
        <v>20</v>
      </c>
      <c r="J659" s="2">
        <v>2</v>
      </c>
      <c r="K659" s="3">
        <v>0.68</v>
      </c>
      <c r="L659" s="2" t="s">
        <v>65</v>
      </c>
      <c r="M659" s="2" t="s">
        <v>33</v>
      </c>
      <c r="N659" s="2">
        <v>9</v>
      </c>
      <c r="O659" s="2">
        <v>10</v>
      </c>
    </row>
    <row r="660" spans="1:15" x14ac:dyDescent="0.3">
      <c r="A660" s="2" t="s">
        <v>1396</v>
      </c>
      <c r="B660" s="2" t="s">
        <v>1397</v>
      </c>
      <c r="C660" s="2" t="s">
        <v>77</v>
      </c>
      <c r="D660" s="2">
        <v>52</v>
      </c>
      <c r="E660" s="2" t="s">
        <v>124</v>
      </c>
      <c r="F660" s="2" t="s">
        <v>25</v>
      </c>
      <c r="G660" s="2" t="s">
        <v>74</v>
      </c>
      <c r="H660" s="2">
        <v>16</v>
      </c>
      <c r="I660" s="9">
        <v>100</v>
      </c>
      <c r="J660" s="2">
        <v>1</v>
      </c>
      <c r="K660" s="3">
        <v>0.5</v>
      </c>
      <c r="L660" s="2" t="s">
        <v>69</v>
      </c>
      <c r="M660" s="2" t="s">
        <v>20</v>
      </c>
      <c r="N660" s="2">
        <v>10</v>
      </c>
      <c r="O660" s="2">
        <v>11</v>
      </c>
    </row>
    <row r="661" spans="1:15" x14ac:dyDescent="0.3">
      <c r="A661" s="2" t="s">
        <v>1398</v>
      </c>
      <c r="B661" s="2" t="s">
        <v>1399</v>
      </c>
      <c r="C661" s="2" t="s">
        <v>77</v>
      </c>
      <c r="D661" s="2">
        <v>42</v>
      </c>
      <c r="E661" s="2" t="s">
        <v>42</v>
      </c>
      <c r="F661" s="2" t="s">
        <v>43</v>
      </c>
      <c r="G661" s="2" t="s">
        <v>26</v>
      </c>
      <c r="H661" s="2">
        <v>8</v>
      </c>
      <c r="I661" s="9" t="s">
        <v>64</v>
      </c>
      <c r="J661" s="2">
        <v>1</v>
      </c>
      <c r="K661" s="3">
        <v>0.5</v>
      </c>
      <c r="L661" s="2" t="s">
        <v>19</v>
      </c>
      <c r="M661" s="2" t="s">
        <v>27</v>
      </c>
      <c r="N661" s="2">
        <v>6</v>
      </c>
      <c r="O661" s="2">
        <v>11</v>
      </c>
    </row>
    <row r="662" spans="1:15" x14ac:dyDescent="0.3">
      <c r="A662" s="2" t="s">
        <v>1400</v>
      </c>
      <c r="B662" s="2" t="s">
        <v>1401</v>
      </c>
      <c r="C662" s="2" t="s">
        <v>77</v>
      </c>
      <c r="D662" s="2">
        <v>59</v>
      </c>
      <c r="E662" s="2" t="s">
        <v>91</v>
      </c>
      <c r="F662" s="2" t="s">
        <v>92</v>
      </c>
      <c r="G662" s="2" t="s">
        <v>26</v>
      </c>
      <c r="H662" s="2">
        <v>34</v>
      </c>
      <c r="I662" s="9">
        <v>100</v>
      </c>
      <c r="J662" s="2">
        <v>3</v>
      </c>
      <c r="K662" s="3">
        <v>0.79</v>
      </c>
      <c r="L662" s="2" t="s">
        <v>19</v>
      </c>
      <c r="M662" s="2" t="s">
        <v>58</v>
      </c>
      <c r="N662" s="2">
        <v>18</v>
      </c>
      <c r="O662" s="2">
        <v>8</v>
      </c>
    </row>
    <row r="663" spans="1:15" x14ac:dyDescent="0.3">
      <c r="A663" s="2" t="s">
        <v>1402</v>
      </c>
      <c r="B663" s="2" t="s">
        <v>1403</v>
      </c>
      <c r="C663" s="2" t="s">
        <v>95</v>
      </c>
      <c r="D663" s="2">
        <v>33</v>
      </c>
      <c r="E663" s="2" t="s">
        <v>42</v>
      </c>
      <c r="F663" s="2" t="s">
        <v>43</v>
      </c>
      <c r="G663" s="2" t="s">
        <v>26</v>
      </c>
      <c r="H663" s="2">
        <v>5</v>
      </c>
      <c r="I663" s="9" t="s">
        <v>64</v>
      </c>
      <c r="J663" s="2">
        <v>4</v>
      </c>
      <c r="K663" s="3">
        <v>0.88</v>
      </c>
      <c r="L663" s="2" t="s">
        <v>65</v>
      </c>
      <c r="M663" s="2" t="s">
        <v>58</v>
      </c>
      <c r="N663" s="2">
        <v>4</v>
      </c>
      <c r="O663" s="2">
        <v>2</v>
      </c>
    </row>
    <row r="664" spans="1:15" x14ac:dyDescent="0.3">
      <c r="A664" s="2" t="s">
        <v>1404</v>
      </c>
      <c r="B664" s="2" t="s">
        <v>1405</v>
      </c>
      <c r="C664" s="2" t="s">
        <v>77</v>
      </c>
      <c r="D664" s="2">
        <v>55</v>
      </c>
      <c r="E664" s="2" t="s">
        <v>124</v>
      </c>
      <c r="F664" s="2" t="s">
        <v>25</v>
      </c>
      <c r="G664" s="2" t="s">
        <v>37</v>
      </c>
      <c r="H664" s="2">
        <v>14</v>
      </c>
      <c r="I664" s="9" t="s">
        <v>64</v>
      </c>
      <c r="J664" s="2">
        <v>4</v>
      </c>
      <c r="K664" s="3">
        <v>0.81</v>
      </c>
      <c r="L664" s="2" t="s">
        <v>69</v>
      </c>
      <c r="M664" s="2" t="s">
        <v>58</v>
      </c>
      <c r="N664" s="2">
        <v>9</v>
      </c>
      <c r="O664" s="2">
        <v>7</v>
      </c>
    </row>
    <row r="665" spans="1:15" x14ac:dyDescent="0.3">
      <c r="A665" s="2" t="s">
        <v>1406</v>
      </c>
      <c r="B665" s="2" t="s">
        <v>1407</v>
      </c>
      <c r="C665" s="2" t="s">
        <v>95</v>
      </c>
      <c r="D665" s="2">
        <v>47</v>
      </c>
      <c r="E665" s="2" t="s">
        <v>108</v>
      </c>
      <c r="F665" s="2" t="s">
        <v>109</v>
      </c>
      <c r="G665" s="2" t="s">
        <v>74</v>
      </c>
      <c r="H665" s="2">
        <v>17</v>
      </c>
      <c r="I665" s="9">
        <v>50</v>
      </c>
      <c r="J665" s="2">
        <v>1</v>
      </c>
      <c r="K665" s="3">
        <v>0.5</v>
      </c>
      <c r="L665" s="2" t="s">
        <v>19</v>
      </c>
      <c r="M665" s="2" t="s">
        <v>33</v>
      </c>
      <c r="N665" s="2">
        <v>14</v>
      </c>
      <c r="O665" s="2">
        <v>5</v>
      </c>
    </row>
    <row r="666" spans="1:15" x14ac:dyDescent="0.3">
      <c r="A666" s="2" t="s">
        <v>1408</v>
      </c>
      <c r="B666" s="2" t="s">
        <v>1409</v>
      </c>
      <c r="C666" s="2" t="s">
        <v>77</v>
      </c>
      <c r="D666" s="2">
        <v>29</v>
      </c>
      <c r="E666" s="2" t="s">
        <v>172</v>
      </c>
      <c r="F666" s="2" t="s">
        <v>73</v>
      </c>
      <c r="G666" s="2" t="s">
        <v>44</v>
      </c>
      <c r="H666" s="2">
        <v>10</v>
      </c>
      <c r="I666" s="9">
        <v>76.818181818181813</v>
      </c>
      <c r="J666" s="2">
        <v>2</v>
      </c>
      <c r="K666" s="3">
        <v>0.67</v>
      </c>
      <c r="L666" s="2" t="s">
        <v>65</v>
      </c>
      <c r="M666" s="2" t="s">
        <v>20</v>
      </c>
      <c r="N666" s="2">
        <v>15</v>
      </c>
      <c r="O666" s="2">
        <v>5</v>
      </c>
    </row>
    <row r="667" spans="1:15" x14ac:dyDescent="0.3">
      <c r="A667" s="2" t="s">
        <v>1410</v>
      </c>
      <c r="B667" s="2" t="s">
        <v>1411</v>
      </c>
      <c r="C667" s="2" t="s">
        <v>77</v>
      </c>
      <c r="D667" s="2">
        <v>30</v>
      </c>
      <c r="E667" s="2" t="s">
        <v>68</v>
      </c>
      <c r="F667" s="2" t="s">
        <v>25</v>
      </c>
      <c r="G667" s="2" t="s">
        <v>87</v>
      </c>
      <c r="H667" s="2">
        <v>8</v>
      </c>
      <c r="I667" s="9">
        <v>100</v>
      </c>
      <c r="J667" s="2">
        <v>2</v>
      </c>
      <c r="K667" s="3">
        <v>0.62</v>
      </c>
      <c r="L667" s="2" t="s">
        <v>46</v>
      </c>
      <c r="M667" s="2" t="s">
        <v>27</v>
      </c>
      <c r="N667" s="2">
        <v>14</v>
      </c>
      <c r="O667" s="2">
        <v>5</v>
      </c>
    </row>
    <row r="668" spans="1:15" x14ac:dyDescent="0.3">
      <c r="A668" s="2" t="s">
        <v>1412</v>
      </c>
      <c r="B668" s="2" t="s">
        <v>1413</v>
      </c>
      <c r="C668" s="2" t="s">
        <v>77</v>
      </c>
      <c r="D668" s="2">
        <v>25</v>
      </c>
      <c r="E668" s="2" t="s">
        <v>124</v>
      </c>
      <c r="F668" s="2" t="s">
        <v>25</v>
      </c>
      <c r="G668" s="2" t="s">
        <v>87</v>
      </c>
      <c r="H668" s="2">
        <v>1</v>
      </c>
      <c r="I668" s="9" t="s">
        <v>45</v>
      </c>
      <c r="J668" s="2">
        <v>4</v>
      </c>
      <c r="K668" s="3">
        <v>0.87</v>
      </c>
      <c r="L668" s="2" t="s">
        <v>19</v>
      </c>
      <c r="M668" s="2" t="s">
        <v>27</v>
      </c>
      <c r="N668" s="2">
        <v>3</v>
      </c>
      <c r="O668" s="2">
        <v>2</v>
      </c>
    </row>
    <row r="669" spans="1:15" x14ac:dyDescent="0.3">
      <c r="A669" s="2" t="s">
        <v>1414</v>
      </c>
      <c r="B669" s="2" t="s">
        <v>1415</v>
      </c>
      <c r="C669" s="2" t="s">
        <v>77</v>
      </c>
      <c r="D669" s="2">
        <v>28</v>
      </c>
      <c r="E669" s="2" t="s">
        <v>135</v>
      </c>
      <c r="F669" s="2" t="s">
        <v>136</v>
      </c>
      <c r="G669" s="2" t="s">
        <v>78</v>
      </c>
      <c r="H669" s="2">
        <v>10</v>
      </c>
      <c r="I669" s="9">
        <v>74.5</v>
      </c>
      <c r="J669" s="2">
        <v>5</v>
      </c>
      <c r="K669" s="3">
        <v>0.98</v>
      </c>
      <c r="L669" s="2" t="s">
        <v>69</v>
      </c>
      <c r="M669" s="2" t="s">
        <v>33</v>
      </c>
      <c r="N669" s="2">
        <v>12</v>
      </c>
      <c r="O669" s="2">
        <v>11</v>
      </c>
    </row>
    <row r="670" spans="1:15" x14ac:dyDescent="0.3">
      <c r="A670" s="2" t="s">
        <v>1416</v>
      </c>
      <c r="B670" s="2" t="s">
        <v>1417</v>
      </c>
      <c r="C670" s="2" t="s">
        <v>95</v>
      </c>
      <c r="D670" s="2">
        <v>29</v>
      </c>
      <c r="E670" s="2" t="s">
        <v>108</v>
      </c>
      <c r="F670" s="2" t="s">
        <v>109</v>
      </c>
      <c r="G670" s="2" t="s">
        <v>18</v>
      </c>
      <c r="H670" s="2">
        <v>0</v>
      </c>
      <c r="I670" s="9" t="s">
        <v>163</v>
      </c>
      <c r="J670" s="2">
        <v>2</v>
      </c>
      <c r="K670" s="3">
        <v>0.64</v>
      </c>
      <c r="L670" s="2" t="s">
        <v>69</v>
      </c>
      <c r="M670" s="2" t="s">
        <v>27</v>
      </c>
      <c r="N670" s="2">
        <v>5</v>
      </c>
      <c r="O670" s="2">
        <v>4</v>
      </c>
    </row>
    <row r="671" spans="1:15" x14ac:dyDescent="0.3">
      <c r="A671" s="2" t="s">
        <v>1418</v>
      </c>
      <c r="B671" s="2" t="s">
        <v>1419</v>
      </c>
      <c r="C671" s="2" t="s">
        <v>95</v>
      </c>
      <c r="D671" s="2">
        <v>30</v>
      </c>
      <c r="E671" s="2" t="s">
        <v>183</v>
      </c>
      <c r="F671" s="2" t="s">
        <v>73</v>
      </c>
      <c r="G671" s="2" t="s">
        <v>32</v>
      </c>
      <c r="H671" s="2">
        <v>4</v>
      </c>
      <c r="I671" s="9">
        <v>74.5</v>
      </c>
      <c r="J671" s="2">
        <v>3</v>
      </c>
      <c r="K671" s="3">
        <v>0.71</v>
      </c>
      <c r="L671" s="2" t="s">
        <v>69</v>
      </c>
      <c r="M671" s="2" t="s">
        <v>27</v>
      </c>
      <c r="N671" s="2">
        <v>4</v>
      </c>
      <c r="O671" s="2">
        <v>1</v>
      </c>
    </row>
    <row r="672" spans="1:15" x14ac:dyDescent="0.3">
      <c r="A672" s="2" t="s">
        <v>1420</v>
      </c>
      <c r="B672" s="2" t="s">
        <v>1421</v>
      </c>
      <c r="C672" s="2" t="s">
        <v>95</v>
      </c>
      <c r="D672" s="2">
        <v>47</v>
      </c>
      <c r="E672" s="2" t="s">
        <v>135</v>
      </c>
      <c r="F672" s="2" t="s">
        <v>136</v>
      </c>
      <c r="G672" s="2" t="s">
        <v>44</v>
      </c>
      <c r="H672" s="2">
        <v>2</v>
      </c>
      <c r="I672" s="9">
        <v>50</v>
      </c>
      <c r="J672" s="2">
        <v>5</v>
      </c>
      <c r="K672" s="3">
        <v>0.96</v>
      </c>
      <c r="L672" s="2" t="s">
        <v>46</v>
      </c>
      <c r="M672" s="2" t="s">
        <v>27</v>
      </c>
      <c r="N672" s="2">
        <v>4</v>
      </c>
      <c r="O672" s="2">
        <v>1</v>
      </c>
    </row>
    <row r="673" spans="1:15" x14ac:dyDescent="0.3">
      <c r="A673" s="2" t="s">
        <v>1422</v>
      </c>
      <c r="B673" s="2" t="s">
        <v>1423</v>
      </c>
      <c r="C673" s="2" t="s">
        <v>95</v>
      </c>
      <c r="D673" s="2">
        <v>34</v>
      </c>
      <c r="E673" s="2" t="s">
        <v>24</v>
      </c>
      <c r="F673" s="2" t="s">
        <v>25</v>
      </c>
      <c r="G673" s="2" t="s">
        <v>18</v>
      </c>
      <c r="H673" s="2">
        <v>10</v>
      </c>
      <c r="I673" s="9" t="s">
        <v>45</v>
      </c>
      <c r="J673" s="2">
        <v>1</v>
      </c>
      <c r="K673" s="3">
        <v>0.5</v>
      </c>
      <c r="L673" s="2" t="s">
        <v>19</v>
      </c>
      <c r="M673" s="2" t="s">
        <v>27</v>
      </c>
      <c r="N673" s="2">
        <v>12</v>
      </c>
      <c r="O673" s="2">
        <v>13</v>
      </c>
    </row>
    <row r="674" spans="1:15" x14ac:dyDescent="0.3">
      <c r="A674" s="2" t="s">
        <v>1424</v>
      </c>
      <c r="B674" s="2" t="s">
        <v>1425</v>
      </c>
      <c r="C674" s="2" t="s">
        <v>95</v>
      </c>
      <c r="D674" s="2">
        <v>45</v>
      </c>
      <c r="E674" s="2" t="s">
        <v>57</v>
      </c>
      <c r="F674" s="2" t="s">
        <v>25</v>
      </c>
      <c r="G674" s="2" t="s">
        <v>32</v>
      </c>
      <c r="H674" s="2">
        <v>16</v>
      </c>
      <c r="I674" s="9">
        <v>100</v>
      </c>
      <c r="J674" s="2">
        <v>3</v>
      </c>
      <c r="K674" s="3">
        <v>0.78</v>
      </c>
      <c r="L674" s="2" t="s">
        <v>19</v>
      </c>
      <c r="M674" s="2" t="s">
        <v>20</v>
      </c>
      <c r="N674" s="2">
        <v>15</v>
      </c>
      <c r="O674" s="2">
        <v>7</v>
      </c>
    </row>
    <row r="675" spans="1:15" x14ac:dyDescent="0.3">
      <c r="A675" s="2" t="s">
        <v>1426</v>
      </c>
      <c r="B675" s="2" t="s">
        <v>1427</v>
      </c>
      <c r="C675" s="2" t="s">
        <v>77</v>
      </c>
      <c r="D675" s="2">
        <v>56</v>
      </c>
      <c r="E675" s="2" t="s">
        <v>183</v>
      </c>
      <c r="F675" s="2" t="s">
        <v>73</v>
      </c>
      <c r="G675" s="2" t="s">
        <v>78</v>
      </c>
      <c r="H675" s="2">
        <v>27</v>
      </c>
      <c r="I675" s="9" t="s">
        <v>117</v>
      </c>
      <c r="J675" s="2">
        <v>3</v>
      </c>
      <c r="K675" s="3">
        <v>0.7</v>
      </c>
      <c r="L675" s="2" t="s">
        <v>46</v>
      </c>
      <c r="M675" s="2" t="s">
        <v>27</v>
      </c>
      <c r="N675" s="2">
        <v>19</v>
      </c>
      <c r="O675" s="2">
        <v>3</v>
      </c>
    </row>
    <row r="676" spans="1:15" x14ac:dyDescent="0.3">
      <c r="A676" s="2" t="s">
        <v>1428</v>
      </c>
      <c r="B676" s="2" t="s">
        <v>1429</v>
      </c>
      <c r="C676" s="2" t="s">
        <v>77</v>
      </c>
      <c r="D676" s="2">
        <v>49</v>
      </c>
      <c r="E676" s="2" t="s">
        <v>168</v>
      </c>
      <c r="F676" s="2" t="s">
        <v>169</v>
      </c>
      <c r="G676" s="2" t="s">
        <v>87</v>
      </c>
      <c r="H676" s="2">
        <v>20</v>
      </c>
      <c r="I676" s="9">
        <v>50</v>
      </c>
      <c r="J676" s="2">
        <v>4</v>
      </c>
      <c r="K676" s="3">
        <v>0.82</v>
      </c>
      <c r="L676" s="2" t="s">
        <v>19</v>
      </c>
      <c r="M676" s="2" t="s">
        <v>58</v>
      </c>
      <c r="N676" s="2">
        <v>15</v>
      </c>
      <c r="O676" s="2">
        <v>11</v>
      </c>
    </row>
    <row r="677" spans="1:15" x14ac:dyDescent="0.3">
      <c r="A677" s="2" t="s">
        <v>1430</v>
      </c>
      <c r="B677" s="2" t="s">
        <v>1431</v>
      </c>
      <c r="C677" s="2" t="s">
        <v>95</v>
      </c>
      <c r="D677" s="2">
        <v>48</v>
      </c>
      <c r="E677" s="2" t="s">
        <v>131</v>
      </c>
      <c r="F677" s="2" t="s">
        <v>132</v>
      </c>
      <c r="G677" s="2" t="s">
        <v>44</v>
      </c>
      <c r="H677" s="2">
        <v>10</v>
      </c>
      <c r="I677" s="9">
        <v>77.857142857142861</v>
      </c>
      <c r="J677" s="2">
        <v>1</v>
      </c>
      <c r="K677" s="3">
        <v>0.5</v>
      </c>
      <c r="L677" s="2" t="s">
        <v>46</v>
      </c>
      <c r="M677" s="2" t="s">
        <v>33</v>
      </c>
      <c r="N677" s="2">
        <v>13</v>
      </c>
      <c r="O677" s="2">
        <v>4</v>
      </c>
    </row>
    <row r="678" spans="1:15" x14ac:dyDescent="0.3">
      <c r="A678" s="2" t="s">
        <v>1432</v>
      </c>
      <c r="B678" s="2" t="s">
        <v>1433</v>
      </c>
      <c r="C678" s="2" t="s">
        <v>77</v>
      </c>
      <c r="D678" s="2">
        <v>29</v>
      </c>
      <c r="E678" s="2" t="s">
        <v>108</v>
      </c>
      <c r="F678" s="2" t="s">
        <v>109</v>
      </c>
      <c r="G678" s="2" t="s">
        <v>32</v>
      </c>
      <c r="H678" s="2">
        <v>0</v>
      </c>
      <c r="I678" s="9" t="s">
        <v>117</v>
      </c>
      <c r="J678" s="2">
        <v>5</v>
      </c>
      <c r="K678" s="3">
        <v>0.99</v>
      </c>
      <c r="L678" s="2" t="s">
        <v>46</v>
      </c>
      <c r="M678" s="2" t="s">
        <v>20</v>
      </c>
      <c r="N678" s="2">
        <v>3</v>
      </c>
      <c r="O678" s="2">
        <v>2</v>
      </c>
    </row>
    <row r="679" spans="1:15" x14ac:dyDescent="0.3">
      <c r="A679" s="2" t="s">
        <v>1434</v>
      </c>
      <c r="B679" s="2" t="s">
        <v>1435</v>
      </c>
      <c r="C679" s="2" t="s">
        <v>77</v>
      </c>
      <c r="D679" s="2">
        <v>49</v>
      </c>
      <c r="E679" s="2" t="s">
        <v>42</v>
      </c>
      <c r="F679" s="2" t="s">
        <v>43</v>
      </c>
      <c r="G679" s="2" t="s">
        <v>37</v>
      </c>
      <c r="H679" s="2">
        <v>11</v>
      </c>
      <c r="I679" s="9">
        <v>75</v>
      </c>
      <c r="J679" s="2">
        <v>5</v>
      </c>
      <c r="K679" s="3">
        <v>0.93</v>
      </c>
      <c r="L679" s="2" t="s">
        <v>46</v>
      </c>
      <c r="M679" s="2" t="s">
        <v>27</v>
      </c>
      <c r="N679" s="2">
        <v>13</v>
      </c>
      <c r="O679" s="2">
        <v>5</v>
      </c>
    </row>
    <row r="680" spans="1:15" x14ac:dyDescent="0.3">
      <c r="A680" s="2" t="s">
        <v>1436</v>
      </c>
      <c r="B680" s="2" t="s">
        <v>1437</v>
      </c>
      <c r="C680" s="2" t="s">
        <v>77</v>
      </c>
      <c r="D680" s="2">
        <v>22</v>
      </c>
      <c r="E680" s="2" t="s">
        <v>168</v>
      </c>
      <c r="F680" s="2" t="s">
        <v>169</v>
      </c>
      <c r="G680" s="2" t="s">
        <v>18</v>
      </c>
      <c r="H680" s="2">
        <v>1</v>
      </c>
      <c r="I680" s="9">
        <v>100</v>
      </c>
      <c r="J680" s="2">
        <v>3</v>
      </c>
      <c r="K680" s="3">
        <v>0.75</v>
      </c>
      <c r="L680" s="2" t="s">
        <v>69</v>
      </c>
      <c r="M680" s="2" t="s">
        <v>20</v>
      </c>
      <c r="N680" s="2">
        <v>1</v>
      </c>
      <c r="O680" s="2">
        <v>1</v>
      </c>
    </row>
    <row r="681" spans="1:15" x14ac:dyDescent="0.3">
      <c r="A681" s="2" t="s">
        <v>1438</v>
      </c>
      <c r="B681" s="2" t="s">
        <v>1439</v>
      </c>
      <c r="C681" s="2" t="s">
        <v>95</v>
      </c>
      <c r="D681" s="2">
        <v>52</v>
      </c>
      <c r="E681" s="2" t="s">
        <v>172</v>
      </c>
      <c r="F681" s="2" t="s">
        <v>73</v>
      </c>
      <c r="G681" s="2" t="s">
        <v>32</v>
      </c>
      <c r="H681" s="2">
        <v>30</v>
      </c>
      <c r="I681" s="9" t="s">
        <v>222</v>
      </c>
      <c r="J681" s="2">
        <v>2</v>
      </c>
      <c r="K681" s="3">
        <v>0.61</v>
      </c>
      <c r="L681" s="2" t="s">
        <v>19</v>
      </c>
      <c r="M681" s="2" t="s">
        <v>27</v>
      </c>
      <c r="N681" s="2">
        <v>19</v>
      </c>
      <c r="O681" s="2">
        <v>14</v>
      </c>
    </row>
    <row r="682" spans="1:15" x14ac:dyDescent="0.3">
      <c r="A682" s="2" t="s">
        <v>1440</v>
      </c>
      <c r="B682" s="2" t="s">
        <v>1441</v>
      </c>
      <c r="C682" s="2" t="s">
        <v>95</v>
      </c>
      <c r="D682" s="2">
        <v>60</v>
      </c>
      <c r="E682" s="2" t="s">
        <v>124</v>
      </c>
      <c r="F682" s="2" t="s">
        <v>25</v>
      </c>
      <c r="G682" s="2" t="s">
        <v>18</v>
      </c>
      <c r="H682" s="2">
        <v>7</v>
      </c>
      <c r="I682" s="9" t="s">
        <v>45</v>
      </c>
      <c r="J682" s="2">
        <v>5</v>
      </c>
      <c r="K682" s="3">
        <v>0.97</v>
      </c>
      <c r="L682" s="2" t="s">
        <v>46</v>
      </c>
      <c r="M682" s="2" t="s">
        <v>58</v>
      </c>
      <c r="N682" s="2">
        <v>9</v>
      </c>
      <c r="O682" s="2">
        <v>8</v>
      </c>
    </row>
    <row r="683" spans="1:15" x14ac:dyDescent="0.3">
      <c r="A683" s="2" t="s">
        <v>1442</v>
      </c>
      <c r="B683" s="2" t="s">
        <v>1443</v>
      </c>
      <c r="C683" s="2" t="s">
        <v>77</v>
      </c>
      <c r="D683" s="2">
        <v>33</v>
      </c>
      <c r="E683" s="2" t="s">
        <v>83</v>
      </c>
      <c r="F683" s="2" t="s">
        <v>84</v>
      </c>
      <c r="G683" s="2" t="s">
        <v>74</v>
      </c>
      <c r="H683" s="2">
        <v>0</v>
      </c>
      <c r="I683" s="9" t="s">
        <v>222</v>
      </c>
      <c r="J683" s="2">
        <v>5</v>
      </c>
      <c r="K683" s="3">
        <v>0.95</v>
      </c>
      <c r="L683" s="2" t="s">
        <v>19</v>
      </c>
      <c r="M683" s="2" t="s">
        <v>33</v>
      </c>
      <c r="N683" s="2">
        <v>4</v>
      </c>
      <c r="O683" s="2">
        <v>5</v>
      </c>
    </row>
    <row r="684" spans="1:15" x14ac:dyDescent="0.3">
      <c r="A684" s="2" t="s">
        <v>1444</v>
      </c>
      <c r="B684" s="2" t="s">
        <v>1445</v>
      </c>
      <c r="C684" s="2" t="s">
        <v>95</v>
      </c>
      <c r="D684" s="2">
        <v>52</v>
      </c>
      <c r="E684" s="2" t="s">
        <v>108</v>
      </c>
      <c r="F684" s="2" t="s">
        <v>109</v>
      </c>
      <c r="G684" s="2" t="s">
        <v>32</v>
      </c>
      <c r="H684" s="2">
        <v>21</v>
      </c>
      <c r="I684" s="9" t="s">
        <v>38</v>
      </c>
      <c r="J684" s="2">
        <v>2</v>
      </c>
      <c r="K684" s="3">
        <v>0.69</v>
      </c>
      <c r="L684" s="2" t="s">
        <v>69</v>
      </c>
      <c r="M684" s="2" t="s">
        <v>27</v>
      </c>
      <c r="N684" s="2">
        <v>14</v>
      </c>
      <c r="O684" s="2">
        <v>9</v>
      </c>
    </row>
    <row r="685" spans="1:15" x14ac:dyDescent="0.3">
      <c r="A685" s="2" t="s">
        <v>1446</v>
      </c>
      <c r="B685" s="2" t="s">
        <v>1447</v>
      </c>
      <c r="C685" s="2" t="s">
        <v>77</v>
      </c>
      <c r="D685" s="2">
        <v>25</v>
      </c>
      <c r="E685" s="2" t="s">
        <v>31</v>
      </c>
      <c r="F685" s="2" t="s">
        <v>31</v>
      </c>
      <c r="G685" s="2" t="s">
        <v>87</v>
      </c>
      <c r="H685" s="2">
        <v>7</v>
      </c>
      <c r="I685" s="9" t="s">
        <v>222</v>
      </c>
      <c r="J685" s="2">
        <v>2</v>
      </c>
      <c r="K685" s="3">
        <v>0.63</v>
      </c>
      <c r="L685" s="2" t="s">
        <v>46</v>
      </c>
      <c r="M685" s="2" t="s">
        <v>27</v>
      </c>
      <c r="N685" s="2">
        <v>11</v>
      </c>
      <c r="O685" s="2">
        <v>5</v>
      </c>
    </row>
    <row r="686" spans="1:15" x14ac:dyDescent="0.3">
      <c r="A686" s="2" t="s">
        <v>1448</v>
      </c>
      <c r="B686" s="2" t="s">
        <v>1449</v>
      </c>
      <c r="C686" s="2" t="s">
        <v>95</v>
      </c>
      <c r="D686" s="2">
        <v>33</v>
      </c>
      <c r="E686" s="2" t="s">
        <v>83</v>
      </c>
      <c r="F686" s="2" t="s">
        <v>84</v>
      </c>
      <c r="G686" s="2" t="s">
        <v>78</v>
      </c>
      <c r="H686" s="10">
        <v>12.833333333333334</v>
      </c>
      <c r="I686" s="9" t="s">
        <v>45</v>
      </c>
      <c r="J686" s="2">
        <v>2</v>
      </c>
      <c r="K686" s="3">
        <v>0.65</v>
      </c>
      <c r="L686" s="2" t="s">
        <v>65</v>
      </c>
      <c r="M686" s="2" t="s">
        <v>27</v>
      </c>
      <c r="N686" s="2">
        <v>1</v>
      </c>
      <c r="O686" s="2">
        <v>1</v>
      </c>
    </row>
    <row r="687" spans="1:15" x14ac:dyDescent="0.3">
      <c r="A687" s="2" t="s">
        <v>1450</v>
      </c>
      <c r="B687" s="2" t="s">
        <v>1451</v>
      </c>
      <c r="C687" s="2" t="s">
        <v>77</v>
      </c>
      <c r="D687" s="2">
        <v>33</v>
      </c>
      <c r="E687" s="2" t="s">
        <v>168</v>
      </c>
      <c r="F687" s="2" t="s">
        <v>169</v>
      </c>
      <c r="G687" s="2" t="s">
        <v>26</v>
      </c>
      <c r="H687" s="10">
        <v>11.507692307692308</v>
      </c>
      <c r="I687" s="9">
        <v>74</v>
      </c>
      <c r="J687" s="2">
        <v>5</v>
      </c>
      <c r="K687" s="3">
        <v>0.9</v>
      </c>
      <c r="L687" s="2" t="s">
        <v>69</v>
      </c>
      <c r="M687" s="2" t="s">
        <v>27</v>
      </c>
      <c r="N687" s="2">
        <v>1</v>
      </c>
      <c r="O687" s="2">
        <v>1</v>
      </c>
    </row>
    <row r="688" spans="1:15" x14ac:dyDescent="0.3">
      <c r="A688" s="2" t="s">
        <v>1452</v>
      </c>
      <c r="B688" s="2" t="s">
        <v>41</v>
      </c>
      <c r="C688" s="2" t="s">
        <v>77</v>
      </c>
      <c r="D688" s="2">
        <v>52</v>
      </c>
      <c r="E688" s="2" t="s">
        <v>124</v>
      </c>
      <c r="F688" s="2" t="s">
        <v>25</v>
      </c>
      <c r="G688" s="2" t="s">
        <v>74</v>
      </c>
      <c r="H688" s="2">
        <v>25</v>
      </c>
      <c r="I688" s="9">
        <v>100</v>
      </c>
      <c r="J688" s="2">
        <v>1</v>
      </c>
      <c r="K688" s="3">
        <v>0.5</v>
      </c>
      <c r="L688" s="2" t="s">
        <v>65</v>
      </c>
      <c r="M688" s="2" t="s">
        <v>33</v>
      </c>
      <c r="N688" s="2">
        <v>10</v>
      </c>
      <c r="O688" s="2">
        <v>8</v>
      </c>
    </row>
    <row r="689" spans="1:15" x14ac:dyDescent="0.3">
      <c r="A689" s="2" t="s">
        <v>1453</v>
      </c>
      <c r="B689" s="2" t="s">
        <v>1454</v>
      </c>
      <c r="C689" s="2" t="s">
        <v>77</v>
      </c>
      <c r="D689" s="2">
        <v>20</v>
      </c>
      <c r="E689" s="2" t="s">
        <v>50</v>
      </c>
      <c r="F689" s="2" t="s">
        <v>51</v>
      </c>
      <c r="G689" s="2" t="s">
        <v>37</v>
      </c>
      <c r="H689" s="2">
        <v>1</v>
      </c>
      <c r="I689" s="9" t="s">
        <v>45</v>
      </c>
      <c r="J689" s="2">
        <v>4</v>
      </c>
      <c r="K689" s="3">
        <v>0.89</v>
      </c>
      <c r="L689" s="2" t="s">
        <v>19</v>
      </c>
      <c r="M689" s="2" t="s">
        <v>33</v>
      </c>
      <c r="N689" s="2">
        <v>1</v>
      </c>
      <c r="O689" s="2">
        <v>2</v>
      </c>
    </row>
    <row r="690" spans="1:15" x14ac:dyDescent="0.3">
      <c r="A690" s="2" t="s">
        <v>1455</v>
      </c>
      <c r="B690" s="2" t="s">
        <v>1456</v>
      </c>
      <c r="C690" s="2" t="s">
        <v>77</v>
      </c>
      <c r="D690" s="2">
        <v>43</v>
      </c>
      <c r="E690" s="2" t="s">
        <v>120</v>
      </c>
      <c r="F690" s="2" t="s">
        <v>121</v>
      </c>
      <c r="G690" s="2" t="s">
        <v>52</v>
      </c>
      <c r="H690" s="2">
        <v>7</v>
      </c>
      <c r="I690" s="9" t="s">
        <v>64</v>
      </c>
      <c r="J690" s="2">
        <v>4</v>
      </c>
      <c r="K690" s="3">
        <v>0.8</v>
      </c>
      <c r="L690" s="2" t="s">
        <v>19</v>
      </c>
      <c r="M690" s="2" t="s">
        <v>58</v>
      </c>
      <c r="N690" s="2">
        <v>11</v>
      </c>
      <c r="O690" s="2">
        <v>3</v>
      </c>
    </row>
    <row r="691" spans="1:15" x14ac:dyDescent="0.3">
      <c r="A691" s="2" t="s">
        <v>1457</v>
      </c>
      <c r="B691" s="2" t="s">
        <v>1413</v>
      </c>
      <c r="C691" s="2" t="s">
        <v>77</v>
      </c>
      <c r="D691" s="2">
        <v>31</v>
      </c>
      <c r="E691" s="2" t="s">
        <v>131</v>
      </c>
      <c r="F691" s="2" t="s">
        <v>132</v>
      </c>
      <c r="G691" s="2" t="s">
        <v>26</v>
      </c>
      <c r="H691" s="10">
        <v>11.507692307692308</v>
      </c>
      <c r="I691" s="9">
        <v>50</v>
      </c>
      <c r="J691" s="2">
        <v>4</v>
      </c>
      <c r="K691" s="3">
        <v>0.8</v>
      </c>
      <c r="L691" s="2" t="s">
        <v>69</v>
      </c>
      <c r="M691" s="2" t="s">
        <v>33</v>
      </c>
      <c r="N691" s="2">
        <v>5</v>
      </c>
      <c r="O691" s="2">
        <v>2</v>
      </c>
    </row>
    <row r="692" spans="1:15" x14ac:dyDescent="0.3">
      <c r="A692" s="2" t="s">
        <v>1458</v>
      </c>
      <c r="B692" s="2" t="s">
        <v>1459</v>
      </c>
      <c r="C692" s="2" t="s">
        <v>77</v>
      </c>
      <c r="D692" s="2">
        <v>29</v>
      </c>
      <c r="E692" s="2" t="s">
        <v>31</v>
      </c>
      <c r="F692" s="2" t="s">
        <v>31</v>
      </c>
      <c r="G692" s="2" t="s">
        <v>52</v>
      </c>
      <c r="H692" s="2">
        <v>6</v>
      </c>
      <c r="I692" s="9">
        <v>100</v>
      </c>
      <c r="J692" s="2">
        <v>1</v>
      </c>
      <c r="K692" s="3">
        <v>0.5</v>
      </c>
      <c r="L692" s="2" t="s">
        <v>19</v>
      </c>
      <c r="M692" s="2" t="s">
        <v>27</v>
      </c>
      <c r="N692" s="2">
        <v>6</v>
      </c>
      <c r="O692" s="2">
        <v>10</v>
      </c>
    </row>
    <row r="693" spans="1:15" x14ac:dyDescent="0.3">
      <c r="A693" s="2" t="s">
        <v>1460</v>
      </c>
      <c r="B693" s="2" t="s">
        <v>831</v>
      </c>
      <c r="C693" s="2" t="s">
        <v>77</v>
      </c>
      <c r="D693" s="2">
        <v>53</v>
      </c>
      <c r="E693" s="2" t="s">
        <v>147</v>
      </c>
      <c r="F693" s="2" t="s">
        <v>148</v>
      </c>
      <c r="G693" s="2" t="s">
        <v>32</v>
      </c>
      <c r="H693" s="2">
        <v>35</v>
      </c>
      <c r="I693" s="9">
        <v>60</v>
      </c>
      <c r="J693" s="2">
        <v>2</v>
      </c>
      <c r="K693" s="3">
        <v>0.67</v>
      </c>
      <c r="L693" s="2" t="s">
        <v>65</v>
      </c>
      <c r="M693" s="2" t="s">
        <v>58</v>
      </c>
      <c r="N693" s="2">
        <v>18</v>
      </c>
      <c r="O693" s="2">
        <v>9</v>
      </c>
    </row>
    <row r="694" spans="1:15" x14ac:dyDescent="0.3">
      <c r="A694" s="2" t="s">
        <v>1461</v>
      </c>
      <c r="B694" s="2" t="s">
        <v>1462</v>
      </c>
      <c r="C694" s="2" t="s">
        <v>95</v>
      </c>
      <c r="D694" s="2">
        <v>38</v>
      </c>
      <c r="E694" s="2" t="s">
        <v>91</v>
      </c>
      <c r="F694" s="2" t="s">
        <v>92</v>
      </c>
      <c r="G694" s="2" t="s">
        <v>26</v>
      </c>
      <c r="H694" s="2">
        <v>1</v>
      </c>
      <c r="I694" s="9" t="s">
        <v>38</v>
      </c>
      <c r="J694" s="2">
        <v>5</v>
      </c>
      <c r="K694" s="3">
        <v>0.96</v>
      </c>
      <c r="L694" s="2" t="s">
        <v>46</v>
      </c>
      <c r="M694" s="2" t="s">
        <v>58</v>
      </c>
      <c r="N694" s="2">
        <v>2</v>
      </c>
      <c r="O694" s="2">
        <v>2</v>
      </c>
    </row>
    <row r="695" spans="1:15" x14ac:dyDescent="0.3">
      <c r="A695" s="2" t="s">
        <v>1463</v>
      </c>
      <c r="B695" s="2" t="s">
        <v>1464</v>
      </c>
      <c r="C695" s="2" t="s">
        <v>95</v>
      </c>
      <c r="D695" s="2">
        <v>29</v>
      </c>
      <c r="E695" s="2" t="s">
        <v>183</v>
      </c>
      <c r="F695" s="2" t="s">
        <v>73</v>
      </c>
      <c r="G695" s="2" t="s">
        <v>32</v>
      </c>
      <c r="H695" s="10">
        <v>12.295081967213115</v>
      </c>
      <c r="I695" s="9">
        <v>20</v>
      </c>
      <c r="J695" s="2">
        <v>5</v>
      </c>
      <c r="K695" s="3">
        <v>0.9</v>
      </c>
      <c r="L695" s="2" t="s">
        <v>46</v>
      </c>
      <c r="M695" s="2" t="s">
        <v>58</v>
      </c>
      <c r="N695" s="2">
        <v>3</v>
      </c>
      <c r="O695" s="2">
        <v>3</v>
      </c>
    </row>
    <row r="696" spans="1:15" x14ac:dyDescent="0.3">
      <c r="A696" s="2" t="s">
        <v>1465</v>
      </c>
      <c r="B696" s="2" t="s">
        <v>1466</v>
      </c>
      <c r="C696" s="2" t="s">
        <v>95</v>
      </c>
      <c r="D696" s="2">
        <v>42</v>
      </c>
      <c r="E696" s="2" t="s">
        <v>108</v>
      </c>
      <c r="F696" s="2" t="s">
        <v>109</v>
      </c>
      <c r="G696" s="2" t="s">
        <v>74</v>
      </c>
      <c r="H696" s="2">
        <v>0</v>
      </c>
      <c r="I696" s="9">
        <v>100</v>
      </c>
      <c r="J696" s="2">
        <v>2</v>
      </c>
      <c r="K696" s="3">
        <v>0.62</v>
      </c>
      <c r="L696" s="2" t="s">
        <v>46</v>
      </c>
      <c r="M696" s="2" t="s">
        <v>27</v>
      </c>
      <c r="N696" s="2">
        <v>5</v>
      </c>
      <c r="O696" s="2">
        <v>2</v>
      </c>
    </row>
    <row r="697" spans="1:15" x14ac:dyDescent="0.3">
      <c r="A697" s="2" t="s">
        <v>1467</v>
      </c>
      <c r="B697" s="2" t="s">
        <v>1468</v>
      </c>
      <c r="C697" s="2" t="s">
        <v>77</v>
      </c>
      <c r="D697" s="2">
        <v>54</v>
      </c>
      <c r="E697" s="2" t="s">
        <v>57</v>
      </c>
      <c r="F697" s="2" t="s">
        <v>25</v>
      </c>
      <c r="G697" s="2" t="s">
        <v>110</v>
      </c>
      <c r="H697" s="2">
        <v>9</v>
      </c>
      <c r="I697" s="9">
        <v>100</v>
      </c>
      <c r="J697" s="2">
        <v>3</v>
      </c>
      <c r="K697" s="3">
        <v>0.72</v>
      </c>
      <c r="L697" s="2" t="s">
        <v>69</v>
      </c>
      <c r="M697" s="2" t="s">
        <v>20</v>
      </c>
      <c r="N697" s="2">
        <v>13</v>
      </c>
      <c r="O697" s="2">
        <v>10</v>
      </c>
    </row>
    <row r="698" spans="1:15" x14ac:dyDescent="0.3">
      <c r="A698" s="2" t="s">
        <v>1469</v>
      </c>
      <c r="B698" s="2" t="s">
        <v>1470</v>
      </c>
      <c r="C698" s="2" t="s">
        <v>95</v>
      </c>
      <c r="D698" s="2">
        <v>56</v>
      </c>
      <c r="E698" s="2" t="s">
        <v>168</v>
      </c>
      <c r="F698" s="2" t="s">
        <v>169</v>
      </c>
      <c r="G698" s="2" t="s">
        <v>74</v>
      </c>
      <c r="H698" s="2">
        <v>18</v>
      </c>
      <c r="I698" s="9" t="s">
        <v>64</v>
      </c>
      <c r="J698" s="2">
        <v>1</v>
      </c>
      <c r="K698" s="3">
        <v>0.5</v>
      </c>
      <c r="L698" s="2" t="s">
        <v>19</v>
      </c>
      <c r="M698" s="2" t="s">
        <v>27</v>
      </c>
      <c r="N698" s="2">
        <v>18</v>
      </c>
      <c r="O698" s="2">
        <v>10</v>
      </c>
    </row>
    <row r="699" spans="1:15" x14ac:dyDescent="0.3">
      <c r="I699" s="7"/>
      <c r="K699" s="8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E602A43-9C81-458B-8D63-28738A3EB65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</vt:lpstr>
      <vt:lpstr>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Subashbalan</dc:creator>
  <cp:lastModifiedBy>Maheswari S</cp:lastModifiedBy>
  <dcterms:created xsi:type="dcterms:W3CDTF">2026-04-11T12:45:16Z</dcterms:created>
  <dcterms:modified xsi:type="dcterms:W3CDTF">2026-05-04T14:23:10Z</dcterms:modified>
</cp:coreProperties>
</file>