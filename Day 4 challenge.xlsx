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8efea81396b767/Desktop/"/>
    </mc:Choice>
  </mc:AlternateContent>
  <xr:revisionPtr revIDLastSave="23" documentId="8_{E7587256-280E-47EF-99F0-107BED018E35}" xr6:coauthVersionLast="47" xr6:coauthVersionMax="47" xr10:uidLastSave="{B2318978-698E-4544-B1B4-C571AB0E5AA0}"/>
  <bookViews>
    <workbookView xWindow="-108" yWindow="-108" windowWidth="23256" windowHeight="12456" xr2:uid="{B12A4BB5-CA48-4228-B326-52DC03024BFF}"/>
  </bookViews>
  <sheets>
    <sheet name="Men's Perfume Detail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9" i="2" l="1"/>
  <c r="E108" i="2"/>
  <c r="E107" i="2"/>
  <c r="E106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</calcChain>
</file>

<file path=xl/sharedStrings.xml><?xml version="1.0" encoding="utf-8"?>
<sst xmlns="http://schemas.openxmlformats.org/spreadsheetml/2006/main" count="619" uniqueCount="417">
  <si>
    <t>IF Function</t>
  </si>
  <si>
    <t>TYPE</t>
  </si>
  <si>
    <t>PRICE</t>
  </si>
  <si>
    <t>Dior</t>
  </si>
  <si>
    <t>Eau de Parfum</t>
  </si>
  <si>
    <t>US $84.99/ea</t>
  </si>
  <si>
    <t>More than 10 available / 116 sold</t>
  </si>
  <si>
    <t>May 24, 2024 10:03:04 PDT</t>
  </si>
  <si>
    <t>Allen Park, Michigan, United States</t>
  </si>
  <si>
    <t>AS SHOW</t>
  </si>
  <si>
    <t>US $109.99</t>
  </si>
  <si>
    <t>8 available / 48 sold</t>
  </si>
  <si>
    <t>May 23, 2024 23:07:49 PDT</t>
  </si>
  <si>
    <t>Atlanta, Georgia, Canada</t>
  </si>
  <si>
    <t>Unbranded</t>
  </si>
  <si>
    <t>Eau de Toilette</t>
  </si>
  <si>
    <t>US $100.00</t>
  </si>
  <si>
    <t>More than 10 available / 27 sold</t>
  </si>
  <si>
    <t>May 22, 2024 21:55:43 PDT</t>
  </si>
  <si>
    <t>Dearborn, Michigan, United States</t>
  </si>
  <si>
    <t>Giorgio Armani</t>
  </si>
  <si>
    <t>US $44.99/ea</t>
  </si>
  <si>
    <t>2 available / 159 sold</t>
  </si>
  <si>
    <t>May 24, 2024 03:30:43 PDT</t>
  </si>
  <si>
    <t>Reinholds, Pennsylvania, United States</t>
  </si>
  <si>
    <t>Lattafa</t>
  </si>
  <si>
    <t>Fragrances</t>
  </si>
  <si>
    <t>US $16.91</t>
  </si>
  <si>
    <t>Limited quantity available / 156 sold</t>
  </si>
  <si>
    <t>May 24, 2024 07:56:25 PDT</t>
  </si>
  <si>
    <t>Brooklyn, New York, United States</t>
  </si>
  <si>
    <t>Multiple Brands</t>
  </si>
  <si>
    <t>Perfume</t>
  </si>
  <si>
    <t>US $14.99</t>
  </si>
  <si>
    <t>More than 10 available / 79 sold</t>
  </si>
  <si>
    <t>May 23, 2024 06:57:41 PDT</t>
  </si>
  <si>
    <t>Houston, Texas, United States</t>
  </si>
  <si>
    <t>Maison Alhambra</t>
  </si>
  <si>
    <t>US $30.99/ea</t>
  </si>
  <si>
    <t>9 available / 39 sold</t>
  </si>
  <si>
    <t>May 16, 2024 13:42:49 PDT</t>
  </si>
  <si>
    <t>Englewood Cliffs, New Jersey, United States</t>
  </si>
  <si>
    <t>US $85.00</t>
  </si>
  <si>
    <t>Last One / 6 sold</t>
  </si>
  <si>
    <t>May 24, 2024 00:10:39 PDT</t>
  </si>
  <si>
    <t>Ithaca, New York, United States</t>
  </si>
  <si>
    <t>US $15.89</t>
  </si>
  <si>
    <t>10 available / 17 sold</t>
  </si>
  <si>
    <t>May 24, 2024 09:08:14 PDT</t>
  </si>
  <si>
    <t>shanghai, China</t>
  </si>
  <si>
    <t>Gucci</t>
  </si>
  <si>
    <t>US $49.99/ea</t>
  </si>
  <si>
    <t>8 available / 68 sold</t>
  </si>
  <si>
    <t>May 23, 2024 07:21:23 PDT</t>
  </si>
  <si>
    <t>Dearborn Heights, Michigan, United States</t>
  </si>
  <si>
    <t>Ralph Lauren</t>
  </si>
  <si>
    <t>US $34.99/ea</t>
  </si>
  <si>
    <t>More than 10 available / 615 sold</t>
  </si>
  <si>
    <t>May 24, 2024 07:53:23 PDT</t>
  </si>
  <si>
    <t>Ecorse, Michigan, United States</t>
  </si>
  <si>
    <t>Dolce&amp;Gabbana</t>
  </si>
  <si>
    <t>US $29.95/ea</t>
  </si>
  <si>
    <t>7 available / 458 sold</t>
  </si>
  <si>
    <t>May 23, 2024 08:37:49 PDT</t>
  </si>
  <si>
    <t>Warren, Michigan, United States</t>
  </si>
  <si>
    <t>SECERTMU</t>
  </si>
  <si>
    <t>US $15.99</t>
  </si>
  <si>
    <t>More than 10 available / 889 sold</t>
  </si>
  <si>
    <t>May 21, 2024 19:20:12 PDT</t>
  </si>
  <si>
    <t>San Francisco, California, United States</t>
  </si>
  <si>
    <t>As Show</t>
  </si>
  <si>
    <t>US $59.99/ea</t>
  </si>
  <si>
    <t>9 available / 63 sold</t>
  </si>
  <si>
    <t>May 23, 2024 03:08:18 PDT</t>
  </si>
  <si>
    <t>Dayton,New Jersey, Hong Kong</t>
  </si>
  <si>
    <t>Versace</t>
  </si>
  <si>
    <t>7 available / 136 sold</t>
  </si>
  <si>
    <t>May 24, 2024 00:02:27 PDT</t>
  </si>
  <si>
    <t>Paco Rabanne</t>
  </si>
  <si>
    <t>PARFUM</t>
  </si>
  <si>
    <t>US $68.99/ea</t>
  </si>
  <si>
    <t>2 available / 20 sold</t>
  </si>
  <si>
    <t>May 24, 2024 02:41:49 PDT</t>
  </si>
  <si>
    <t>San Jose, California, United States</t>
  </si>
  <si>
    <t>Grandeur</t>
  </si>
  <si>
    <t>US $37.99</t>
  </si>
  <si>
    <t>More than 10 available / 44 sold</t>
  </si>
  <si>
    <t>May 24, 2024 08:14:43 PDT</t>
  </si>
  <si>
    <t>Miami, Florida, United States</t>
  </si>
  <si>
    <t>Armaf</t>
  </si>
  <si>
    <t>US $29.99/ea</t>
  </si>
  <si>
    <t>5 available / 384 sold</t>
  </si>
  <si>
    <t>May 24, 2024 05:13:20 PDT</t>
  </si>
  <si>
    <t>Hamtramck, Michigan, United States</t>
  </si>
  <si>
    <t>Carolina Herrera</t>
  </si>
  <si>
    <t>US $39.99/ea</t>
  </si>
  <si>
    <t>More than 10 available / 236 sold</t>
  </si>
  <si>
    <t>May 23, 2024 08:48:22 PDT</t>
  </si>
  <si>
    <t>Flat Lick, Kentucky, United States</t>
  </si>
  <si>
    <t>US $83.95</t>
  </si>
  <si>
    <t>4 available / 22 sold</t>
  </si>
  <si>
    <t>May 22, 2024 14:31:55 PDT</t>
  </si>
  <si>
    <t>Elmhurst, New York, United States</t>
  </si>
  <si>
    <t>Dolce &amp; Gabbana</t>
  </si>
  <si>
    <t>US $29.94/ea</t>
  </si>
  <si>
    <t>Limited quantity available / 9,208 sold</t>
  </si>
  <si>
    <t>May 23, 2024 20:04:11 PDT</t>
  </si>
  <si>
    <t>Hackensack, New Jersey, United States</t>
  </si>
  <si>
    <t>Clinique</t>
  </si>
  <si>
    <t>US $21.99/ea</t>
  </si>
  <si>
    <t>4 available / 86 sold</t>
  </si>
  <si>
    <t>May 21, 2024 14:28:23 PDT</t>
  </si>
  <si>
    <t>Dumont</t>
  </si>
  <si>
    <t>US $49.99</t>
  </si>
  <si>
    <t>3 available / 187 sold</t>
  </si>
  <si>
    <t>May 24, 2024 09:02:39 PDT</t>
  </si>
  <si>
    <t>Afnan</t>
  </si>
  <si>
    <t>US $33.70</t>
  </si>
  <si>
    <t>More than 10 available / 131 sold</t>
  </si>
  <si>
    <t>May 21, 2024 14:00:54 PDT</t>
  </si>
  <si>
    <t>Dallas, Texas, United States</t>
  </si>
  <si>
    <t>US $35.99</t>
  </si>
  <si>
    <t>2 available / 43 sold</t>
  </si>
  <si>
    <t>May 24, 2024 00:13:55 PDT</t>
  </si>
  <si>
    <t>Pomona, California, United States</t>
  </si>
  <si>
    <t>Azzaro</t>
  </si>
  <si>
    <t>Parfum</t>
  </si>
  <si>
    <t>US $89.97/ea</t>
  </si>
  <si>
    <t>10 available / 920 sold</t>
  </si>
  <si>
    <t>May 24, 2024 08:32:16 PDT</t>
  </si>
  <si>
    <t>Katy, Texas, United States</t>
  </si>
  <si>
    <t>US $92.99</t>
  </si>
  <si>
    <t>5 available / 19 sold</t>
  </si>
  <si>
    <t>May 24, 2024 00:01:17 PDT</t>
  </si>
  <si>
    <t>College Point, New York, United States</t>
  </si>
  <si>
    <t>US $87.99</t>
  </si>
  <si>
    <t>2 available / 4 sold</t>
  </si>
  <si>
    <t>NEW YORK, United States</t>
  </si>
  <si>
    <t>US $119.99</t>
  </si>
  <si>
    <t>10 available / 34 sold</t>
  </si>
  <si>
    <t>May 24, 2024 07:16:53 PDT</t>
  </si>
  <si>
    <t>New York,USA, Hong Kong</t>
  </si>
  <si>
    <t>Penhaligon's</t>
  </si>
  <si>
    <t>US $99.99</t>
  </si>
  <si>
    <t>Last One / 30 sold</t>
  </si>
  <si>
    <t>May 20, 2024 04:16:27 PDT</t>
  </si>
  <si>
    <t>Brenham, Texas, United States</t>
  </si>
  <si>
    <t>Bharara</t>
  </si>
  <si>
    <t>US $51.91/ea</t>
  </si>
  <si>
    <t>4 available / 47 sold</t>
  </si>
  <si>
    <t>May 19, 2024 13:15:33 PDT</t>
  </si>
  <si>
    <t>Richmond Hill, New York, United States</t>
  </si>
  <si>
    <t>8 available / 170 sold</t>
  </si>
  <si>
    <t>May 23, 2024 07:03:35 PDT</t>
  </si>
  <si>
    <t>Dexter, Michigan, United States</t>
  </si>
  <si>
    <t>US $32.85/ea</t>
  </si>
  <si>
    <t>More than 10 available / 8,385 sold</t>
  </si>
  <si>
    <t>May 17, 2024 15:41:45 PDT</t>
  </si>
  <si>
    <t>Valentino</t>
  </si>
  <si>
    <t>10 available / 295 sold</t>
  </si>
  <si>
    <t>May 24, 2024 08:44:55 PDT</t>
  </si>
  <si>
    <t>Guy Laroche</t>
  </si>
  <si>
    <t>US $16.98/ea</t>
  </si>
  <si>
    <t>620 available / 2,345 sold</t>
  </si>
  <si>
    <t>May 23, 2024 18:45:23 PDT</t>
  </si>
  <si>
    <t>Montblanc</t>
  </si>
  <si>
    <t>US $32.89/ea</t>
  </si>
  <si>
    <t>383 available / 5,032 sold</t>
  </si>
  <si>
    <t>May 21, 2024 07:59:07 PDT</t>
  </si>
  <si>
    <t>Rasasi</t>
  </si>
  <si>
    <t>US $45.11</t>
  </si>
  <si>
    <t>Limited quantity available / 258 sold</t>
  </si>
  <si>
    <t>May 24, 2024 09:50:28 PDT</t>
  </si>
  <si>
    <t>US $19.73</t>
  </si>
  <si>
    <t>Limited quantity available / 55 sold</t>
  </si>
  <si>
    <t>May 24, 2024 07:02:34 PDT</t>
  </si>
  <si>
    <t>8 available / 276 sold</t>
  </si>
  <si>
    <t>May 24, 2024 06:26:11 PDT</t>
  </si>
  <si>
    <t>Phoenix, Arizona, United States</t>
  </si>
  <si>
    <t>Calvin Klein</t>
  </si>
  <si>
    <t>US $40.60/ea</t>
  </si>
  <si>
    <t>Limited quantity available / 5,582 sold</t>
  </si>
  <si>
    <t>May 24, 2024 09:35:06 PDT</t>
  </si>
  <si>
    <t>UOMO</t>
  </si>
  <si>
    <t>US $54.99</t>
  </si>
  <si>
    <t>Last One / 8 sold</t>
  </si>
  <si>
    <t>May 22, 2024 19:02:53 PDT</t>
  </si>
  <si>
    <t>Peekskill, New York, United States</t>
  </si>
  <si>
    <t>US $40.99</t>
  </si>
  <si>
    <t>More than 10 available / 37 sold</t>
  </si>
  <si>
    <t>May 22, 2024 00:25:54 PDT</t>
  </si>
  <si>
    <t>US $34.84/ea</t>
  </si>
  <si>
    <t>Limited quantity available / 4,460 sold</t>
  </si>
  <si>
    <t>May 24, 2024 07:32:37 PDT</t>
  </si>
  <si>
    <t>Givenchy</t>
  </si>
  <si>
    <t>US $34.72/ea</t>
  </si>
  <si>
    <t>71 available / 627 sold</t>
  </si>
  <si>
    <t>May 24, 2024 10:20:09 PDT</t>
  </si>
  <si>
    <t>US $46.33/ea</t>
  </si>
  <si>
    <t>Limited quantity available / 30,655 sold</t>
  </si>
  <si>
    <t>May 24, 2024 07:58:01 PDT</t>
  </si>
  <si>
    <t>US $39.00</t>
  </si>
  <si>
    <t>3 available / 24 sold</t>
  </si>
  <si>
    <t>May 22, 2024 10:17:56 PDT</t>
  </si>
  <si>
    <t>US $21.54/ea</t>
  </si>
  <si>
    <t>96 available / 989 sold</t>
  </si>
  <si>
    <t>May 24, 2024 06:21:20 PDT</t>
  </si>
  <si>
    <t>Polo Ralph Lauren</t>
  </si>
  <si>
    <t>US $32.97/ea</t>
  </si>
  <si>
    <t>1,756 available / 5,023 sold</t>
  </si>
  <si>
    <t>May 24, 2024 07:57:49 PDT</t>
  </si>
  <si>
    <t>US $23.34/ea</t>
  </si>
  <si>
    <t>452 available / 972 sold</t>
  </si>
  <si>
    <t>May 24, 2024 08:09:10 PDT</t>
  </si>
  <si>
    <t>C.K</t>
  </si>
  <si>
    <t>US $28.75</t>
  </si>
  <si>
    <t>Limited quantity available / 12,739 sold</t>
  </si>
  <si>
    <t>May 24, 2024 08:44:02 PDT</t>
  </si>
  <si>
    <t>John Varvatos</t>
  </si>
  <si>
    <t>US $27.94/ea</t>
  </si>
  <si>
    <t>161 available / 485 sold</t>
  </si>
  <si>
    <t>May 23, 2024 12:42:34 PDT</t>
  </si>
  <si>
    <t>US $32.50</t>
  </si>
  <si>
    <t>5 available / 372 sold</t>
  </si>
  <si>
    <t>May 23, 2024 17:14:52 PDT</t>
  </si>
  <si>
    <t>Edison, New Jersey, United States</t>
  </si>
  <si>
    <t>Nautica</t>
  </si>
  <si>
    <t>3 available / 291 sold</t>
  </si>
  <si>
    <t>May 23, 2024 10:21:16 PDT</t>
  </si>
  <si>
    <t>Armada, Michigan, United States</t>
  </si>
  <si>
    <t>US $45.95</t>
  </si>
  <si>
    <t>5 available / 578 sold</t>
  </si>
  <si>
    <t>May 23, 2024 19:16:37 PDT</t>
  </si>
  <si>
    <t>Kalamazoo, Michigan, United States</t>
  </si>
  <si>
    <t>2 available / 99 sold</t>
  </si>
  <si>
    <t>May 24, 2024 02:15:09 PDT</t>
  </si>
  <si>
    <t>Charlotte, North Carolina, United States</t>
  </si>
  <si>
    <t>As Picture Show</t>
  </si>
  <si>
    <t>US $69.99</t>
  </si>
  <si>
    <t>56 available / 44 sold</t>
  </si>
  <si>
    <t>Apr 23, 2024 20:25:43 PDT</t>
  </si>
  <si>
    <t>Dayton, New Jersey, United States</t>
  </si>
  <si>
    <t>US $13.99</t>
  </si>
  <si>
    <t>More than 10 available / 290 sold</t>
  </si>
  <si>
    <t>May 21, 2024 19:21:49 PDT</t>
  </si>
  <si>
    <t>US $36.88/ea</t>
  </si>
  <si>
    <t>Limited quantity available / 19,899 sold</t>
  </si>
  <si>
    <t>May 24, 2024 09:36:54 PDT</t>
  </si>
  <si>
    <t>Kenneth Cole</t>
  </si>
  <si>
    <t>US $24.70/ea</t>
  </si>
  <si>
    <t>Limited quantity available / 12,865 sold</t>
  </si>
  <si>
    <t>May 23, 2024 00:24:59 PDT</t>
  </si>
  <si>
    <t>Tommy Hilfiger</t>
  </si>
  <si>
    <t>US $26.11/ea</t>
  </si>
  <si>
    <t>4 available / 12,184 sold</t>
  </si>
  <si>
    <t>May 23, 2024 13:00:07 PDT</t>
  </si>
  <si>
    <t>More than 10 available / 172 sold</t>
  </si>
  <si>
    <t>May 24, 2024 10:16:08 PDT</t>
  </si>
  <si>
    <t>Perth Amboy, New Jersey, United States</t>
  </si>
  <si>
    <t>2nd To None</t>
  </si>
  <si>
    <t>Concentrated Uncut Pure Body Oil</t>
  </si>
  <si>
    <t>US $6.65</t>
  </si>
  <si>
    <t>9 available / 18,882 sold</t>
  </si>
  <si>
    <t>May 21, 2024 19:14:49 PDT</t>
  </si>
  <si>
    <t>LaGrange, Georgia, United States</t>
  </si>
  <si>
    <t>US $25.99/ea</t>
  </si>
  <si>
    <t>6 available / 1,332 sold</t>
  </si>
  <si>
    <t>May 24, 2024 04:03:31 PDT</t>
  </si>
  <si>
    <t>Cranston, Rhode Island, United States</t>
  </si>
  <si>
    <t>Yves Saint Laurent</t>
  </si>
  <si>
    <t>LE PARFUM</t>
  </si>
  <si>
    <t>US $60.99/ea</t>
  </si>
  <si>
    <t>2 available / 35 sold</t>
  </si>
  <si>
    <t>May 24, 2024 07:11:06 PDT</t>
  </si>
  <si>
    <t>Las Vegas, Nevada, United States</t>
  </si>
  <si>
    <t>Eau De Parfum</t>
  </si>
  <si>
    <t>US $47.88/ea</t>
  </si>
  <si>
    <t>More than 10 available / 25 sold</t>
  </si>
  <si>
    <t>May 23, 2024 20:46:56 PDT</t>
  </si>
  <si>
    <t>Sacramento, California, United States</t>
  </si>
  <si>
    <t>US $31.08/ea</t>
  </si>
  <si>
    <t>842 available / 1,362 sold</t>
  </si>
  <si>
    <t>May 21, 2024 23:15:46 PDT</t>
  </si>
  <si>
    <t>US $24.43</t>
  </si>
  <si>
    <t>Limited quantity available / 110 sold</t>
  </si>
  <si>
    <t>May 23, 2024 16:44:49 PDT</t>
  </si>
  <si>
    <t>US $35.99/ea</t>
  </si>
  <si>
    <t>5 available / 221 sold</t>
  </si>
  <si>
    <t>May 24, 2024 00:47:14 PDT</t>
  </si>
  <si>
    <t>Dayton, New Jersey, Canada</t>
  </si>
  <si>
    <t>US $25.99</t>
  </si>
  <si>
    <t>More than 10 available / 3 sold</t>
  </si>
  <si>
    <t>May 19, 2024 15:48:43 PDT</t>
  </si>
  <si>
    <t>Windsor Mill, Maryland, United States</t>
  </si>
  <si>
    <t>US $38.57/ea</t>
  </si>
  <si>
    <t>484 available / 1,503 sold</t>
  </si>
  <si>
    <t>May 22, 2024 17:31:34 PDT</t>
  </si>
  <si>
    <t>US $24.45/ea</t>
  </si>
  <si>
    <t>Limited quantity available / 1,691 sold</t>
  </si>
  <si>
    <t>May 22, 2024 22:47:05 PDT</t>
  </si>
  <si>
    <t>US $16.26/ea</t>
  </si>
  <si>
    <t>12 available / 644 sold</t>
  </si>
  <si>
    <t>May 20, 2024 07:59:19 PDT</t>
  </si>
  <si>
    <t>US $22.50</t>
  </si>
  <si>
    <t>More than 10 available / 2 sold</t>
  </si>
  <si>
    <t>Mesa, Arizona, United States</t>
  </si>
  <si>
    <t>US $15.03</t>
  </si>
  <si>
    <t>3 available / 44 sold</t>
  </si>
  <si>
    <t>May 24, 2024 05:02:25 PDT</t>
  </si>
  <si>
    <t>US $8.32/ea</t>
  </si>
  <si>
    <t>1,322 available / 417 sold</t>
  </si>
  <si>
    <t>May 23, 2024 08:22:19 PDT</t>
  </si>
  <si>
    <t>US $37.80/ea</t>
  </si>
  <si>
    <t>8 available / 300 sold</t>
  </si>
  <si>
    <t>May 23, 2024 09:23:09 PDT</t>
  </si>
  <si>
    <t>West Orange, New Jersey, United States</t>
  </si>
  <si>
    <t>US $23.56/ea</t>
  </si>
  <si>
    <t>Limited quantity available / 24,048 sold</t>
  </si>
  <si>
    <t>May 23, 2024 08:46:31 PDT</t>
  </si>
  <si>
    <t>US $27.59/ea</t>
  </si>
  <si>
    <t>1,323 available / 4,972 sold</t>
  </si>
  <si>
    <t>May 17, 2024 15:16:24 PDT</t>
  </si>
  <si>
    <t>US $26.50</t>
  </si>
  <si>
    <t>3 available / 3 sold</t>
  </si>
  <si>
    <t>May 22, 2024 18:18:03 PDT</t>
  </si>
  <si>
    <t>Henrico, Virginia, United States</t>
  </si>
  <si>
    <t>US $35.71</t>
  </si>
  <si>
    <t>3 available / 36 sold</t>
  </si>
  <si>
    <t>May 24, 2024 06:58:53 PDT</t>
  </si>
  <si>
    <t>More than 10 available / 594 sold</t>
  </si>
  <si>
    <t>May 24, 2024 09:12:14 PDT</t>
  </si>
  <si>
    <t>US $23.89/ea</t>
  </si>
  <si>
    <t>Limited quantity available / 54,052 sold</t>
  </si>
  <si>
    <t>May 24, 2024 03:59:39 PDT</t>
  </si>
  <si>
    <t>Cologne</t>
  </si>
  <si>
    <t>US $10.99/ea</t>
  </si>
  <si>
    <t>More than 10 available / 179 sold</t>
  </si>
  <si>
    <t>May 18, 2024 14:39:08 PDT</t>
  </si>
  <si>
    <t>US $70.99/ea</t>
  </si>
  <si>
    <t>2 available / 52 sold</t>
  </si>
  <si>
    <t>May 23, 2024 16:50:30 PDT</t>
  </si>
  <si>
    <t>Pfafftown, North Carolina, United States</t>
  </si>
  <si>
    <t>US $16.99</t>
  </si>
  <si>
    <t>More than 10 available / 404 sold</t>
  </si>
  <si>
    <t>Apr 29, 2024 18:02:01 PDT</t>
  </si>
  <si>
    <t>CA, United States</t>
  </si>
  <si>
    <t>AS SHOWN</t>
  </si>
  <si>
    <t>US $126.99</t>
  </si>
  <si>
    <t>Last One / 32 sold</t>
  </si>
  <si>
    <t>May 21, 2024 22:40:20 PDT</t>
  </si>
  <si>
    <t>USA,California, Hong Kong</t>
  </si>
  <si>
    <t>Roja</t>
  </si>
  <si>
    <t>US $159.99/ea</t>
  </si>
  <si>
    <t>More than 10 available / 30 sold</t>
  </si>
  <si>
    <t>May 21, 2024 18:00:42 PDT</t>
  </si>
  <si>
    <t>New York, New York, Taiwan</t>
  </si>
  <si>
    <t>MetaHerbal Labs</t>
  </si>
  <si>
    <t>Unscented</t>
  </si>
  <si>
    <t>US $39.95</t>
  </si>
  <si>
    <t>More than 10 available / 353 sold</t>
  </si>
  <si>
    <t>May 06, 2024 19:01:20 PDT</t>
  </si>
  <si>
    <t>Orange, Connecticut, United States</t>
  </si>
  <si>
    <t>Mirage Brands</t>
  </si>
  <si>
    <t>US $13.66</t>
  </si>
  <si>
    <t>More than 10 available / 552 sold</t>
  </si>
  <si>
    <t>May 24, 2024 00:14:35 PDT</t>
  </si>
  <si>
    <t>Hephzibah, Georgia, United States</t>
  </si>
  <si>
    <t>US $54.99/ea</t>
  </si>
  <si>
    <t>10 available / 780 sold</t>
  </si>
  <si>
    <t>May 22, 2024 18:50:59 PDT</t>
  </si>
  <si>
    <t>More than 10 available / 358 sold</t>
  </si>
  <si>
    <t>May 24, 2024 09:56:14 PDT</t>
  </si>
  <si>
    <t>Abercrombie &amp; Fitch</t>
  </si>
  <si>
    <t>Eau de Cologne</t>
  </si>
  <si>
    <t>9 available / 87 sold</t>
  </si>
  <si>
    <t>May 23, 2024 09:26:33 PDT</t>
  </si>
  <si>
    <t>US $89.99</t>
  </si>
  <si>
    <t>6 available / 23 sold</t>
  </si>
  <si>
    <t>May 16, 2024 19:15:06 PDT</t>
  </si>
  <si>
    <t>El Cajon, California, Hong Kong</t>
  </si>
  <si>
    <t>US $109.99/ea</t>
  </si>
  <si>
    <t>May 23, 2024 18:03:02 PDT</t>
  </si>
  <si>
    <t>California,United States, Hong Kong, Hong Kong</t>
  </si>
  <si>
    <t>US $92.56/ea</t>
  </si>
  <si>
    <t>Limited quantity available / 2,293 sold</t>
  </si>
  <si>
    <t>May 24, 2024 06:15:40 PDT</t>
  </si>
  <si>
    <t>6 available / 8 sold</t>
  </si>
  <si>
    <t>May 22, 2024 22:34:16 PDT</t>
  </si>
  <si>
    <t>US $59.99</t>
  </si>
  <si>
    <t>More than 10 available / 14 sold</t>
  </si>
  <si>
    <t>May 21, 2024 07:50:36 PDT</t>
  </si>
  <si>
    <t>4 available / 42 sold</t>
  </si>
  <si>
    <t>May 23, 2024 22:52:13 PDT</t>
  </si>
  <si>
    <t>Fresh Meadows, New York, United States</t>
  </si>
  <si>
    <t>US $13.86/ea</t>
  </si>
  <si>
    <t>More than 10 available / 1,146 sold</t>
  </si>
  <si>
    <t>May 24, 2024 08:52:14 PDT</t>
  </si>
  <si>
    <t>Cumming, Georgia, United States</t>
  </si>
  <si>
    <t>Moschino</t>
  </si>
  <si>
    <t>US $29.99</t>
  </si>
  <si>
    <t>5 available / 17 sold</t>
  </si>
  <si>
    <t>May 24, 2024 00:58:38 PDT</t>
  </si>
  <si>
    <t>PRICE WITH CURRENCY</t>
  </si>
  <si>
    <t>AVAILABLE</t>
  </si>
  <si>
    <t>AVAILABLE TEXT</t>
  </si>
  <si>
    <t>SOLD</t>
  </si>
  <si>
    <t>LAST UPDATED</t>
  </si>
  <si>
    <t>ITEM LOCATION</t>
  </si>
  <si>
    <t>BRAND</t>
  </si>
  <si>
    <t>HIGH SALES AND LOW SALES</t>
  </si>
  <si>
    <t>I used an IF function to categorize sales into High or Low, and the output is in column H</t>
  </si>
  <si>
    <t>SumIF</t>
  </si>
  <si>
    <t>(SOLD values only for items where PRICE is greater than 50)</t>
  </si>
  <si>
    <t>CountIF</t>
  </si>
  <si>
    <t>AverageIF</t>
  </si>
  <si>
    <t>I used the AVERAGEIF function to find the average sales for the Dior brand, and I also checked for the unbranded category</t>
  </si>
  <si>
    <t>I used the COUNTIF function to check how many ‘Dior’ brand entries are there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</si>
</sst>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</cellXfs>
  <cellStyles count="1">
    <cellStyle name="Normal" xfId="0" builtinId="0"/>
  </cellStyles>
  <dxfs count="12">
    <dxf>
      <border diagonalUp="0" diagonalDown="0" outline="0">
        <left/>
        <right/>
        <top style="thin">
          <color theme="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border diagonalUp="0" diagonalDown="0" outline="0">
        <left/>
        <right/>
        <top style="thin">
          <color theme="4"/>
        </top>
        <bottom/>
      </border>
    </dxf>
    <dxf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border diagonalUp="0" diagonalDown="0" outline="0">
        <left/>
        <right/>
        <top style="thin">
          <color theme="4"/>
        </top>
        <bottom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C1B7AB-D83C-4704-A5A1-8FAE5B61CD5E}" name="Table2" displayName="Table2" ref="A1:J101" totalsRowShown="0" headerRowDxfId="11" tableBorderDxfId="10">
  <autoFilter ref="A1:J101" xr:uid="{C5C1B7AB-D83C-4704-A5A1-8FAE5B61CD5E}"/>
  <tableColumns count="10">
    <tableColumn id="1" xr3:uid="{2C5A4B5A-07FF-4035-8081-ACDF3B56C71D}" name="BRAND" dataDxfId="9"/>
    <tableColumn id="2" xr3:uid="{20870211-D33F-49B8-AA6A-4302FF7FD760}" name="TYPE" dataDxfId="8"/>
    <tableColumn id="3" xr3:uid="{26B9BF49-405F-4FB0-89E2-1D913D553F25}" name="PRICE" dataDxfId="7"/>
    <tableColumn id="4" xr3:uid="{B7FF7D0D-C02C-44FC-9F31-1FF3D8C20827}" name="PRICE WITH CURRENCY" dataDxfId="6"/>
    <tableColumn id="5" xr3:uid="{9993DB5A-73E4-4BA5-AD95-7909B732F238}" name="AVAILABLE" dataDxfId="5"/>
    <tableColumn id="6" xr3:uid="{0F102B4F-3853-46AD-B7DA-7168D28BF7E9}" name="AVAILABLE TEXT" dataDxfId="4"/>
    <tableColumn id="7" xr3:uid="{831A0F1C-048A-47BD-9B8F-CD06275FBCE5}" name="SOLD" dataDxfId="3"/>
    <tableColumn id="10" xr3:uid="{5883AC82-52D7-4F38-83D9-FD2BF5821C2A}" name="HIGH SALES AND LOW SALES" dataDxfId="2">
      <calculatedColumnFormula>IF(Table2[[#This Row],[SOLD]]&gt;100,"High Sales","Low Sales")</calculatedColumnFormula>
    </tableColumn>
    <tableColumn id="8" xr3:uid="{969542AE-96ED-4B65-A227-D2CD404E88C0}" name="LAST UPDATED" dataDxfId="1"/>
    <tableColumn id="9" xr3:uid="{73D401C3-7C70-4A85-9101-342BD3611C5C}" name="ITEM LOCATION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A1C91-0F8A-412D-A1AF-E6AB00290BF2}">
  <dimension ref="A1:J109"/>
  <sheetViews>
    <sheetView tabSelected="1" topLeftCell="A82" workbookViewId="0">
      <selection activeCell="F107" sqref="F107"/>
    </sheetView>
  </sheetViews>
  <sheetFormatPr defaultRowHeight="14.4" x14ac:dyDescent="0.3"/>
  <cols>
    <col min="1" max="1" width="17.77734375" bestFit="1" customWidth="1"/>
    <col min="2" max="2" width="29.21875" bestFit="1" customWidth="1"/>
    <col min="3" max="3" width="10.33203125" bestFit="1" customWidth="1"/>
    <col min="4" max="4" width="22.88671875" bestFit="1" customWidth="1"/>
    <col min="5" max="5" width="10.5546875" customWidth="1"/>
    <col min="6" max="6" width="33.21875" bestFit="1" customWidth="1"/>
    <col min="7" max="7" width="9.88671875" bestFit="1" customWidth="1"/>
    <col min="8" max="8" width="29.88671875" style="8" bestFit="1" customWidth="1"/>
    <col min="9" max="9" width="23.44140625" style="1" bestFit="1" customWidth="1"/>
    <col min="10" max="10" width="40.109375" bestFit="1" customWidth="1"/>
  </cols>
  <sheetData>
    <row r="1" spans="1:10" x14ac:dyDescent="0.3">
      <c r="A1" s="4" t="s">
        <v>408</v>
      </c>
      <c r="B1" s="4" t="s">
        <v>1</v>
      </c>
      <c r="C1" s="4" t="s">
        <v>2</v>
      </c>
      <c r="D1" s="4" t="s">
        <v>402</v>
      </c>
      <c r="E1" s="4" t="s">
        <v>403</v>
      </c>
      <c r="F1" s="4" t="s">
        <v>404</v>
      </c>
      <c r="G1" s="4" t="s">
        <v>405</v>
      </c>
      <c r="H1" s="4" t="s">
        <v>409</v>
      </c>
      <c r="I1" s="4" t="s">
        <v>406</v>
      </c>
      <c r="J1" s="4" t="s">
        <v>407</v>
      </c>
    </row>
    <row r="2" spans="1:10" x14ac:dyDescent="0.3">
      <c r="A2" s="3" t="s">
        <v>3</v>
      </c>
      <c r="B2" s="3" t="s">
        <v>4</v>
      </c>
      <c r="C2" s="6">
        <v>84.99</v>
      </c>
      <c r="D2" s="6" t="s">
        <v>5</v>
      </c>
      <c r="E2" s="6">
        <v>10</v>
      </c>
      <c r="F2" s="3" t="s">
        <v>6</v>
      </c>
      <c r="G2" s="6">
        <v>116</v>
      </c>
      <c r="H2" s="7" t="str">
        <f>IF(Table2[[#This Row],[SOLD]]&gt;100,"High Sales","Low Sales")</f>
        <v>High Sales</v>
      </c>
      <c r="I2" s="5" t="s">
        <v>7</v>
      </c>
      <c r="J2" s="3" t="s">
        <v>8</v>
      </c>
    </row>
    <row r="3" spans="1:10" x14ac:dyDescent="0.3">
      <c r="A3" s="3" t="s">
        <v>9</v>
      </c>
      <c r="B3" s="3" t="s">
        <v>4</v>
      </c>
      <c r="C3" s="6">
        <v>109.99</v>
      </c>
      <c r="D3" s="6" t="s">
        <v>10</v>
      </c>
      <c r="E3" s="6">
        <v>8</v>
      </c>
      <c r="F3" s="3" t="s">
        <v>11</v>
      </c>
      <c r="G3" s="6">
        <v>48</v>
      </c>
      <c r="H3" s="7" t="str">
        <f>IF(Table2[[#This Row],[SOLD]]&gt;100,"High Sales","Low Sales")</f>
        <v>Low Sales</v>
      </c>
      <c r="I3" s="5" t="s">
        <v>12</v>
      </c>
      <c r="J3" s="3" t="s">
        <v>13</v>
      </c>
    </row>
    <row r="4" spans="1:10" x14ac:dyDescent="0.3">
      <c r="A4" s="3" t="s">
        <v>14</v>
      </c>
      <c r="B4" s="3" t="s">
        <v>15</v>
      </c>
      <c r="C4" s="6">
        <v>100</v>
      </c>
      <c r="D4" s="6" t="s">
        <v>16</v>
      </c>
      <c r="E4" s="6">
        <v>10</v>
      </c>
      <c r="F4" s="3" t="s">
        <v>17</v>
      </c>
      <c r="G4" s="6">
        <v>27</v>
      </c>
      <c r="H4" s="7" t="str">
        <f>IF(Table2[[#This Row],[SOLD]]&gt;100,"High Sales","Low Sales")</f>
        <v>Low Sales</v>
      </c>
      <c r="I4" s="5" t="s">
        <v>18</v>
      </c>
      <c r="J4" s="3" t="s">
        <v>19</v>
      </c>
    </row>
    <row r="5" spans="1:10" x14ac:dyDescent="0.3">
      <c r="A5" s="3" t="s">
        <v>20</v>
      </c>
      <c r="B5" s="3" t="s">
        <v>15</v>
      </c>
      <c r="C5" s="6">
        <v>44.99</v>
      </c>
      <c r="D5" s="6" t="s">
        <v>21</v>
      </c>
      <c r="E5" s="6">
        <v>2</v>
      </c>
      <c r="F5" s="3" t="s">
        <v>22</v>
      </c>
      <c r="G5" s="6">
        <v>159</v>
      </c>
      <c r="H5" s="7" t="str">
        <f>IF(Table2[[#This Row],[SOLD]]&gt;100,"High Sales","Low Sales")</f>
        <v>High Sales</v>
      </c>
      <c r="I5" s="5" t="s">
        <v>23</v>
      </c>
      <c r="J5" s="3" t="s">
        <v>24</v>
      </c>
    </row>
    <row r="6" spans="1:10" x14ac:dyDescent="0.3">
      <c r="A6" s="3" t="s">
        <v>25</v>
      </c>
      <c r="B6" s="3" t="s">
        <v>26</v>
      </c>
      <c r="C6" s="6">
        <v>16.91</v>
      </c>
      <c r="D6" s="6" t="s">
        <v>27</v>
      </c>
      <c r="E6" s="6">
        <v>6</v>
      </c>
      <c r="F6" s="3" t="s">
        <v>28</v>
      </c>
      <c r="G6" s="6">
        <v>156</v>
      </c>
      <c r="H6" s="7" t="str">
        <f>IF(Table2[[#This Row],[SOLD]]&gt;100,"High Sales","Low Sales")</f>
        <v>High Sales</v>
      </c>
      <c r="I6" s="5" t="s">
        <v>29</v>
      </c>
      <c r="J6" s="3" t="s">
        <v>30</v>
      </c>
    </row>
    <row r="7" spans="1:10" x14ac:dyDescent="0.3">
      <c r="A7" s="3" t="s">
        <v>31</v>
      </c>
      <c r="B7" s="3" t="s">
        <v>32</v>
      </c>
      <c r="C7" s="6">
        <v>14.99</v>
      </c>
      <c r="D7" s="6" t="s">
        <v>33</v>
      </c>
      <c r="E7" s="6">
        <v>10</v>
      </c>
      <c r="F7" s="3" t="s">
        <v>34</v>
      </c>
      <c r="G7" s="6">
        <v>79</v>
      </c>
      <c r="H7" s="7" t="str">
        <f>IF(Table2[[#This Row],[SOLD]]&gt;100,"High Sales","Low Sales")</f>
        <v>Low Sales</v>
      </c>
      <c r="I7" s="5" t="s">
        <v>35</v>
      </c>
      <c r="J7" s="3" t="s">
        <v>36</v>
      </c>
    </row>
    <row r="8" spans="1:10" x14ac:dyDescent="0.3">
      <c r="A8" s="3" t="s">
        <v>37</v>
      </c>
      <c r="B8" s="3" t="s">
        <v>4</v>
      </c>
      <c r="C8" s="6">
        <v>30.99</v>
      </c>
      <c r="D8" s="6" t="s">
        <v>38</v>
      </c>
      <c r="E8" s="6">
        <v>9</v>
      </c>
      <c r="F8" s="3" t="s">
        <v>39</v>
      </c>
      <c r="G8" s="6">
        <v>39</v>
      </c>
      <c r="H8" s="7" t="str">
        <f>IF(Table2[[#This Row],[SOLD]]&gt;100,"High Sales","Low Sales")</f>
        <v>Low Sales</v>
      </c>
      <c r="I8" s="5" t="s">
        <v>40</v>
      </c>
      <c r="J8" s="3" t="s">
        <v>41</v>
      </c>
    </row>
    <row r="9" spans="1:10" x14ac:dyDescent="0.3">
      <c r="A9" s="3" t="s">
        <v>14</v>
      </c>
      <c r="B9" s="3" t="s">
        <v>4</v>
      </c>
      <c r="C9" s="6">
        <v>85</v>
      </c>
      <c r="D9" s="6" t="s">
        <v>42</v>
      </c>
      <c r="E9" s="6">
        <v>5</v>
      </c>
      <c r="F9" s="3" t="s">
        <v>43</v>
      </c>
      <c r="G9" s="6">
        <v>6</v>
      </c>
      <c r="H9" s="7" t="str">
        <f>IF(Table2[[#This Row],[SOLD]]&gt;100,"High Sales","Low Sales")</f>
        <v>Low Sales</v>
      </c>
      <c r="I9" s="5" t="s">
        <v>44</v>
      </c>
      <c r="J9" s="3" t="s">
        <v>45</v>
      </c>
    </row>
    <row r="10" spans="1:10" x14ac:dyDescent="0.3">
      <c r="A10" s="3" t="s">
        <v>14</v>
      </c>
      <c r="B10" s="3" t="s">
        <v>32</v>
      </c>
      <c r="C10" s="6">
        <v>15.89</v>
      </c>
      <c r="D10" s="6" t="s">
        <v>46</v>
      </c>
      <c r="E10" s="6">
        <v>10</v>
      </c>
      <c r="F10" s="3" t="s">
        <v>47</v>
      </c>
      <c r="G10" s="6">
        <v>17</v>
      </c>
      <c r="H10" s="7" t="str">
        <f>IF(Table2[[#This Row],[SOLD]]&gt;100,"High Sales","Low Sales")</f>
        <v>Low Sales</v>
      </c>
      <c r="I10" s="5" t="s">
        <v>48</v>
      </c>
      <c r="J10" s="3" t="s">
        <v>49</v>
      </c>
    </row>
    <row r="11" spans="1:10" x14ac:dyDescent="0.3">
      <c r="A11" s="3" t="s">
        <v>50</v>
      </c>
      <c r="B11" s="3" t="s">
        <v>4</v>
      </c>
      <c r="C11" s="6">
        <v>49.99</v>
      </c>
      <c r="D11" s="6" t="s">
        <v>51</v>
      </c>
      <c r="E11" s="6">
        <v>8</v>
      </c>
      <c r="F11" s="3" t="s">
        <v>52</v>
      </c>
      <c r="G11" s="6">
        <v>68</v>
      </c>
      <c r="H11" s="7" t="str">
        <f>IF(Table2[[#This Row],[SOLD]]&gt;100,"High Sales","Low Sales")</f>
        <v>Low Sales</v>
      </c>
      <c r="I11" s="5" t="s">
        <v>53</v>
      </c>
      <c r="J11" s="3" t="s">
        <v>54</v>
      </c>
    </row>
    <row r="12" spans="1:10" x14ac:dyDescent="0.3">
      <c r="A12" s="3" t="s">
        <v>55</v>
      </c>
      <c r="B12" s="3" t="s">
        <v>15</v>
      </c>
      <c r="C12" s="6">
        <v>34.99</v>
      </c>
      <c r="D12" s="6" t="s">
        <v>56</v>
      </c>
      <c r="E12" s="6">
        <v>10</v>
      </c>
      <c r="F12" s="3" t="s">
        <v>57</v>
      </c>
      <c r="G12" s="6">
        <v>615</v>
      </c>
      <c r="H12" s="7" t="str">
        <f>IF(Table2[[#This Row],[SOLD]]&gt;100,"High Sales","Low Sales")</f>
        <v>High Sales</v>
      </c>
      <c r="I12" s="5" t="s">
        <v>58</v>
      </c>
      <c r="J12" s="3" t="s">
        <v>59</v>
      </c>
    </row>
    <row r="13" spans="1:10" x14ac:dyDescent="0.3">
      <c r="A13" s="3" t="s">
        <v>60</v>
      </c>
      <c r="B13" s="3" t="s">
        <v>15</v>
      </c>
      <c r="C13" s="6">
        <v>29.95</v>
      </c>
      <c r="D13" s="6" t="s">
        <v>61</v>
      </c>
      <c r="E13" s="6">
        <v>7</v>
      </c>
      <c r="F13" s="3" t="s">
        <v>62</v>
      </c>
      <c r="G13" s="6">
        <v>458</v>
      </c>
      <c r="H13" s="7" t="str">
        <f>IF(Table2[[#This Row],[SOLD]]&gt;100,"High Sales","Low Sales")</f>
        <v>High Sales</v>
      </c>
      <c r="I13" s="5" t="s">
        <v>63</v>
      </c>
      <c r="J13" s="3" t="s">
        <v>64</v>
      </c>
    </row>
    <row r="14" spans="1:10" x14ac:dyDescent="0.3">
      <c r="A14" s="3" t="s">
        <v>65</v>
      </c>
      <c r="B14" s="3" t="s">
        <v>32</v>
      </c>
      <c r="C14" s="6">
        <v>15.99</v>
      </c>
      <c r="D14" s="6" t="s">
        <v>66</v>
      </c>
      <c r="E14" s="6">
        <v>10</v>
      </c>
      <c r="F14" s="3" t="s">
        <v>67</v>
      </c>
      <c r="G14" s="6">
        <v>889</v>
      </c>
      <c r="H14" s="7" t="str">
        <f>IF(Table2[[#This Row],[SOLD]]&gt;100,"High Sales","Low Sales")</f>
        <v>High Sales</v>
      </c>
      <c r="I14" s="5" t="s">
        <v>68</v>
      </c>
      <c r="J14" s="3" t="s">
        <v>69</v>
      </c>
    </row>
    <row r="15" spans="1:10" x14ac:dyDescent="0.3">
      <c r="A15" s="3" t="s">
        <v>70</v>
      </c>
      <c r="B15" s="3" t="s">
        <v>4</v>
      </c>
      <c r="C15" s="6">
        <v>59.99</v>
      </c>
      <c r="D15" s="6" t="s">
        <v>71</v>
      </c>
      <c r="E15" s="6">
        <v>9</v>
      </c>
      <c r="F15" s="3" t="s">
        <v>72</v>
      </c>
      <c r="G15" s="6">
        <v>63</v>
      </c>
      <c r="H15" s="7" t="str">
        <f>IF(Table2[[#This Row],[SOLD]]&gt;100,"High Sales","Low Sales")</f>
        <v>Low Sales</v>
      </c>
      <c r="I15" s="5" t="s">
        <v>73</v>
      </c>
      <c r="J15" s="3" t="s">
        <v>74</v>
      </c>
    </row>
    <row r="16" spans="1:10" x14ac:dyDescent="0.3">
      <c r="A16" s="3" t="s">
        <v>75</v>
      </c>
      <c r="B16" s="3" t="s">
        <v>15</v>
      </c>
      <c r="C16" s="6">
        <v>34.99</v>
      </c>
      <c r="D16" s="6" t="s">
        <v>56</v>
      </c>
      <c r="E16" s="6">
        <v>7</v>
      </c>
      <c r="F16" s="3" t="s">
        <v>76</v>
      </c>
      <c r="G16" s="6">
        <v>136</v>
      </c>
      <c r="H16" s="7" t="str">
        <f>IF(Table2[[#This Row],[SOLD]]&gt;100,"High Sales","Low Sales")</f>
        <v>High Sales</v>
      </c>
      <c r="I16" s="5" t="s">
        <v>77</v>
      </c>
      <c r="J16" s="3" t="s">
        <v>64</v>
      </c>
    </row>
    <row r="17" spans="1:10" x14ac:dyDescent="0.3">
      <c r="A17" s="3" t="s">
        <v>78</v>
      </c>
      <c r="B17" s="3" t="s">
        <v>79</v>
      </c>
      <c r="C17" s="6">
        <v>68.989999999999995</v>
      </c>
      <c r="D17" s="6" t="s">
        <v>80</v>
      </c>
      <c r="E17" s="6">
        <v>2</v>
      </c>
      <c r="F17" s="3" t="s">
        <v>81</v>
      </c>
      <c r="G17" s="6">
        <v>20</v>
      </c>
      <c r="H17" s="7" t="str">
        <f>IF(Table2[[#This Row],[SOLD]]&gt;100,"High Sales","Low Sales")</f>
        <v>Low Sales</v>
      </c>
      <c r="I17" s="5" t="s">
        <v>82</v>
      </c>
      <c r="J17" s="3" t="s">
        <v>83</v>
      </c>
    </row>
    <row r="18" spans="1:10" x14ac:dyDescent="0.3">
      <c r="A18" s="3" t="s">
        <v>84</v>
      </c>
      <c r="B18" s="3" t="s">
        <v>4</v>
      </c>
      <c r="C18" s="6">
        <v>37.99</v>
      </c>
      <c r="D18" s="6" t="s">
        <v>85</v>
      </c>
      <c r="E18" s="6">
        <v>10</v>
      </c>
      <c r="F18" s="3" t="s">
        <v>86</v>
      </c>
      <c r="G18" s="6">
        <v>44</v>
      </c>
      <c r="H18" s="7" t="str">
        <f>IF(Table2[[#This Row],[SOLD]]&gt;100,"High Sales","Low Sales")</f>
        <v>Low Sales</v>
      </c>
      <c r="I18" s="5" t="s">
        <v>87</v>
      </c>
      <c r="J18" s="3" t="s">
        <v>88</v>
      </c>
    </row>
    <row r="19" spans="1:10" x14ac:dyDescent="0.3">
      <c r="A19" s="3" t="s">
        <v>89</v>
      </c>
      <c r="B19" s="3" t="s">
        <v>15</v>
      </c>
      <c r="C19" s="6">
        <v>29.99</v>
      </c>
      <c r="D19" s="6" t="s">
        <v>90</v>
      </c>
      <c r="E19" s="6">
        <v>5</v>
      </c>
      <c r="F19" s="3" t="s">
        <v>91</v>
      </c>
      <c r="G19" s="6">
        <v>384</v>
      </c>
      <c r="H19" s="7" t="str">
        <f>IF(Table2[[#This Row],[SOLD]]&gt;100,"High Sales","Low Sales")</f>
        <v>High Sales</v>
      </c>
      <c r="I19" s="5" t="s">
        <v>92</v>
      </c>
      <c r="J19" s="3" t="s">
        <v>93</v>
      </c>
    </row>
    <row r="20" spans="1:10" x14ac:dyDescent="0.3">
      <c r="A20" s="3" t="s">
        <v>94</v>
      </c>
      <c r="B20" s="3" t="s">
        <v>15</v>
      </c>
      <c r="C20" s="6">
        <v>39.99</v>
      </c>
      <c r="D20" s="6" t="s">
        <v>95</v>
      </c>
      <c r="E20" s="6">
        <v>10</v>
      </c>
      <c r="F20" s="3" t="s">
        <v>96</v>
      </c>
      <c r="G20" s="6">
        <v>236</v>
      </c>
      <c r="H20" s="7" t="str">
        <f>IF(Table2[[#This Row],[SOLD]]&gt;100,"High Sales","Low Sales")</f>
        <v>High Sales</v>
      </c>
      <c r="I20" s="5" t="s">
        <v>97</v>
      </c>
      <c r="J20" s="3" t="s">
        <v>98</v>
      </c>
    </row>
    <row r="21" spans="1:10" x14ac:dyDescent="0.3">
      <c r="A21" s="3" t="s">
        <v>3</v>
      </c>
      <c r="B21" s="3" t="s">
        <v>15</v>
      </c>
      <c r="C21" s="6">
        <v>83.95</v>
      </c>
      <c r="D21" s="6" t="s">
        <v>99</v>
      </c>
      <c r="E21" s="6">
        <v>4</v>
      </c>
      <c r="F21" s="3" t="s">
        <v>100</v>
      </c>
      <c r="G21" s="6">
        <v>22</v>
      </c>
      <c r="H21" s="7" t="str">
        <f>IF(Table2[[#This Row],[SOLD]]&gt;100,"High Sales","Low Sales")</f>
        <v>Low Sales</v>
      </c>
      <c r="I21" s="5" t="s">
        <v>101</v>
      </c>
      <c r="J21" s="3" t="s">
        <v>102</v>
      </c>
    </row>
    <row r="22" spans="1:10" x14ac:dyDescent="0.3">
      <c r="A22" s="3" t="s">
        <v>103</v>
      </c>
      <c r="B22" s="3" t="s">
        <v>15</v>
      </c>
      <c r="C22" s="6">
        <v>29.94</v>
      </c>
      <c r="D22" s="6" t="s">
        <v>104</v>
      </c>
      <c r="E22" s="6"/>
      <c r="F22" s="3" t="s">
        <v>105</v>
      </c>
      <c r="G22" s="6">
        <v>9208</v>
      </c>
      <c r="H22" s="7" t="str">
        <f>IF(Table2[[#This Row],[SOLD]]&gt;100,"High Sales","Low Sales")</f>
        <v>High Sales</v>
      </c>
      <c r="I22" s="5" t="s">
        <v>106</v>
      </c>
      <c r="J22" s="3" t="s">
        <v>107</v>
      </c>
    </row>
    <row r="23" spans="1:10" x14ac:dyDescent="0.3">
      <c r="A23" s="3" t="s">
        <v>108</v>
      </c>
      <c r="B23" s="3" t="s">
        <v>15</v>
      </c>
      <c r="C23" s="6">
        <v>21.99</v>
      </c>
      <c r="D23" s="6" t="s">
        <v>109</v>
      </c>
      <c r="E23" s="6">
        <v>4</v>
      </c>
      <c r="F23" s="3" t="s">
        <v>110</v>
      </c>
      <c r="G23" s="6">
        <v>86</v>
      </c>
      <c r="H23" s="7" t="str">
        <f>IF(Table2[[#This Row],[SOLD]]&gt;100,"High Sales","Low Sales")</f>
        <v>Low Sales</v>
      </c>
      <c r="I23" s="5" t="s">
        <v>111</v>
      </c>
      <c r="J23" s="3" t="s">
        <v>88</v>
      </c>
    </row>
    <row r="24" spans="1:10" x14ac:dyDescent="0.3">
      <c r="A24" s="3" t="s">
        <v>112</v>
      </c>
      <c r="B24" s="3" t="s">
        <v>26</v>
      </c>
      <c r="C24" s="6">
        <v>49.99</v>
      </c>
      <c r="D24" s="6" t="s">
        <v>113</v>
      </c>
      <c r="E24" s="6">
        <v>3</v>
      </c>
      <c r="F24" s="3" t="s">
        <v>114</v>
      </c>
      <c r="G24" s="6">
        <v>187</v>
      </c>
      <c r="H24" s="7" t="str">
        <f>IF(Table2[[#This Row],[SOLD]]&gt;100,"High Sales","Low Sales")</f>
        <v>High Sales</v>
      </c>
      <c r="I24" s="5" t="s">
        <v>115</v>
      </c>
      <c r="J24" s="3" t="s">
        <v>30</v>
      </c>
    </row>
    <row r="25" spans="1:10" x14ac:dyDescent="0.3">
      <c r="A25" s="3" t="s">
        <v>116</v>
      </c>
      <c r="B25" s="3" t="s">
        <v>4</v>
      </c>
      <c r="C25" s="6">
        <v>33.700000000000003</v>
      </c>
      <c r="D25" s="6" t="s">
        <v>117</v>
      </c>
      <c r="E25" s="6">
        <v>10</v>
      </c>
      <c r="F25" s="3" t="s">
        <v>118</v>
      </c>
      <c r="G25" s="6">
        <v>131</v>
      </c>
      <c r="H25" s="7" t="str">
        <f>IF(Table2[[#This Row],[SOLD]]&gt;100,"High Sales","Low Sales")</f>
        <v>High Sales</v>
      </c>
      <c r="I25" s="5" t="s">
        <v>119</v>
      </c>
      <c r="J25" s="3" t="s">
        <v>120</v>
      </c>
    </row>
    <row r="26" spans="1:10" x14ac:dyDescent="0.3">
      <c r="A26" s="3" t="s">
        <v>75</v>
      </c>
      <c r="B26" s="3" t="s">
        <v>15</v>
      </c>
      <c r="C26" s="6">
        <v>35.99</v>
      </c>
      <c r="D26" s="6" t="s">
        <v>121</v>
      </c>
      <c r="E26" s="6">
        <v>2</v>
      </c>
      <c r="F26" s="3" t="s">
        <v>122</v>
      </c>
      <c r="G26" s="6">
        <v>43</v>
      </c>
      <c r="H26" s="7" t="str">
        <f>IF(Table2[[#This Row],[SOLD]]&gt;100,"High Sales","Low Sales")</f>
        <v>Low Sales</v>
      </c>
      <c r="I26" s="5" t="s">
        <v>123</v>
      </c>
      <c r="J26" s="3" t="s">
        <v>124</v>
      </c>
    </row>
    <row r="27" spans="1:10" x14ac:dyDescent="0.3">
      <c r="A27" s="3" t="s">
        <v>125</v>
      </c>
      <c r="B27" s="3" t="s">
        <v>126</v>
      </c>
      <c r="C27" s="6">
        <v>89.97</v>
      </c>
      <c r="D27" s="6" t="s">
        <v>127</v>
      </c>
      <c r="E27" s="6">
        <v>10</v>
      </c>
      <c r="F27" s="3" t="s">
        <v>128</v>
      </c>
      <c r="G27" s="6">
        <v>920</v>
      </c>
      <c r="H27" s="7" t="str">
        <f>IF(Table2[[#This Row],[SOLD]]&gt;100,"High Sales","Low Sales")</f>
        <v>High Sales</v>
      </c>
      <c r="I27" s="5" t="s">
        <v>129</v>
      </c>
      <c r="J27" s="3" t="s">
        <v>130</v>
      </c>
    </row>
    <row r="28" spans="1:10" x14ac:dyDescent="0.3">
      <c r="A28" s="3" t="s">
        <v>14</v>
      </c>
      <c r="B28" s="3" t="s">
        <v>4</v>
      </c>
      <c r="C28" s="6">
        <v>92.99</v>
      </c>
      <c r="D28" s="6" t="s">
        <v>131</v>
      </c>
      <c r="E28" s="6">
        <v>5</v>
      </c>
      <c r="F28" s="3" t="s">
        <v>132</v>
      </c>
      <c r="G28" s="6">
        <v>19</v>
      </c>
      <c r="H28" s="7" t="str">
        <f>IF(Table2[[#This Row],[SOLD]]&gt;100,"High Sales","Low Sales")</f>
        <v>Low Sales</v>
      </c>
      <c r="I28" s="5" t="s">
        <v>133</v>
      </c>
      <c r="J28" s="3" t="s">
        <v>134</v>
      </c>
    </row>
    <row r="29" spans="1:10" x14ac:dyDescent="0.3">
      <c r="A29" s="3" t="s">
        <v>125</v>
      </c>
      <c r="B29" s="3" t="s">
        <v>4</v>
      </c>
      <c r="C29" s="6">
        <v>87.99</v>
      </c>
      <c r="D29" s="6" t="s">
        <v>135</v>
      </c>
      <c r="E29" s="6">
        <v>2</v>
      </c>
      <c r="F29" s="3" t="s">
        <v>136</v>
      </c>
      <c r="G29" s="6">
        <v>4</v>
      </c>
      <c r="H29" s="7" t="str">
        <f>IF(Table2[[#This Row],[SOLD]]&gt;100,"High Sales","Low Sales")</f>
        <v>Low Sales</v>
      </c>
      <c r="I29" s="5" t="s">
        <v>133</v>
      </c>
      <c r="J29" s="3" t="s">
        <v>137</v>
      </c>
    </row>
    <row r="30" spans="1:10" x14ac:dyDescent="0.3">
      <c r="A30" s="3" t="s">
        <v>20</v>
      </c>
      <c r="B30" s="3" t="s">
        <v>4</v>
      </c>
      <c r="C30" s="6">
        <v>119.99</v>
      </c>
      <c r="D30" s="6" t="s">
        <v>138</v>
      </c>
      <c r="E30" s="6">
        <v>10</v>
      </c>
      <c r="F30" s="3" t="s">
        <v>139</v>
      </c>
      <c r="G30" s="6">
        <v>34</v>
      </c>
      <c r="H30" s="7" t="str">
        <f>IF(Table2[[#This Row],[SOLD]]&gt;100,"High Sales","Low Sales")</f>
        <v>Low Sales</v>
      </c>
      <c r="I30" s="5" t="s">
        <v>140</v>
      </c>
      <c r="J30" s="3" t="s">
        <v>141</v>
      </c>
    </row>
    <row r="31" spans="1:10" x14ac:dyDescent="0.3">
      <c r="A31" s="3" t="s">
        <v>142</v>
      </c>
      <c r="B31" s="3" t="s">
        <v>4</v>
      </c>
      <c r="C31" s="6">
        <v>99.99</v>
      </c>
      <c r="D31" s="6" t="s">
        <v>143</v>
      </c>
      <c r="E31" s="6">
        <v>2</v>
      </c>
      <c r="F31" s="3" t="s">
        <v>144</v>
      </c>
      <c r="G31" s="6">
        <v>30</v>
      </c>
      <c r="H31" s="7" t="str">
        <f>IF(Table2[[#This Row],[SOLD]]&gt;100,"High Sales","Low Sales")</f>
        <v>Low Sales</v>
      </c>
      <c r="I31" s="5" t="s">
        <v>145</v>
      </c>
      <c r="J31" s="3" t="s">
        <v>146</v>
      </c>
    </row>
    <row r="32" spans="1:10" x14ac:dyDescent="0.3">
      <c r="A32" s="3" t="s">
        <v>147</v>
      </c>
      <c r="B32" s="3" t="s">
        <v>4</v>
      </c>
      <c r="C32" s="6">
        <v>51.91</v>
      </c>
      <c r="D32" s="6" t="s">
        <v>148</v>
      </c>
      <c r="E32" s="6">
        <v>4</v>
      </c>
      <c r="F32" s="3" t="s">
        <v>149</v>
      </c>
      <c r="G32" s="6">
        <v>47</v>
      </c>
      <c r="H32" s="7" t="str">
        <f>IF(Table2[[#This Row],[SOLD]]&gt;100,"High Sales","Low Sales")</f>
        <v>Low Sales</v>
      </c>
      <c r="I32" s="5" t="s">
        <v>150</v>
      </c>
      <c r="J32" s="3" t="s">
        <v>151</v>
      </c>
    </row>
    <row r="33" spans="1:10" x14ac:dyDescent="0.3">
      <c r="A33" s="3" t="s">
        <v>78</v>
      </c>
      <c r="B33" s="3" t="s">
        <v>15</v>
      </c>
      <c r="C33" s="6">
        <v>49.99</v>
      </c>
      <c r="D33" s="6" t="s">
        <v>51</v>
      </c>
      <c r="E33" s="6">
        <v>8</v>
      </c>
      <c r="F33" s="3" t="s">
        <v>152</v>
      </c>
      <c r="G33" s="6">
        <v>170</v>
      </c>
      <c r="H33" s="7" t="str">
        <f>IF(Table2[[#This Row],[SOLD]]&gt;100,"High Sales","Low Sales")</f>
        <v>High Sales</v>
      </c>
      <c r="I33" s="5" t="s">
        <v>153</v>
      </c>
      <c r="J33" s="3" t="s">
        <v>154</v>
      </c>
    </row>
    <row r="34" spans="1:10" x14ac:dyDescent="0.3">
      <c r="A34" s="3" t="s">
        <v>89</v>
      </c>
      <c r="B34" s="3" t="s">
        <v>15</v>
      </c>
      <c r="C34" s="6">
        <v>32.85</v>
      </c>
      <c r="D34" s="6" t="s">
        <v>155</v>
      </c>
      <c r="E34" s="6">
        <v>10</v>
      </c>
      <c r="F34" s="3" t="s">
        <v>156</v>
      </c>
      <c r="G34" s="6">
        <v>8385</v>
      </c>
      <c r="H34" s="7" t="str">
        <f>IF(Table2[[#This Row],[SOLD]]&gt;100,"High Sales","Low Sales")</f>
        <v>High Sales</v>
      </c>
      <c r="I34" s="5" t="s">
        <v>157</v>
      </c>
      <c r="J34" s="3" t="s">
        <v>36</v>
      </c>
    </row>
    <row r="35" spans="1:10" x14ac:dyDescent="0.3">
      <c r="A35" s="3" t="s">
        <v>158</v>
      </c>
      <c r="B35" s="3" t="s">
        <v>15</v>
      </c>
      <c r="C35" s="6">
        <v>89.97</v>
      </c>
      <c r="D35" s="6" t="s">
        <v>127</v>
      </c>
      <c r="E35" s="6">
        <v>10</v>
      </c>
      <c r="F35" s="3" t="s">
        <v>159</v>
      </c>
      <c r="G35" s="6">
        <v>295</v>
      </c>
      <c r="H35" s="7" t="str">
        <f>IF(Table2[[#This Row],[SOLD]]&gt;100,"High Sales","Low Sales")</f>
        <v>High Sales</v>
      </c>
      <c r="I35" s="5" t="s">
        <v>160</v>
      </c>
      <c r="J35" s="3" t="s">
        <v>130</v>
      </c>
    </row>
    <row r="36" spans="1:10" x14ac:dyDescent="0.3">
      <c r="A36" s="3" t="s">
        <v>161</v>
      </c>
      <c r="B36" s="3" t="s">
        <v>15</v>
      </c>
      <c r="C36" s="6">
        <v>16.98</v>
      </c>
      <c r="D36" s="6" t="s">
        <v>162</v>
      </c>
      <c r="E36" s="6">
        <v>620</v>
      </c>
      <c r="F36" s="3" t="s">
        <v>163</v>
      </c>
      <c r="G36" s="6">
        <v>2345</v>
      </c>
      <c r="H36" s="7" t="str">
        <f>IF(Table2[[#This Row],[SOLD]]&gt;100,"High Sales","Low Sales")</f>
        <v>High Sales</v>
      </c>
      <c r="I36" s="5" t="s">
        <v>164</v>
      </c>
      <c r="J36" s="3" t="s">
        <v>120</v>
      </c>
    </row>
    <row r="37" spans="1:10" x14ac:dyDescent="0.3">
      <c r="A37" s="3" t="s">
        <v>165</v>
      </c>
      <c r="B37" s="3" t="s">
        <v>15</v>
      </c>
      <c r="C37" s="6">
        <v>32.89</v>
      </c>
      <c r="D37" s="6" t="s">
        <v>166</v>
      </c>
      <c r="E37" s="6">
        <v>383</v>
      </c>
      <c r="F37" s="3" t="s">
        <v>167</v>
      </c>
      <c r="G37" s="6">
        <v>5032</v>
      </c>
      <c r="H37" s="7" t="str">
        <f>IF(Table2[[#This Row],[SOLD]]&gt;100,"High Sales","Low Sales")</f>
        <v>High Sales</v>
      </c>
      <c r="I37" s="5" t="s">
        <v>168</v>
      </c>
      <c r="J37" s="3" t="s">
        <v>120</v>
      </c>
    </row>
    <row r="38" spans="1:10" x14ac:dyDescent="0.3">
      <c r="A38" s="3" t="s">
        <v>169</v>
      </c>
      <c r="B38" s="3" t="s">
        <v>4</v>
      </c>
      <c r="C38" s="6">
        <v>45.11</v>
      </c>
      <c r="D38" s="6" t="s">
        <v>170</v>
      </c>
      <c r="E38" s="6">
        <v>131</v>
      </c>
      <c r="F38" s="3" t="s">
        <v>171</v>
      </c>
      <c r="G38" s="6">
        <v>258</v>
      </c>
      <c r="H38" s="7" t="str">
        <f>IF(Table2[[#This Row],[SOLD]]&gt;100,"High Sales","Low Sales")</f>
        <v>High Sales</v>
      </c>
      <c r="I38" s="5" t="s">
        <v>172</v>
      </c>
      <c r="J38" s="3" t="s">
        <v>30</v>
      </c>
    </row>
    <row r="39" spans="1:10" x14ac:dyDescent="0.3">
      <c r="A39" s="3" t="s">
        <v>37</v>
      </c>
      <c r="B39" s="3" t="s">
        <v>26</v>
      </c>
      <c r="C39" s="6">
        <v>19.73</v>
      </c>
      <c r="D39" s="6" t="s">
        <v>173</v>
      </c>
      <c r="E39" s="6">
        <v>12</v>
      </c>
      <c r="F39" s="3" t="s">
        <v>174</v>
      </c>
      <c r="G39" s="6">
        <v>55</v>
      </c>
      <c r="H39" s="7" t="str">
        <f>IF(Table2[[#This Row],[SOLD]]&gt;100,"High Sales","Low Sales")</f>
        <v>Low Sales</v>
      </c>
      <c r="I39" s="5" t="s">
        <v>175</v>
      </c>
      <c r="J39" s="3" t="s">
        <v>30</v>
      </c>
    </row>
    <row r="40" spans="1:10" x14ac:dyDescent="0.3">
      <c r="A40" s="3" t="s">
        <v>89</v>
      </c>
      <c r="B40" s="3" t="s">
        <v>4</v>
      </c>
      <c r="C40" s="6">
        <v>39.99</v>
      </c>
      <c r="D40" s="6" t="s">
        <v>95</v>
      </c>
      <c r="E40" s="6">
        <v>8</v>
      </c>
      <c r="F40" s="3" t="s">
        <v>176</v>
      </c>
      <c r="G40" s="6">
        <v>276</v>
      </c>
      <c r="H40" s="7" t="str">
        <f>IF(Table2[[#This Row],[SOLD]]&gt;100,"High Sales","Low Sales")</f>
        <v>High Sales</v>
      </c>
      <c r="I40" s="5" t="s">
        <v>177</v>
      </c>
      <c r="J40" s="3" t="s">
        <v>178</v>
      </c>
    </row>
    <row r="41" spans="1:10" x14ac:dyDescent="0.3">
      <c r="A41" s="3" t="s">
        <v>179</v>
      </c>
      <c r="B41" s="3" t="s">
        <v>15</v>
      </c>
      <c r="C41" s="6">
        <v>40.6</v>
      </c>
      <c r="D41" s="6" t="s">
        <v>180</v>
      </c>
      <c r="E41" s="6">
        <v>45</v>
      </c>
      <c r="F41" s="3" t="s">
        <v>181</v>
      </c>
      <c r="G41" s="6">
        <v>5582</v>
      </c>
      <c r="H41" s="7" t="str">
        <f>IF(Table2[[#This Row],[SOLD]]&gt;100,"High Sales","Low Sales")</f>
        <v>High Sales</v>
      </c>
      <c r="I41" s="5" t="s">
        <v>182</v>
      </c>
      <c r="J41" s="3" t="s">
        <v>120</v>
      </c>
    </row>
    <row r="42" spans="1:10" x14ac:dyDescent="0.3">
      <c r="A42" s="3" t="s">
        <v>183</v>
      </c>
      <c r="B42" s="3" t="s">
        <v>15</v>
      </c>
      <c r="C42" s="6">
        <v>54.99</v>
      </c>
      <c r="D42" s="6" t="s">
        <v>184</v>
      </c>
      <c r="E42" s="6">
        <v>78</v>
      </c>
      <c r="F42" s="3" t="s">
        <v>185</v>
      </c>
      <c r="G42" s="6">
        <v>8</v>
      </c>
      <c r="H42" s="7" t="str">
        <f>IF(Table2[[#This Row],[SOLD]]&gt;100,"High Sales","Low Sales")</f>
        <v>Low Sales</v>
      </c>
      <c r="I42" s="5" t="s">
        <v>186</v>
      </c>
      <c r="J42" s="3" t="s">
        <v>187</v>
      </c>
    </row>
    <row r="43" spans="1:10" x14ac:dyDescent="0.3">
      <c r="A43" s="3" t="s">
        <v>78</v>
      </c>
      <c r="B43" s="3" t="s">
        <v>15</v>
      </c>
      <c r="C43" s="6">
        <v>40.99</v>
      </c>
      <c r="D43" s="6" t="s">
        <v>188</v>
      </c>
      <c r="E43" s="6">
        <v>10</v>
      </c>
      <c r="F43" s="3" t="s">
        <v>189</v>
      </c>
      <c r="G43" s="6">
        <v>37</v>
      </c>
      <c r="H43" s="7" t="str">
        <f>IF(Table2[[#This Row],[SOLD]]&gt;100,"High Sales","Low Sales")</f>
        <v>Low Sales</v>
      </c>
      <c r="I43" s="5" t="s">
        <v>190</v>
      </c>
      <c r="J43" s="3" t="s">
        <v>134</v>
      </c>
    </row>
    <row r="44" spans="1:10" x14ac:dyDescent="0.3">
      <c r="A44" s="3" t="s">
        <v>89</v>
      </c>
      <c r="B44" s="3" t="s">
        <v>4</v>
      </c>
      <c r="C44" s="6">
        <v>34.840000000000003</v>
      </c>
      <c r="D44" s="6" t="s">
        <v>191</v>
      </c>
      <c r="E44" s="6">
        <v>90</v>
      </c>
      <c r="F44" s="3" t="s">
        <v>192</v>
      </c>
      <c r="G44" s="6">
        <v>4460</v>
      </c>
      <c r="H44" s="7" t="str">
        <f>IF(Table2[[#This Row],[SOLD]]&gt;100,"High Sales","Low Sales")</f>
        <v>High Sales</v>
      </c>
      <c r="I44" s="5" t="s">
        <v>193</v>
      </c>
      <c r="J44" s="3" t="s">
        <v>107</v>
      </c>
    </row>
    <row r="45" spans="1:10" x14ac:dyDescent="0.3">
      <c r="A45" s="3" t="s">
        <v>194</v>
      </c>
      <c r="B45" s="3" t="s">
        <v>15</v>
      </c>
      <c r="C45" s="6">
        <v>34.72</v>
      </c>
      <c r="D45" s="6" t="s">
        <v>195</v>
      </c>
      <c r="E45" s="6">
        <v>71</v>
      </c>
      <c r="F45" s="3" t="s">
        <v>196</v>
      </c>
      <c r="G45" s="6">
        <v>627</v>
      </c>
      <c r="H45" s="7" t="str">
        <f>IF(Table2[[#This Row],[SOLD]]&gt;100,"High Sales","Low Sales")</f>
        <v>High Sales</v>
      </c>
      <c r="I45" s="5" t="s">
        <v>197</v>
      </c>
      <c r="J45" s="3" t="s">
        <v>120</v>
      </c>
    </row>
    <row r="46" spans="1:10" x14ac:dyDescent="0.3">
      <c r="A46" s="3" t="s">
        <v>125</v>
      </c>
      <c r="B46" s="3" t="s">
        <v>15</v>
      </c>
      <c r="C46" s="6">
        <v>46.33</v>
      </c>
      <c r="D46" s="6" t="s">
        <v>198</v>
      </c>
      <c r="E46" s="6">
        <v>81</v>
      </c>
      <c r="F46" s="3" t="s">
        <v>199</v>
      </c>
      <c r="G46" s="6">
        <v>30655</v>
      </c>
      <c r="H46" s="7" t="str">
        <f>IF(Table2[[#This Row],[SOLD]]&gt;100,"High Sales","Low Sales")</f>
        <v>High Sales</v>
      </c>
      <c r="I46" s="5" t="s">
        <v>200</v>
      </c>
      <c r="J46" s="3" t="s">
        <v>107</v>
      </c>
    </row>
    <row r="47" spans="1:10" x14ac:dyDescent="0.3">
      <c r="A47" s="3" t="s">
        <v>89</v>
      </c>
      <c r="B47" s="3" t="s">
        <v>4</v>
      </c>
      <c r="C47" s="6">
        <v>39</v>
      </c>
      <c r="D47" s="6" t="s">
        <v>201</v>
      </c>
      <c r="E47" s="6">
        <v>3</v>
      </c>
      <c r="F47" s="3" t="s">
        <v>202</v>
      </c>
      <c r="G47" s="6">
        <v>24</v>
      </c>
      <c r="H47" s="7" t="str">
        <f>IF(Table2[[#This Row],[SOLD]]&gt;100,"High Sales","Low Sales")</f>
        <v>Low Sales</v>
      </c>
      <c r="I47" s="5" t="s">
        <v>203</v>
      </c>
      <c r="J47" s="3" t="s">
        <v>30</v>
      </c>
    </row>
    <row r="48" spans="1:10" x14ac:dyDescent="0.3">
      <c r="A48" s="3" t="s">
        <v>25</v>
      </c>
      <c r="B48" s="3" t="s">
        <v>4</v>
      </c>
      <c r="C48" s="6">
        <v>21.54</v>
      </c>
      <c r="D48" s="6" t="s">
        <v>204</v>
      </c>
      <c r="E48" s="6">
        <v>96</v>
      </c>
      <c r="F48" s="3" t="s">
        <v>205</v>
      </c>
      <c r="G48" s="6">
        <v>989</v>
      </c>
      <c r="H48" s="7" t="str">
        <f>IF(Table2[[#This Row],[SOLD]]&gt;100,"High Sales","Low Sales")</f>
        <v>High Sales</v>
      </c>
      <c r="I48" s="5" t="s">
        <v>206</v>
      </c>
      <c r="J48" s="3" t="s">
        <v>120</v>
      </c>
    </row>
    <row r="49" spans="1:10" x14ac:dyDescent="0.3">
      <c r="A49" s="3" t="s">
        <v>207</v>
      </c>
      <c r="B49" s="3" t="s">
        <v>15</v>
      </c>
      <c r="C49" s="6">
        <v>32.97</v>
      </c>
      <c r="D49" s="6" t="s">
        <v>208</v>
      </c>
      <c r="E49" s="6">
        <v>756</v>
      </c>
      <c r="F49" s="3" t="s">
        <v>209</v>
      </c>
      <c r="G49" s="6">
        <v>5023</v>
      </c>
      <c r="H49" s="7" t="str">
        <f>IF(Table2[[#This Row],[SOLD]]&gt;100,"High Sales","Low Sales")</f>
        <v>High Sales</v>
      </c>
      <c r="I49" s="5" t="s">
        <v>210</v>
      </c>
      <c r="J49" s="3" t="s">
        <v>120</v>
      </c>
    </row>
    <row r="50" spans="1:10" x14ac:dyDescent="0.3">
      <c r="A50" s="3" t="s">
        <v>55</v>
      </c>
      <c r="B50" s="3" t="s">
        <v>15</v>
      </c>
      <c r="C50" s="6">
        <v>23.34</v>
      </c>
      <c r="D50" s="6" t="s">
        <v>211</v>
      </c>
      <c r="E50" s="6">
        <v>452</v>
      </c>
      <c r="F50" s="3" t="s">
        <v>212</v>
      </c>
      <c r="G50" s="6">
        <v>972</v>
      </c>
      <c r="H50" s="7" t="str">
        <f>IF(Table2[[#This Row],[SOLD]]&gt;100,"High Sales","Low Sales")</f>
        <v>High Sales</v>
      </c>
      <c r="I50" s="5" t="s">
        <v>213</v>
      </c>
      <c r="J50" s="3" t="s">
        <v>120</v>
      </c>
    </row>
    <row r="51" spans="1:10" x14ac:dyDescent="0.3">
      <c r="A51" s="3" t="s">
        <v>214</v>
      </c>
      <c r="B51" s="3" t="s">
        <v>15</v>
      </c>
      <c r="C51" s="6">
        <v>28.75</v>
      </c>
      <c r="D51" s="6" t="s">
        <v>215</v>
      </c>
      <c r="E51" s="6">
        <v>24</v>
      </c>
      <c r="F51" s="3" t="s">
        <v>216</v>
      </c>
      <c r="G51" s="6">
        <v>12739</v>
      </c>
      <c r="H51" s="7" t="str">
        <f>IF(Table2[[#This Row],[SOLD]]&gt;100,"High Sales","Low Sales")</f>
        <v>High Sales</v>
      </c>
      <c r="I51" s="5" t="s">
        <v>217</v>
      </c>
      <c r="J51" s="3" t="s">
        <v>107</v>
      </c>
    </row>
    <row r="52" spans="1:10" x14ac:dyDescent="0.3">
      <c r="A52" s="3" t="s">
        <v>218</v>
      </c>
      <c r="B52" s="3" t="s">
        <v>15</v>
      </c>
      <c r="C52" s="6">
        <v>27.94</v>
      </c>
      <c r="D52" s="6" t="s">
        <v>219</v>
      </c>
      <c r="E52" s="6">
        <v>161</v>
      </c>
      <c r="F52" s="3" t="s">
        <v>220</v>
      </c>
      <c r="G52" s="6">
        <v>485</v>
      </c>
      <c r="H52" s="7" t="str">
        <f>IF(Table2[[#This Row],[SOLD]]&gt;100,"High Sales","Low Sales")</f>
        <v>High Sales</v>
      </c>
      <c r="I52" s="5" t="s">
        <v>221</v>
      </c>
      <c r="J52" s="3" t="s">
        <v>120</v>
      </c>
    </row>
    <row r="53" spans="1:10" x14ac:dyDescent="0.3">
      <c r="A53" s="3" t="s">
        <v>116</v>
      </c>
      <c r="B53" s="3" t="s">
        <v>4</v>
      </c>
      <c r="C53" s="6">
        <v>32.5</v>
      </c>
      <c r="D53" s="6" t="s">
        <v>222</v>
      </c>
      <c r="E53" s="6">
        <v>5</v>
      </c>
      <c r="F53" s="3" t="s">
        <v>223</v>
      </c>
      <c r="G53" s="6">
        <v>372</v>
      </c>
      <c r="H53" s="7" t="str">
        <f>IF(Table2[[#This Row],[SOLD]]&gt;100,"High Sales","Low Sales")</f>
        <v>High Sales</v>
      </c>
      <c r="I53" s="5" t="s">
        <v>224</v>
      </c>
      <c r="J53" s="3" t="s">
        <v>225</v>
      </c>
    </row>
    <row r="54" spans="1:10" x14ac:dyDescent="0.3">
      <c r="A54" s="3" t="s">
        <v>226</v>
      </c>
      <c r="B54" s="3" t="s">
        <v>15</v>
      </c>
      <c r="C54" s="6">
        <v>14.99</v>
      </c>
      <c r="D54" s="6" t="s">
        <v>33</v>
      </c>
      <c r="E54" s="6">
        <v>3</v>
      </c>
      <c r="F54" s="3" t="s">
        <v>227</v>
      </c>
      <c r="G54" s="6">
        <v>291</v>
      </c>
      <c r="H54" s="7" t="str">
        <f>IF(Table2[[#This Row],[SOLD]]&gt;100,"High Sales","Low Sales")</f>
        <v>High Sales</v>
      </c>
      <c r="I54" s="5" t="s">
        <v>228</v>
      </c>
      <c r="J54" s="3" t="s">
        <v>229</v>
      </c>
    </row>
    <row r="55" spans="1:10" x14ac:dyDescent="0.3">
      <c r="A55" s="3" t="s">
        <v>20</v>
      </c>
      <c r="B55" s="3" t="s">
        <v>15</v>
      </c>
      <c r="C55" s="6">
        <v>45.95</v>
      </c>
      <c r="D55" s="6" t="s">
        <v>230</v>
      </c>
      <c r="E55" s="6">
        <v>5</v>
      </c>
      <c r="F55" s="3" t="s">
        <v>231</v>
      </c>
      <c r="G55" s="6">
        <v>578</v>
      </c>
      <c r="H55" s="7" t="str">
        <f>IF(Table2[[#This Row],[SOLD]]&gt;100,"High Sales","Low Sales")</f>
        <v>High Sales</v>
      </c>
      <c r="I55" s="5" t="s">
        <v>232</v>
      </c>
      <c r="J55" s="3" t="s">
        <v>233</v>
      </c>
    </row>
    <row r="56" spans="1:10" x14ac:dyDescent="0.3">
      <c r="A56" s="3" t="s">
        <v>20</v>
      </c>
      <c r="B56" s="3" t="s">
        <v>4</v>
      </c>
      <c r="C56" s="6">
        <v>68.989999999999995</v>
      </c>
      <c r="D56" s="6" t="s">
        <v>80</v>
      </c>
      <c r="E56" s="6">
        <v>2</v>
      </c>
      <c r="F56" s="3" t="s">
        <v>234</v>
      </c>
      <c r="G56" s="6">
        <v>99</v>
      </c>
      <c r="H56" s="7" t="str">
        <f>IF(Table2[[#This Row],[SOLD]]&gt;100,"High Sales","Low Sales")</f>
        <v>Low Sales</v>
      </c>
      <c r="I56" s="5" t="s">
        <v>235</v>
      </c>
      <c r="J56" s="3" t="s">
        <v>236</v>
      </c>
    </row>
    <row r="57" spans="1:10" x14ac:dyDescent="0.3">
      <c r="A57" s="3" t="s">
        <v>237</v>
      </c>
      <c r="B57" s="3" t="s">
        <v>4</v>
      </c>
      <c r="C57" s="6">
        <v>69.989999999999995</v>
      </c>
      <c r="D57" s="6" t="s">
        <v>238</v>
      </c>
      <c r="E57" s="6">
        <v>56</v>
      </c>
      <c r="F57" s="3" t="s">
        <v>239</v>
      </c>
      <c r="G57" s="6">
        <v>44</v>
      </c>
      <c r="H57" s="7" t="str">
        <f>IF(Table2[[#This Row],[SOLD]]&gt;100,"High Sales","Low Sales")</f>
        <v>Low Sales</v>
      </c>
      <c r="I57" s="5" t="s">
        <v>240</v>
      </c>
      <c r="J57" s="3" t="s">
        <v>241</v>
      </c>
    </row>
    <row r="58" spans="1:10" x14ac:dyDescent="0.3">
      <c r="A58" s="3" t="s">
        <v>65</v>
      </c>
      <c r="B58" s="3" t="s">
        <v>32</v>
      </c>
      <c r="C58" s="6">
        <v>13.99</v>
      </c>
      <c r="D58" s="6" t="s">
        <v>242</v>
      </c>
      <c r="E58" s="6">
        <v>10</v>
      </c>
      <c r="F58" s="3" t="s">
        <v>243</v>
      </c>
      <c r="G58" s="6">
        <v>290</v>
      </c>
      <c r="H58" s="7" t="str">
        <f>IF(Table2[[#This Row],[SOLD]]&gt;100,"High Sales","Low Sales")</f>
        <v>High Sales</v>
      </c>
      <c r="I58" s="5" t="s">
        <v>244</v>
      </c>
      <c r="J58" s="3" t="s">
        <v>69</v>
      </c>
    </row>
    <row r="59" spans="1:10" x14ac:dyDescent="0.3">
      <c r="A59" s="3" t="s">
        <v>75</v>
      </c>
      <c r="B59" s="3" t="s">
        <v>15</v>
      </c>
      <c r="C59" s="6">
        <v>36.880000000000003</v>
      </c>
      <c r="D59" s="6" t="s">
        <v>245</v>
      </c>
      <c r="E59" s="6">
        <v>200</v>
      </c>
      <c r="F59" s="3" t="s">
        <v>246</v>
      </c>
      <c r="G59" s="6">
        <v>19899</v>
      </c>
      <c r="H59" s="7" t="str">
        <f>IF(Table2[[#This Row],[SOLD]]&gt;100,"High Sales","Low Sales")</f>
        <v>High Sales</v>
      </c>
      <c r="I59" s="5" t="s">
        <v>247</v>
      </c>
      <c r="J59" s="3" t="s">
        <v>107</v>
      </c>
    </row>
    <row r="60" spans="1:10" x14ac:dyDescent="0.3">
      <c r="A60" s="3" t="s">
        <v>248</v>
      </c>
      <c r="B60" s="3" t="s">
        <v>15</v>
      </c>
      <c r="C60" s="6">
        <v>24.7</v>
      </c>
      <c r="D60" s="6" t="s">
        <v>249</v>
      </c>
      <c r="E60" s="6">
        <v>120</v>
      </c>
      <c r="F60" s="3" t="s">
        <v>250</v>
      </c>
      <c r="G60" s="6">
        <v>12865</v>
      </c>
      <c r="H60" s="7" t="str">
        <f>IF(Table2[[#This Row],[SOLD]]&gt;100,"High Sales","Low Sales")</f>
        <v>High Sales</v>
      </c>
      <c r="I60" s="5" t="s">
        <v>251</v>
      </c>
      <c r="J60" s="3" t="s">
        <v>120</v>
      </c>
    </row>
    <row r="61" spans="1:10" x14ac:dyDescent="0.3">
      <c r="A61" s="3" t="s">
        <v>252</v>
      </c>
      <c r="B61" s="3" t="s">
        <v>15</v>
      </c>
      <c r="C61" s="6">
        <v>26.11</v>
      </c>
      <c r="D61" s="6" t="s">
        <v>253</v>
      </c>
      <c r="E61" s="6">
        <v>4</v>
      </c>
      <c r="F61" s="3" t="s">
        <v>254</v>
      </c>
      <c r="G61" s="6">
        <v>12184</v>
      </c>
      <c r="H61" s="7" t="str">
        <f>IF(Table2[[#This Row],[SOLD]]&gt;100,"High Sales","Low Sales")</f>
        <v>High Sales</v>
      </c>
      <c r="I61" s="5" t="s">
        <v>255</v>
      </c>
      <c r="J61" s="3" t="s">
        <v>120</v>
      </c>
    </row>
    <row r="62" spans="1:10" x14ac:dyDescent="0.3">
      <c r="A62" s="3" t="s">
        <v>14</v>
      </c>
      <c r="B62" s="3" t="s">
        <v>32</v>
      </c>
      <c r="C62" s="6">
        <v>14.99</v>
      </c>
      <c r="D62" s="6" t="s">
        <v>33</v>
      </c>
      <c r="E62" s="6">
        <v>10</v>
      </c>
      <c r="F62" s="3" t="s">
        <v>256</v>
      </c>
      <c r="G62" s="6">
        <v>172</v>
      </c>
      <c r="H62" s="7" t="str">
        <f>IF(Table2[[#This Row],[SOLD]]&gt;100,"High Sales","Low Sales")</f>
        <v>High Sales</v>
      </c>
      <c r="I62" s="5" t="s">
        <v>257</v>
      </c>
      <c r="J62" s="3" t="s">
        <v>258</v>
      </c>
    </row>
    <row r="63" spans="1:10" x14ac:dyDescent="0.3">
      <c r="A63" s="3" t="s">
        <v>259</v>
      </c>
      <c r="B63" s="3" t="s">
        <v>260</v>
      </c>
      <c r="C63" s="6">
        <v>6.65</v>
      </c>
      <c r="D63" s="6" t="s">
        <v>261</v>
      </c>
      <c r="E63" s="6">
        <v>9</v>
      </c>
      <c r="F63" s="3" t="s">
        <v>262</v>
      </c>
      <c r="G63" s="6">
        <v>18882</v>
      </c>
      <c r="H63" s="7" t="str">
        <f>IF(Table2[[#This Row],[SOLD]]&gt;100,"High Sales","Low Sales")</f>
        <v>High Sales</v>
      </c>
      <c r="I63" s="5" t="s">
        <v>263</v>
      </c>
      <c r="J63" s="3" t="s">
        <v>264</v>
      </c>
    </row>
    <row r="64" spans="1:10" x14ac:dyDescent="0.3">
      <c r="A64" s="3" t="s">
        <v>3</v>
      </c>
      <c r="B64" s="3" t="s">
        <v>4</v>
      </c>
      <c r="C64" s="6">
        <v>25.99</v>
      </c>
      <c r="D64" s="6" t="s">
        <v>265</v>
      </c>
      <c r="E64" s="6">
        <v>6</v>
      </c>
      <c r="F64" s="3" t="s">
        <v>266</v>
      </c>
      <c r="G64" s="6">
        <v>1332</v>
      </c>
      <c r="H64" s="7" t="str">
        <f>IF(Table2[[#This Row],[SOLD]]&gt;100,"High Sales","Low Sales")</f>
        <v>High Sales</v>
      </c>
      <c r="I64" s="5" t="s">
        <v>267</v>
      </c>
      <c r="J64" s="3" t="s">
        <v>268</v>
      </c>
    </row>
    <row r="65" spans="1:10" x14ac:dyDescent="0.3">
      <c r="A65" s="3" t="s">
        <v>269</v>
      </c>
      <c r="B65" s="3" t="s">
        <v>270</v>
      </c>
      <c r="C65" s="6">
        <v>60.99</v>
      </c>
      <c r="D65" s="6" t="s">
        <v>271</v>
      </c>
      <c r="E65" s="6">
        <v>2</v>
      </c>
      <c r="F65" s="3" t="s">
        <v>272</v>
      </c>
      <c r="G65" s="6">
        <v>35</v>
      </c>
      <c r="H65" s="7" t="str">
        <f>IF(Table2[[#This Row],[SOLD]]&gt;100,"High Sales","Low Sales")</f>
        <v>Low Sales</v>
      </c>
      <c r="I65" s="5" t="s">
        <v>273</v>
      </c>
      <c r="J65" s="3" t="s">
        <v>274</v>
      </c>
    </row>
    <row r="66" spans="1:10" x14ac:dyDescent="0.3">
      <c r="A66" s="3" t="s">
        <v>269</v>
      </c>
      <c r="B66" s="3" t="s">
        <v>275</v>
      </c>
      <c r="C66" s="6">
        <v>47.88</v>
      </c>
      <c r="D66" s="6" t="s">
        <v>276</v>
      </c>
      <c r="E66" s="6">
        <v>10</v>
      </c>
      <c r="F66" s="3" t="s">
        <v>277</v>
      </c>
      <c r="G66" s="6">
        <v>25</v>
      </c>
      <c r="H66" s="7" t="str">
        <f>IF(Table2[[#This Row],[SOLD]]&gt;100,"High Sales","Low Sales")</f>
        <v>Low Sales</v>
      </c>
      <c r="I66" s="5" t="s">
        <v>278</v>
      </c>
      <c r="J66" s="3" t="s">
        <v>279</v>
      </c>
    </row>
    <row r="67" spans="1:10" x14ac:dyDescent="0.3">
      <c r="A67" s="3" t="s">
        <v>179</v>
      </c>
      <c r="B67" s="3" t="s">
        <v>15</v>
      </c>
      <c r="C67" s="6">
        <v>31.08</v>
      </c>
      <c r="D67" s="6" t="s">
        <v>280</v>
      </c>
      <c r="E67" s="6">
        <v>842</v>
      </c>
      <c r="F67" s="3" t="s">
        <v>281</v>
      </c>
      <c r="G67" s="6">
        <v>1362</v>
      </c>
      <c r="H67" s="7" t="str">
        <f>IF(Table2[[#This Row],[SOLD]]&gt;100,"High Sales","Low Sales")</f>
        <v>High Sales</v>
      </c>
      <c r="I67" s="5" t="s">
        <v>282</v>
      </c>
      <c r="J67" s="3" t="s">
        <v>120</v>
      </c>
    </row>
    <row r="68" spans="1:10" x14ac:dyDescent="0.3">
      <c r="A68" s="3" t="s">
        <v>89</v>
      </c>
      <c r="B68" s="3" t="s">
        <v>26</v>
      </c>
      <c r="C68" s="6">
        <v>24.43</v>
      </c>
      <c r="D68" s="6" t="s">
        <v>283</v>
      </c>
      <c r="E68" s="6">
        <v>15</v>
      </c>
      <c r="F68" s="3" t="s">
        <v>284</v>
      </c>
      <c r="G68" s="6">
        <v>110</v>
      </c>
      <c r="H68" s="7" t="str">
        <f>IF(Table2[[#This Row],[SOLD]]&gt;100,"High Sales","Low Sales")</f>
        <v>High Sales</v>
      </c>
      <c r="I68" s="5" t="s">
        <v>285</v>
      </c>
      <c r="J68" s="3" t="s">
        <v>30</v>
      </c>
    </row>
    <row r="69" spans="1:10" x14ac:dyDescent="0.3">
      <c r="A69" s="3" t="s">
        <v>75</v>
      </c>
      <c r="B69" s="3" t="s">
        <v>15</v>
      </c>
      <c r="C69" s="6">
        <v>35.99</v>
      </c>
      <c r="D69" s="6" t="s">
        <v>286</v>
      </c>
      <c r="E69" s="6">
        <v>5</v>
      </c>
      <c r="F69" s="3" t="s">
        <v>287</v>
      </c>
      <c r="G69" s="6">
        <v>221</v>
      </c>
      <c r="H69" s="7" t="str">
        <f>IF(Table2[[#This Row],[SOLD]]&gt;100,"High Sales","Low Sales")</f>
        <v>High Sales</v>
      </c>
      <c r="I69" s="5" t="s">
        <v>288</v>
      </c>
      <c r="J69" s="3" t="s">
        <v>289</v>
      </c>
    </row>
    <row r="70" spans="1:10" x14ac:dyDescent="0.3">
      <c r="A70" s="3" t="s">
        <v>169</v>
      </c>
      <c r="B70" s="3" t="s">
        <v>4</v>
      </c>
      <c r="C70" s="6">
        <v>25.99</v>
      </c>
      <c r="D70" s="6" t="s">
        <v>290</v>
      </c>
      <c r="E70" s="6">
        <v>10</v>
      </c>
      <c r="F70" s="3" t="s">
        <v>291</v>
      </c>
      <c r="G70" s="6">
        <v>3</v>
      </c>
      <c r="H70" s="7" t="str">
        <f>IF(Table2[[#This Row],[SOLD]]&gt;100,"High Sales","Low Sales")</f>
        <v>Low Sales</v>
      </c>
      <c r="I70" s="5" t="s">
        <v>292</v>
      </c>
      <c r="J70" s="3" t="s">
        <v>293</v>
      </c>
    </row>
    <row r="71" spans="1:10" x14ac:dyDescent="0.3">
      <c r="A71" s="3" t="s">
        <v>55</v>
      </c>
      <c r="B71" s="3" t="s">
        <v>15</v>
      </c>
      <c r="C71" s="6">
        <v>38.57</v>
      </c>
      <c r="D71" s="6" t="s">
        <v>294</v>
      </c>
      <c r="E71" s="6">
        <v>484</v>
      </c>
      <c r="F71" s="3" t="s">
        <v>295</v>
      </c>
      <c r="G71" s="6">
        <v>1503</v>
      </c>
      <c r="H71" s="7" t="str">
        <f>IF(Table2[[#This Row],[SOLD]]&gt;100,"High Sales","Low Sales")</f>
        <v>High Sales</v>
      </c>
      <c r="I71" s="5" t="s">
        <v>296</v>
      </c>
      <c r="J71" s="3" t="s">
        <v>120</v>
      </c>
    </row>
    <row r="72" spans="1:10" x14ac:dyDescent="0.3">
      <c r="A72" s="3" t="s">
        <v>125</v>
      </c>
      <c r="B72" s="3" t="s">
        <v>15</v>
      </c>
      <c r="C72" s="6">
        <v>24.45</v>
      </c>
      <c r="D72" s="6" t="s">
        <v>297</v>
      </c>
      <c r="E72" s="6">
        <v>10</v>
      </c>
      <c r="F72" s="3" t="s">
        <v>298</v>
      </c>
      <c r="G72" s="6">
        <v>1691</v>
      </c>
      <c r="H72" s="7" t="str">
        <f>IF(Table2[[#This Row],[SOLD]]&gt;100,"High Sales","Low Sales")</f>
        <v>High Sales</v>
      </c>
      <c r="I72" s="5" t="s">
        <v>299</v>
      </c>
      <c r="J72" s="3" t="s">
        <v>120</v>
      </c>
    </row>
    <row r="73" spans="1:10" x14ac:dyDescent="0.3">
      <c r="A73" s="3" t="s">
        <v>125</v>
      </c>
      <c r="B73" s="3" t="s">
        <v>15</v>
      </c>
      <c r="C73" s="6">
        <v>16.260000000000002</v>
      </c>
      <c r="D73" s="6" t="s">
        <v>300</v>
      </c>
      <c r="E73" s="6">
        <v>12</v>
      </c>
      <c r="F73" s="3" t="s">
        <v>301</v>
      </c>
      <c r="G73" s="6">
        <v>644</v>
      </c>
      <c r="H73" s="7" t="str">
        <f>IF(Table2[[#This Row],[SOLD]]&gt;100,"High Sales","Low Sales")</f>
        <v>High Sales</v>
      </c>
      <c r="I73" s="5" t="s">
        <v>302</v>
      </c>
      <c r="J73" s="3" t="s">
        <v>120</v>
      </c>
    </row>
    <row r="74" spans="1:10" x14ac:dyDescent="0.3">
      <c r="A74" s="3" t="s">
        <v>55</v>
      </c>
      <c r="B74" s="3" t="s">
        <v>15</v>
      </c>
      <c r="C74" s="6">
        <v>22.5</v>
      </c>
      <c r="D74" s="6" t="s">
        <v>303</v>
      </c>
      <c r="E74" s="6">
        <v>10</v>
      </c>
      <c r="F74" s="3" t="s">
        <v>304</v>
      </c>
      <c r="G74" s="6">
        <v>2</v>
      </c>
      <c r="H74" s="7" t="str">
        <f>IF(Table2[[#This Row],[SOLD]]&gt;100,"High Sales","Low Sales")</f>
        <v>Low Sales</v>
      </c>
      <c r="I74" s="5" t="s">
        <v>302</v>
      </c>
      <c r="J74" s="3" t="s">
        <v>305</v>
      </c>
    </row>
    <row r="75" spans="1:10" x14ac:dyDescent="0.3">
      <c r="A75" s="3" t="s">
        <v>25</v>
      </c>
      <c r="B75" s="3" t="s">
        <v>26</v>
      </c>
      <c r="C75" s="6">
        <v>15.03</v>
      </c>
      <c r="D75" s="6" t="s">
        <v>306</v>
      </c>
      <c r="E75" s="6">
        <v>3</v>
      </c>
      <c r="F75" s="3" t="s">
        <v>307</v>
      </c>
      <c r="G75" s="6">
        <v>44</v>
      </c>
      <c r="H75" s="7" t="str">
        <f>IF(Table2[[#This Row],[SOLD]]&gt;100,"High Sales","Low Sales")</f>
        <v>Low Sales</v>
      </c>
      <c r="I75" s="5" t="s">
        <v>308</v>
      </c>
      <c r="J75" s="3" t="s">
        <v>30</v>
      </c>
    </row>
    <row r="76" spans="1:10" x14ac:dyDescent="0.3">
      <c r="A76" s="3" t="s">
        <v>75</v>
      </c>
      <c r="B76" s="3" t="s">
        <v>15</v>
      </c>
      <c r="C76" s="6">
        <v>8.32</v>
      </c>
      <c r="D76" s="6" t="s">
        <v>309</v>
      </c>
      <c r="E76" s="6">
        <v>322</v>
      </c>
      <c r="F76" s="3" t="s">
        <v>310</v>
      </c>
      <c r="G76" s="6">
        <v>417</v>
      </c>
      <c r="H76" s="7" t="str">
        <f>IF(Table2[[#This Row],[SOLD]]&gt;100,"High Sales","Low Sales")</f>
        <v>High Sales</v>
      </c>
      <c r="I76" s="5" t="s">
        <v>311</v>
      </c>
      <c r="J76" s="3" t="s">
        <v>120</v>
      </c>
    </row>
    <row r="77" spans="1:10" x14ac:dyDescent="0.3">
      <c r="A77" s="3" t="s">
        <v>20</v>
      </c>
      <c r="B77" s="3" t="s">
        <v>15</v>
      </c>
      <c r="C77" s="6">
        <v>37.799999999999997</v>
      </c>
      <c r="D77" s="6" t="s">
        <v>312</v>
      </c>
      <c r="E77" s="6">
        <v>8</v>
      </c>
      <c r="F77" s="3" t="s">
        <v>313</v>
      </c>
      <c r="G77" s="6">
        <v>300</v>
      </c>
      <c r="H77" s="7" t="str">
        <f>IF(Table2[[#This Row],[SOLD]]&gt;100,"High Sales","Low Sales")</f>
        <v>High Sales</v>
      </c>
      <c r="I77" s="5" t="s">
        <v>314</v>
      </c>
      <c r="J77" s="3" t="s">
        <v>315</v>
      </c>
    </row>
    <row r="78" spans="1:10" x14ac:dyDescent="0.3">
      <c r="A78" s="3" t="s">
        <v>179</v>
      </c>
      <c r="B78" s="3" t="s">
        <v>15</v>
      </c>
      <c r="C78" s="6">
        <v>23.56</v>
      </c>
      <c r="D78" s="6" t="s">
        <v>316</v>
      </c>
      <c r="E78" s="6">
        <v>26</v>
      </c>
      <c r="F78" s="3" t="s">
        <v>317</v>
      </c>
      <c r="G78" s="6">
        <v>24048</v>
      </c>
      <c r="H78" s="7" t="str">
        <f>IF(Table2[[#This Row],[SOLD]]&gt;100,"High Sales","Low Sales")</f>
        <v>High Sales</v>
      </c>
      <c r="I78" s="5" t="s">
        <v>318</v>
      </c>
      <c r="J78" s="3" t="s">
        <v>120</v>
      </c>
    </row>
    <row r="79" spans="1:10" x14ac:dyDescent="0.3">
      <c r="A79" s="3" t="s">
        <v>161</v>
      </c>
      <c r="B79" s="3" t="s">
        <v>15</v>
      </c>
      <c r="C79" s="6">
        <v>27.59</v>
      </c>
      <c r="D79" s="6" t="s">
        <v>319</v>
      </c>
      <c r="E79" s="6">
        <v>323</v>
      </c>
      <c r="F79" s="3" t="s">
        <v>320</v>
      </c>
      <c r="G79" s="6">
        <v>4972</v>
      </c>
      <c r="H79" s="7" t="str">
        <f>IF(Table2[[#This Row],[SOLD]]&gt;100,"High Sales","Low Sales")</f>
        <v>High Sales</v>
      </c>
      <c r="I79" s="5" t="s">
        <v>321</v>
      </c>
      <c r="J79" s="3" t="s">
        <v>120</v>
      </c>
    </row>
    <row r="80" spans="1:10" x14ac:dyDescent="0.3">
      <c r="A80" s="3" t="s">
        <v>55</v>
      </c>
      <c r="B80" s="3" t="s">
        <v>15</v>
      </c>
      <c r="C80" s="6">
        <v>26.5</v>
      </c>
      <c r="D80" s="6" t="s">
        <v>322</v>
      </c>
      <c r="E80" s="6">
        <v>3</v>
      </c>
      <c r="F80" s="3" t="s">
        <v>323</v>
      </c>
      <c r="G80" s="6">
        <v>3</v>
      </c>
      <c r="H80" s="7" t="str">
        <f>IF(Table2[[#This Row],[SOLD]]&gt;100,"High Sales","Low Sales")</f>
        <v>Low Sales</v>
      </c>
      <c r="I80" s="5" t="s">
        <v>324</v>
      </c>
      <c r="J80" s="3" t="s">
        <v>325</v>
      </c>
    </row>
    <row r="81" spans="1:10" x14ac:dyDescent="0.3">
      <c r="A81" s="3" t="s">
        <v>60</v>
      </c>
      <c r="B81" s="3" t="s">
        <v>4</v>
      </c>
      <c r="C81" s="6">
        <v>35.71</v>
      </c>
      <c r="D81" s="6" t="s">
        <v>326</v>
      </c>
      <c r="E81" s="6">
        <v>3</v>
      </c>
      <c r="F81" s="3" t="s">
        <v>327</v>
      </c>
      <c r="G81" s="6">
        <v>36</v>
      </c>
      <c r="H81" s="7" t="str">
        <f>IF(Table2[[#This Row],[SOLD]]&gt;100,"High Sales","Low Sales")</f>
        <v>Low Sales</v>
      </c>
      <c r="I81" s="5" t="s">
        <v>328</v>
      </c>
      <c r="J81" s="3" t="s">
        <v>30</v>
      </c>
    </row>
    <row r="82" spans="1:10" x14ac:dyDescent="0.3">
      <c r="A82" s="3" t="s">
        <v>14</v>
      </c>
      <c r="B82" s="3" t="s">
        <v>32</v>
      </c>
      <c r="C82" s="6">
        <v>15.99</v>
      </c>
      <c r="D82" s="6" t="s">
        <v>66</v>
      </c>
      <c r="E82" s="6">
        <v>10</v>
      </c>
      <c r="F82" s="3" t="s">
        <v>329</v>
      </c>
      <c r="G82" s="6">
        <v>594</v>
      </c>
      <c r="H82" s="7" t="str">
        <f>IF(Table2[[#This Row],[SOLD]]&gt;100,"High Sales","Low Sales")</f>
        <v>High Sales</v>
      </c>
      <c r="I82" s="5" t="s">
        <v>330</v>
      </c>
      <c r="J82" s="3" t="s">
        <v>36</v>
      </c>
    </row>
    <row r="83" spans="1:10" x14ac:dyDescent="0.3">
      <c r="A83" s="3" t="s">
        <v>179</v>
      </c>
      <c r="B83" s="3" t="s">
        <v>32</v>
      </c>
      <c r="C83" s="6">
        <v>23.89</v>
      </c>
      <c r="D83" s="6" t="s">
        <v>331</v>
      </c>
      <c r="E83" s="6">
        <v>20</v>
      </c>
      <c r="F83" s="3" t="s">
        <v>332</v>
      </c>
      <c r="G83" s="6">
        <v>54052</v>
      </c>
      <c r="H83" s="7" t="str">
        <f>IF(Table2[[#This Row],[SOLD]]&gt;100,"High Sales","Low Sales")</f>
        <v>High Sales</v>
      </c>
      <c r="I83" s="5" t="s">
        <v>333</v>
      </c>
      <c r="J83" s="3" t="s">
        <v>107</v>
      </c>
    </row>
    <row r="84" spans="1:10" x14ac:dyDescent="0.3">
      <c r="A84" s="3" t="s">
        <v>334</v>
      </c>
      <c r="B84" s="3" t="s">
        <v>4</v>
      </c>
      <c r="C84" s="6">
        <v>10.99</v>
      </c>
      <c r="D84" s="6" t="s">
        <v>335</v>
      </c>
      <c r="E84" s="6">
        <v>10</v>
      </c>
      <c r="F84" s="3" t="s">
        <v>336</v>
      </c>
      <c r="G84" s="6">
        <v>179</v>
      </c>
      <c r="H84" s="7" t="str">
        <f>IF(Table2[[#This Row],[SOLD]]&gt;100,"High Sales","Low Sales")</f>
        <v>High Sales</v>
      </c>
      <c r="I84" s="5" t="s">
        <v>337</v>
      </c>
      <c r="J84" s="3" t="s">
        <v>130</v>
      </c>
    </row>
    <row r="85" spans="1:10" x14ac:dyDescent="0.3">
      <c r="A85" s="3" t="s">
        <v>20</v>
      </c>
      <c r="B85" s="3" t="s">
        <v>4</v>
      </c>
      <c r="C85" s="6">
        <v>70.989999999999995</v>
      </c>
      <c r="D85" s="6" t="s">
        <v>338</v>
      </c>
      <c r="E85" s="6">
        <v>2</v>
      </c>
      <c r="F85" s="3" t="s">
        <v>339</v>
      </c>
      <c r="G85" s="6">
        <v>52</v>
      </c>
      <c r="H85" s="7" t="str">
        <f>IF(Table2[[#This Row],[SOLD]]&gt;100,"High Sales","Low Sales")</f>
        <v>Low Sales</v>
      </c>
      <c r="I85" s="5" t="s">
        <v>340</v>
      </c>
      <c r="J85" s="3" t="s">
        <v>341</v>
      </c>
    </row>
    <row r="86" spans="1:10" x14ac:dyDescent="0.3">
      <c r="A86" s="3" t="s">
        <v>14</v>
      </c>
      <c r="B86" s="3" t="s">
        <v>32</v>
      </c>
      <c r="C86" s="6">
        <v>16.989999999999998</v>
      </c>
      <c r="D86" s="6" t="s">
        <v>342</v>
      </c>
      <c r="E86" s="6">
        <v>10</v>
      </c>
      <c r="F86" s="3" t="s">
        <v>343</v>
      </c>
      <c r="G86" s="6">
        <v>404</v>
      </c>
      <c r="H86" s="7" t="str">
        <f>IF(Table2[[#This Row],[SOLD]]&gt;100,"High Sales","Low Sales")</f>
        <v>High Sales</v>
      </c>
      <c r="I86" s="5" t="s">
        <v>344</v>
      </c>
      <c r="J86" s="3" t="s">
        <v>345</v>
      </c>
    </row>
    <row r="87" spans="1:10" x14ac:dyDescent="0.3">
      <c r="A87" s="3" t="s">
        <v>346</v>
      </c>
      <c r="B87" s="3" t="s">
        <v>4</v>
      </c>
      <c r="C87" s="6">
        <v>126.99</v>
      </c>
      <c r="D87" s="6" t="s">
        <v>347</v>
      </c>
      <c r="E87" s="6">
        <v>1</v>
      </c>
      <c r="F87" s="3" t="s">
        <v>348</v>
      </c>
      <c r="G87" s="6">
        <v>32</v>
      </c>
      <c r="H87" s="7" t="str">
        <f>IF(Table2[[#This Row],[SOLD]]&gt;100,"High Sales","Low Sales")</f>
        <v>Low Sales</v>
      </c>
      <c r="I87" s="5" t="s">
        <v>349</v>
      </c>
      <c r="J87" s="3" t="s">
        <v>350</v>
      </c>
    </row>
    <row r="88" spans="1:10" x14ac:dyDescent="0.3">
      <c r="A88" s="3" t="s">
        <v>351</v>
      </c>
      <c r="B88" s="3" t="s">
        <v>26</v>
      </c>
      <c r="C88" s="6">
        <v>159.99</v>
      </c>
      <c r="D88" s="6" t="s">
        <v>352</v>
      </c>
      <c r="E88" s="6">
        <v>10</v>
      </c>
      <c r="F88" s="3" t="s">
        <v>353</v>
      </c>
      <c r="G88" s="6">
        <v>30</v>
      </c>
      <c r="H88" s="7" t="str">
        <f>IF(Table2[[#This Row],[SOLD]]&gt;100,"High Sales","Low Sales")</f>
        <v>Low Sales</v>
      </c>
      <c r="I88" s="5" t="s">
        <v>354</v>
      </c>
      <c r="J88" s="3" t="s">
        <v>355</v>
      </c>
    </row>
    <row r="89" spans="1:10" x14ac:dyDescent="0.3">
      <c r="A89" s="3" t="s">
        <v>356</v>
      </c>
      <c r="B89" s="3" t="s">
        <v>357</v>
      </c>
      <c r="C89" s="6">
        <v>39.950000000000003</v>
      </c>
      <c r="D89" s="6" t="s">
        <v>358</v>
      </c>
      <c r="E89" s="6">
        <v>10</v>
      </c>
      <c r="F89" s="3" t="s">
        <v>359</v>
      </c>
      <c r="G89" s="6">
        <v>353</v>
      </c>
      <c r="H89" s="7" t="str">
        <f>IF(Table2[[#This Row],[SOLD]]&gt;100,"High Sales","Low Sales")</f>
        <v>High Sales</v>
      </c>
      <c r="I89" s="5" t="s">
        <v>360</v>
      </c>
      <c r="J89" s="3" t="s">
        <v>361</v>
      </c>
    </row>
    <row r="90" spans="1:10" x14ac:dyDescent="0.3">
      <c r="A90" s="3" t="s">
        <v>362</v>
      </c>
      <c r="B90" s="3" t="s">
        <v>15</v>
      </c>
      <c r="C90" s="6">
        <v>13.66</v>
      </c>
      <c r="D90" s="6" t="s">
        <v>363</v>
      </c>
      <c r="E90" s="6">
        <v>10</v>
      </c>
      <c r="F90" s="3" t="s">
        <v>364</v>
      </c>
      <c r="G90" s="6">
        <v>552</v>
      </c>
      <c r="H90" s="7" t="str">
        <f>IF(Table2[[#This Row],[SOLD]]&gt;100,"High Sales","Low Sales")</f>
        <v>High Sales</v>
      </c>
      <c r="I90" s="5" t="s">
        <v>365</v>
      </c>
      <c r="J90" s="3" t="s">
        <v>366</v>
      </c>
    </row>
    <row r="91" spans="1:10" x14ac:dyDescent="0.3">
      <c r="A91" s="3" t="s">
        <v>94</v>
      </c>
      <c r="B91" s="3" t="s">
        <v>15</v>
      </c>
      <c r="C91" s="6">
        <v>54.99</v>
      </c>
      <c r="D91" s="6" t="s">
        <v>367</v>
      </c>
      <c r="E91" s="6">
        <v>10</v>
      </c>
      <c r="F91" s="3" t="s">
        <v>368</v>
      </c>
      <c r="G91" s="6">
        <v>780</v>
      </c>
      <c r="H91" s="7" t="str">
        <f>IF(Table2[[#This Row],[SOLD]]&gt;100,"High Sales","Low Sales")</f>
        <v>High Sales</v>
      </c>
      <c r="I91" s="5" t="s">
        <v>369</v>
      </c>
      <c r="J91" s="3" t="s">
        <v>130</v>
      </c>
    </row>
    <row r="92" spans="1:10" x14ac:dyDescent="0.3">
      <c r="A92" s="3" t="s">
        <v>14</v>
      </c>
      <c r="B92" s="3" t="s">
        <v>32</v>
      </c>
      <c r="C92" s="6">
        <v>14.99</v>
      </c>
      <c r="D92" s="6" t="s">
        <v>33</v>
      </c>
      <c r="E92" s="6">
        <v>10</v>
      </c>
      <c r="F92" s="3" t="s">
        <v>370</v>
      </c>
      <c r="G92" s="6">
        <v>358</v>
      </c>
      <c r="H92" s="7" t="str">
        <f>IF(Table2[[#This Row],[SOLD]]&gt;100,"High Sales","Low Sales")</f>
        <v>High Sales</v>
      </c>
      <c r="I92" s="5" t="s">
        <v>371</v>
      </c>
      <c r="J92" s="3" t="s">
        <v>36</v>
      </c>
    </row>
    <row r="93" spans="1:10" x14ac:dyDescent="0.3">
      <c r="A93" s="3" t="s">
        <v>372</v>
      </c>
      <c r="B93" s="3" t="s">
        <v>373</v>
      </c>
      <c r="C93" s="6">
        <v>29.99</v>
      </c>
      <c r="D93" s="6" t="s">
        <v>90</v>
      </c>
      <c r="E93" s="6">
        <v>9</v>
      </c>
      <c r="F93" s="3" t="s">
        <v>374</v>
      </c>
      <c r="G93" s="6">
        <v>87</v>
      </c>
      <c r="H93" s="7" t="str">
        <f>IF(Table2[[#This Row],[SOLD]]&gt;100,"High Sales","Low Sales")</f>
        <v>Low Sales</v>
      </c>
      <c r="I93" s="5" t="s">
        <v>375</v>
      </c>
      <c r="J93" s="3" t="s">
        <v>178</v>
      </c>
    </row>
    <row r="94" spans="1:10" x14ac:dyDescent="0.3">
      <c r="A94" s="3" t="s">
        <v>158</v>
      </c>
      <c r="B94" s="3" t="s">
        <v>15</v>
      </c>
      <c r="C94" s="6">
        <v>89.99</v>
      </c>
      <c r="D94" s="6" t="s">
        <v>376</v>
      </c>
      <c r="E94" s="6">
        <v>6</v>
      </c>
      <c r="F94" s="3" t="s">
        <v>377</v>
      </c>
      <c r="G94" s="6">
        <v>23</v>
      </c>
      <c r="H94" s="7" t="str">
        <f>IF(Table2[[#This Row],[SOLD]]&gt;100,"High Sales","Low Sales")</f>
        <v>Low Sales</v>
      </c>
      <c r="I94" s="5" t="s">
        <v>378</v>
      </c>
      <c r="J94" s="3" t="s">
        <v>379</v>
      </c>
    </row>
    <row r="95" spans="1:10" x14ac:dyDescent="0.3">
      <c r="A95" s="3" t="s">
        <v>70</v>
      </c>
      <c r="B95" s="3" t="s">
        <v>4</v>
      </c>
      <c r="C95" s="6">
        <v>109.99</v>
      </c>
      <c r="D95" s="6" t="s">
        <v>380</v>
      </c>
      <c r="E95" s="6">
        <v>3</v>
      </c>
      <c r="F95" s="3" t="s">
        <v>202</v>
      </c>
      <c r="G95" s="6">
        <v>24</v>
      </c>
      <c r="H95" s="7" t="str">
        <f>IF(Table2[[#This Row],[SOLD]]&gt;100,"High Sales","Low Sales")</f>
        <v>Low Sales</v>
      </c>
      <c r="I95" s="5" t="s">
        <v>381</v>
      </c>
      <c r="J95" s="3" t="s">
        <v>382</v>
      </c>
    </row>
    <row r="96" spans="1:10" x14ac:dyDescent="0.3">
      <c r="A96" s="3" t="s">
        <v>269</v>
      </c>
      <c r="B96" s="3" t="s">
        <v>4</v>
      </c>
      <c r="C96" s="6">
        <v>92.56</v>
      </c>
      <c r="D96" s="6" t="s">
        <v>383</v>
      </c>
      <c r="E96" s="6">
        <v>30</v>
      </c>
      <c r="F96" s="3" t="s">
        <v>384</v>
      </c>
      <c r="G96" s="6">
        <v>2293</v>
      </c>
      <c r="H96" s="7" t="str">
        <f>IF(Table2[[#This Row],[SOLD]]&gt;100,"High Sales","Low Sales")</f>
        <v>High Sales</v>
      </c>
      <c r="I96" s="5" t="s">
        <v>385</v>
      </c>
      <c r="J96" s="3" t="s">
        <v>107</v>
      </c>
    </row>
    <row r="97" spans="1:10" x14ac:dyDescent="0.3">
      <c r="A97" s="3" t="s">
        <v>14</v>
      </c>
      <c r="B97" s="3" t="s">
        <v>32</v>
      </c>
      <c r="C97" s="6">
        <v>15.89</v>
      </c>
      <c r="D97" s="6" t="s">
        <v>46</v>
      </c>
      <c r="E97" s="6">
        <v>6</v>
      </c>
      <c r="F97" s="3" t="s">
        <v>386</v>
      </c>
      <c r="G97" s="6">
        <v>8</v>
      </c>
      <c r="H97" s="7" t="str">
        <f>IF(Table2[[#This Row],[SOLD]]&gt;100,"High Sales","Low Sales")</f>
        <v>Low Sales</v>
      </c>
      <c r="I97" s="5" t="s">
        <v>387</v>
      </c>
      <c r="J97" s="3" t="s">
        <v>49</v>
      </c>
    </row>
    <row r="98" spans="1:10" x14ac:dyDescent="0.3">
      <c r="A98" s="3" t="s">
        <v>20</v>
      </c>
      <c r="B98" s="3" t="s">
        <v>15</v>
      </c>
      <c r="C98" s="6">
        <v>59.99</v>
      </c>
      <c r="D98" s="6" t="s">
        <v>388</v>
      </c>
      <c r="E98" s="6">
        <v>10</v>
      </c>
      <c r="F98" s="3" t="s">
        <v>389</v>
      </c>
      <c r="G98" s="6">
        <v>14</v>
      </c>
      <c r="H98" s="7" t="str">
        <f>IF(Table2[[#This Row],[SOLD]]&gt;100,"High Sales","Low Sales")</f>
        <v>Low Sales</v>
      </c>
      <c r="I98" s="5" t="s">
        <v>390</v>
      </c>
      <c r="J98" s="3" t="s">
        <v>93</v>
      </c>
    </row>
    <row r="99" spans="1:10" x14ac:dyDescent="0.3">
      <c r="A99" s="3" t="s">
        <v>334</v>
      </c>
      <c r="B99" s="3" t="s">
        <v>32</v>
      </c>
      <c r="C99" s="6">
        <v>85</v>
      </c>
      <c r="D99" s="6" t="s">
        <v>42</v>
      </c>
      <c r="E99" s="6">
        <v>4</v>
      </c>
      <c r="F99" s="3" t="s">
        <v>391</v>
      </c>
      <c r="G99" s="6">
        <v>42</v>
      </c>
      <c r="H99" s="7" t="str">
        <f>IF(Table2[[#This Row],[SOLD]]&gt;100,"High Sales","Low Sales")</f>
        <v>Low Sales</v>
      </c>
      <c r="I99" s="5" t="s">
        <v>392</v>
      </c>
      <c r="J99" s="3" t="s">
        <v>393</v>
      </c>
    </row>
    <row r="100" spans="1:10" x14ac:dyDescent="0.3">
      <c r="A100" s="3" t="s">
        <v>14</v>
      </c>
      <c r="B100" s="3" t="s">
        <v>15</v>
      </c>
      <c r="C100" s="6">
        <v>13.86</v>
      </c>
      <c r="D100" s="6" t="s">
        <v>394</v>
      </c>
      <c r="E100" s="6">
        <v>10</v>
      </c>
      <c r="F100" s="3" t="s">
        <v>395</v>
      </c>
      <c r="G100" s="6">
        <v>1146</v>
      </c>
      <c r="H100" s="7" t="str">
        <f>IF(Table2[[#This Row],[SOLD]]&gt;100,"High Sales","Low Sales")</f>
        <v>High Sales</v>
      </c>
      <c r="I100" s="5" t="s">
        <v>396</v>
      </c>
      <c r="J100" s="3" t="s">
        <v>397</v>
      </c>
    </row>
    <row r="101" spans="1:10" x14ac:dyDescent="0.3">
      <c r="A101" s="3" t="s">
        <v>398</v>
      </c>
      <c r="B101" s="3" t="s">
        <v>4</v>
      </c>
      <c r="C101" s="6">
        <v>29.99</v>
      </c>
      <c r="D101" s="6" t="s">
        <v>399</v>
      </c>
      <c r="E101" s="6">
        <v>5</v>
      </c>
      <c r="F101" s="3" t="s">
        <v>400</v>
      </c>
      <c r="G101" s="6">
        <v>17</v>
      </c>
      <c r="H101" s="7" t="str">
        <f>IF(Table2[[#This Row],[SOLD]]&gt;100,"High Sales","Low Sales")</f>
        <v>Low Sales</v>
      </c>
      <c r="I101" s="5" t="s">
        <v>401</v>
      </c>
      <c r="J101" s="3" t="s">
        <v>93</v>
      </c>
    </row>
    <row r="105" spans="1:10" x14ac:dyDescent="0.3">
      <c r="D105" s="2" t="s">
        <v>0</v>
      </c>
      <c r="E105" s="9" t="s">
        <v>410</v>
      </c>
    </row>
    <row r="106" spans="1:10" x14ac:dyDescent="0.3">
      <c r="D106" s="2" t="s">
        <v>411</v>
      </c>
      <c r="E106" s="9">
        <f>SUMIF(C2:C101,"&gt;50",G2:G101)</f>
        <v>5127</v>
      </c>
      <c r="F106" t="s">
        <v>412</v>
      </c>
    </row>
    <row r="107" spans="1:10" x14ac:dyDescent="0.3">
      <c r="D107" s="2" t="s">
        <v>413</v>
      </c>
      <c r="E107" s="9">
        <f>COUNTIF(Table2[TYPE],"Eau de Toilette")</f>
        <v>46</v>
      </c>
      <c r="F107" t="s">
        <v>416</v>
      </c>
    </row>
    <row r="108" spans="1:10" x14ac:dyDescent="0.3">
      <c r="D108" s="2" t="s">
        <v>414</v>
      </c>
      <c r="E108" s="9">
        <f>AVERAGEIF(A2:A101,"Dior",G2:G101)</f>
        <v>490</v>
      </c>
      <c r="F108" t="s">
        <v>415</v>
      </c>
    </row>
    <row r="109" spans="1:10" x14ac:dyDescent="0.3">
      <c r="D109" s="2" t="s">
        <v>414</v>
      </c>
      <c r="E109" s="9">
        <f>AVERAGEIF(A2:A101,"Unbranded",G2:G101)</f>
        <v>275.10000000000002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Men's Perfume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Maheswari S</dc:creator>
  <cp:lastModifiedBy>Maheswari S</cp:lastModifiedBy>
  <dcterms:created xsi:type="dcterms:W3CDTF">2026-03-30T10:12:31Z</dcterms:created>
  <dcterms:modified xsi:type="dcterms:W3CDTF">2026-04-01T02:58:53Z</dcterms:modified>
</cp:coreProperties>
</file>