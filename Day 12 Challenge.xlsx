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21 days challenge/"/>
    </mc:Choice>
  </mc:AlternateContent>
  <xr:revisionPtr revIDLastSave="0" documentId="8_{7AF6D8B5-B5B1-4A6F-963C-2F70025954D4}" xr6:coauthVersionLast="47" xr6:coauthVersionMax="47" xr10:uidLastSave="{00000000-0000-0000-0000-000000000000}"/>
  <bookViews>
    <workbookView xWindow="-108" yWindow="-108" windowWidth="23256" windowHeight="12456" activeTab="1" xr2:uid="{F2386FDB-CAF8-456B-A01F-797F80953B06}"/>
  </bookViews>
  <sheets>
    <sheet name="Day12_Raw_Dataset" sheetId="1" r:id="rId1"/>
    <sheet name="Cleaned" sheetId="2" r:id="rId2"/>
  </sheets>
  <calcPr calcId="0"/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2" i="2"/>
</calcChain>
</file>

<file path=xl/sharedStrings.xml><?xml version="1.0" encoding="utf-8"?>
<sst xmlns="http://schemas.openxmlformats.org/spreadsheetml/2006/main" count="4026" uniqueCount="56">
  <si>
    <t>Order_ID</t>
  </si>
  <si>
    <t>Customer_Name</t>
  </si>
  <si>
    <t>Product_Category</t>
  </si>
  <si>
    <t>Order_Date</t>
  </si>
  <si>
    <t>Delivery_Date</t>
  </si>
  <si>
    <t>City</t>
  </si>
  <si>
    <t>Units_Sold</t>
  </si>
  <si>
    <t>Unit_Price</t>
  </si>
  <si>
    <t>Sales_Amount</t>
  </si>
  <si>
    <t>Segment</t>
  </si>
  <si>
    <t>Balaji N</t>
  </si>
  <si>
    <t>Jeans</t>
  </si>
  <si>
    <t>Delhi</t>
  </si>
  <si>
    <t>B2B</t>
  </si>
  <si>
    <t>Saranya D</t>
  </si>
  <si>
    <t>Accessories</t>
  </si>
  <si>
    <t>Bangalore</t>
  </si>
  <si>
    <t>Lakshmi S</t>
  </si>
  <si>
    <t>Shoes</t>
  </si>
  <si>
    <t>Mumbai</t>
  </si>
  <si>
    <t>B2C</t>
  </si>
  <si>
    <t>Anitha Raj</t>
  </si>
  <si>
    <t>T-Shirts</t>
  </si>
  <si>
    <t>Suresh M</t>
  </si>
  <si>
    <t>Uma S</t>
  </si>
  <si>
    <t>Jackets</t>
  </si>
  <si>
    <t>Chennai</t>
  </si>
  <si>
    <t>Manoj K</t>
  </si>
  <si>
    <t>Pune</t>
  </si>
  <si>
    <t>Meena Iyer</t>
  </si>
  <si>
    <t>Nithya R</t>
  </si>
  <si>
    <t>Dresses</t>
  </si>
  <si>
    <t>Ahmedabad</t>
  </si>
  <si>
    <t>Ravi Kumar</t>
  </si>
  <si>
    <t>Vijay K</t>
  </si>
  <si>
    <t>Santhosh P</t>
  </si>
  <si>
    <t>Hyderabad</t>
  </si>
  <si>
    <t>Deepa K</t>
  </si>
  <si>
    <t>Rahul G</t>
  </si>
  <si>
    <t>Pooja M</t>
  </si>
  <si>
    <t>Karthik Vel</t>
  </si>
  <si>
    <t>Kavitha S</t>
  </si>
  <si>
    <t>Revathi A</t>
  </si>
  <si>
    <t>Divya T</t>
  </si>
  <si>
    <t>Prakash V</t>
  </si>
  <si>
    <t>Arjun Reddy</t>
  </si>
  <si>
    <t>Sneha R</t>
  </si>
  <si>
    <t>Arun Pandi</t>
  </si>
  <si>
    <t>Ganesh R</t>
  </si>
  <si>
    <t>Priya Nair</t>
  </si>
  <si>
    <t>Order Year</t>
  </si>
  <si>
    <t>Order Month</t>
  </si>
  <si>
    <t>Month Name</t>
  </si>
  <si>
    <t>Order Weekday</t>
  </si>
  <si>
    <t>Delivery Date</t>
  </si>
  <si>
    <t>Days Since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</si>
</sst>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</font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DC93F-B953-4507-9864-241A248FFF1F}" name="Table1" displayName="Table1" ref="A1:P501" totalsRowShown="0" headerRowDxfId="0">
  <autoFilter ref="A1:P501" xr:uid="{6A9DC93F-B953-4507-9864-241A248FFF1F}"/>
  <tableColumns count="16">
    <tableColumn id="1" xr3:uid="{6140866C-57FC-4717-AA64-3ADB8816DA47}" name="Order_ID"/>
    <tableColumn id="2" xr3:uid="{3377AE6A-9239-481D-BC15-ED381E724ADA}" name="Customer_Name"/>
    <tableColumn id="3" xr3:uid="{05F7DA24-B0F0-4E41-9297-6462BEB626C5}" name="Product_Category"/>
    <tableColumn id="4" xr3:uid="{FB9F530D-A999-4ED7-B69D-0CC2E66E4EBE}" name="Order_Date" dataDxfId="2"/>
    <tableColumn id="5" xr3:uid="{DF032E44-8DAF-45B9-B762-28256601243D}" name="Delivery_Date" dataDxfId="1"/>
    <tableColumn id="6" xr3:uid="{4938DABD-2BE5-42AF-A4D4-A895DECC7D7B}" name="City"/>
    <tableColumn id="7" xr3:uid="{5CB03699-0AC8-4083-95D2-D54E88E3562E}" name="Units_Sold"/>
    <tableColumn id="8" xr3:uid="{EA2BE1F9-F845-4BC9-959E-D2B1B61F0660}" name="Unit_Price"/>
    <tableColumn id="9" xr3:uid="{6EEF7B95-4582-47E9-A96F-294141BE50B4}" name="Sales_Amount"/>
    <tableColumn id="10" xr3:uid="{99517261-78C4-4A8B-999A-12166F0561CA}" name="Segment"/>
    <tableColumn id="11" xr3:uid="{6EA8195C-54BB-4C65-8EE1-9A0FD823F809}" name="Order Year">
      <calculatedColumnFormula>YEAR(D2)</calculatedColumnFormula>
    </tableColumn>
    <tableColumn id="12" xr3:uid="{DFBE157C-E2DC-451F-B2B6-1B20D5CB5CDC}" name="Order Month">
      <calculatedColumnFormula>MONTH(D2)</calculatedColumnFormula>
    </tableColumn>
    <tableColumn id="13" xr3:uid="{611A34FC-E1B6-49C1-A780-4689E2357314}" name="Month Name">
      <calculatedColumnFormula>TEXT(D2,"MMMM")</calculatedColumnFormula>
    </tableColumn>
    <tableColumn id="14" xr3:uid="{C528F41B-EA29-4279-A144-5CF89EBF35CC}" name="Order Weekday">
      <calculatedColumnFormula>WEEKDAY(D2,2)</calculatedColumnFormula>
    </tableColumn>
    <tableColumn id="15" xr3:uid="{DEB3414E-3835-45CB-B26A-470C01968BBD}" name="Delivery Date">
      <calculatedColumnFormula>DATEDIF(D2,E2,"D")</calculatedColumnFormula>
    </tableColumn>
    <tableColumn id="16" xr3:uid="{A3395CAB-25D6-456F-9804-5A516DBFD2DB}" name="Days Since Order">
      <calculatedColumnFormula>TODAY()-D2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51AE-AD37-4C94-A30A-153AE8575613}">
  <dimension ref="A1:J501"/>
  <sheetViews>
    <sheetView workbookViewId="0">
      <selection activeCell="D26" sqref="A1:J50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2000</v>
      </c>
      <c r="B2" t="s">
        <v>10</v>
      </c>
      <c r="C2" t="s">
        <v>11</v>
      </c>
      <c r="D2" s="1">
        <v>44613</v>
      </c>
      <c r="E2" s="1">
        <v>44626</v>
      </c>
      <c r="F2" t="s">
        <v>12</v>
      </c>
      <c r="G2">
        <v>4</v>
      </c>
      <c r="H2">
        <v>1349.09</v>
      </c>
      <c r="I2">
        <v>5396.36</v>
      </c>
      <c r="J2" t="s">
        <v>13</v>
      </c>
    </row>
    <row r="3" spans="1:10" x14ac:dyDescent="0.3">
      <c r="A3">
        <v>2001</v>
      </c>
      <c r="B3" t="s">
        <v>14</v>
      </c>
      <c r="C3" t="s">
        <v>15</v>
      </c>
      <c r="D3" s="1">
        <v>44740</v>
      </c>
      <c r="E3" s="1">
        <v>44751</v>
      </c>
      <c r="F3" t="s">
        <v>16</v>
      </c>
      <c r="G3">
        <v>1</v>
      </c>
      <c r="H3">
        <v>440.05</v>
      </c>
      <c r="I3">
        <v>440.05</v>
      </c>
      <c r="J3" t="s">
        <v>13</v>
      </c>
    </row>
    <row r="4" spans="1:10" x14ac:dyDescent="0.3">
      <c r="A4">
        <v>2002</v>
      </c>
      <c r="B4" t="s">
        <v>17</v>
      </c>
      <c r="C4" t="s">
        <v>18</v>
      </c>
      <c r="D4" s="1">
        <v>44616</v>
      </c>
      <c r="E4" s="1">
        <v>44626</v>
      </c>
      <c r="F4" t="s">
        <v>19</v>
      </c>
      <c r="G4">
        <v>7</v>
      </c>
      <c r="H4">
        <v>1336.07</v>
      </c>
      <c r="I4">
        <v>9352.49</v>
      </c>
      <c r="J4" t="s">
        <v>20</v>
      </c>
    </row>
    <row r="5" spans="1:10" x14ac:dyDescent="0.3">
      <c r="A5">
        <v>2003</v>
      </c>
      <c r="B5" t="s">
        <v>21</v>
      </c>
      <c r="C5" t="s">
        <v>22</v>
      </c>
      <c r="D5" s="1">
        <v>45427</v>
      </c>
      <c r="E5" s="1">
        <v>45434</v>
      </c>
      <c r="F5" t="s">
        <v>12</v>
      </c>
      <c r="G5">
        <v>3</v>
      </c>
      <c r="H5">
        <v>1311.97</v>
      </c>
      <c r="I5">
        <v>3935.91</v>
      </c>
      <c r="J5" t="s">
        <v>20</v>
      </c>
    </row>
    <row r="6" spans="1:10" x14ac:dyDescent="0.3">
      <c r="A6">
        <v>2004</v>
      </c>
      <c r="B6" t="s">
        <v>23</v>
      </c>
      <c r="C6" t="s">
        <v>11</v>
      </c>
      <c r="D6" s="1">
        <v>45340</v>
      </c>
      <c r="E6" s="1">
        <v>45343</v>
      </c>
      <c r="F6" t="s">
        <v>12</v>
      </c>
      <c r="G6">
        <v>6</v>
      </c>
      <c r="H6">
        <v>3137.51</v>
      </c>
      <c r="I6">
        <v>18825.060000000001</v>
      </c>
      <c r="J6" t="s">
        <v>13</v>
      </c>
    </row>
    <row r="7" spans="1:10" x14ac:dyDescent="0.3">
      <c r="A7">
        <v>2005</v>
      </c>
      <c r="B7" t="s">
        <v>24</v>
      </c>
      <c r="C7" t="s">
        <v>25</v>
      </c>
      <c r="D7" s="1">
        <v>44817</v>
      </c>
      <c r="E7" s="1">
        <v>44825</v>
      </c>
      <c r="F7" t="s">
        <v>26</v>
      </c>
      <c r="G7">
        <v>5</v>
      </c>
      <c r="H7">
        <v>4198.2</v>
      </c>
      <c r="I7">
        <v>20991</v>
      </c>
      <c r="J7" t="s">
        <v>20</v>
      </c>
    </row>
    <row r="8" spans="1:10" x14ac:dyDescent="0.3">
      <c r="A8">
        <v>2006</v>
      </c>
      <c r="B8" t="s">
        <v>27</v>
      </c>
      <c r="C8" t="s">
        <v>22</v>
      </c>
      <c r="D8" s="1">
        <v>44704</v>
      </c>
      <c r="E8" s="1">
        <v>44706</v>
      </c>
      <c r="F8" t="s">
        <v>28</v>
      </c>
      <c r="G8">
        <v>4</v>
      </c>
      <c r="H8">
        <v>3933.42</v>
      </c>
      <c r="I8">
        <v>15733.68</v>
      </c>
      <c r="J8" t="s">
        <v>13</v>
      </c>
    </row>
    <row r="9" spans="1:10" x14ac:dyDescent="0.3">
      <c r="A9">
        <v>2007</v>
      </c>
      <c r="B9" t="s">
        <v>17</v>
      </c>
      <c r="C9" t="s">
        <v>11</v>
      </c>
      <c r="D9" s="1">
        <v>45340</v>
      </c>
      <c r="E9" s="1">
        <v>45346</v>
      </c>
      <c r="F9" t="s">
        <v>16</v>
      </c>
      <c r="G9">
        <v>6</v>
      </c>
      <c r="H9">
        <v>1064.47</v>
      </c>
      <c r="I9">
        <v>6386.82</v>
      </c>
      <c r="J9" t="s">
        <v>20</v>
      </c>
    </row>
    <row r="10" spans="1:10" x14ac:dyDescent="0.3">
      <c r="A10">
        <v>2008</v>
      </c>
      <c r="B10" t="s">
        <v>29</v>
      </c>
      <c r="C10" t="s">
        <v>15</v>
      </c>
      <c r="D10" s="1">
        <v>45108</v>
      </c>
      <c r="E10" s="1">
        <v>45121</v>
      </c>
      <c r="F10" t="s">
        <v>28</v>
      </c>
      <c r="G10">
        <v>2</v>
      </c>
      <c r="H10">
        <v>3162.92</v>
      </c>
      <c r="I10">
        <v>6325.84</v>
      </c>
      <c r="J10" t="s">
        <v>13</v>
      </c>
    </row>
    <row r="11" spans="1:10" x14ac:dyDescent="0.3">
      <c r="A11">
        <v>2009</v>
      </c>
      <c r="B11" t="s">
        <v>30</v>
      </c>
      <c r="C11" t="s">
        <v>15</v>
      </c>
      <c r="D11" s="1">
        <v>45063</v>
      </c>
      <c r="E11" s="1">
        <v>45067</v>
      </c>
      <c r="F11" t="s">
        <v>16</v>
      </c>
      <c r="G11">
        <v>7</v>
      </c>
      <c r="H11">
        <v>1568.75</v>
      </c>
      <c r="I11">
        <v>10981.25</v>
      </c>
      <c r="J11" t="s">
        <v>13</v>
      </c>
    </row>
    <row r="12" spans="1:10" x14ac:dyDescent="0.3">
      <c r="A12">
        <v>2010</v>
      </c>
      <c r="B12" t="s">
        <v>14</v>
      </c>
      <c r="C12" t="s">
        <v>31</v>
      </c>
      <c r="D12" s="1">
        <v>44676</v>
      </c>
      <c r="E12" s="1">
        <v>44681</v>
      </c>
      <c r="F12" t="s">
        <v>32</v>
      </c>
      <c r="G12">
        <v>1</v>
      </c>
      <c r="H12">
        <v>4083.72</v>
      </c>
      <c r="I12">
        <v>4083.72</v>
      </c>
      <c r="J12" t="s">
        <v>20</v>
      </c>
    </row>
    <row r="13" spans="1:10" x14ac:dyDescent="0.3">
      <c r="A13">
        <v>2011</v>
      </c>
      <c r="B13" t="s">
        <v>33</v>
      </c>
      <c r="C13" t="s">
        <v>11</v>
      </c>
      <c r="D13" s="1">
        <v>44994</v>
      </c>
      <c r="E13" s="1">
        <v>45005</v>
      </c>
      <c r="F13" t="s">
        <v>28</v>
      </c>
      <c r="G13">
        <v>6</v>
      </c>
      <c r="H13">
        <v>1299.3399999999999</v>
      </c>
      <c r="I13">
        <v>7796.04</v>
      </c>
      <c r="J13" t="s">
        <v>20</v>
      </c>
    </row>
    <row r="14" spans="1:10" x14ac:dyDescent="0.3">
      <c r="A14">
        <v>2012</v>
      </c>
      <c r="B14" t="s">
        <v>34</v>
      </c>
      <c r="C14" t="s">
        <v>15</v>
      </c>
      <c r="D14" s="1">
        <v>45501</v>
      </c>
      <c r="E14" s="1">
        <v>45505</v>
      </c>
      <c r="F14" t="s">
        <v>12</v>
      </c>
      <c r="G14">
        <v>3</v>
      </c>
      <c r="H14">
        <v>1459.15</v>
      </c>
      <c r="I14">
        <v>4377.45</v>
      </c>
      <c r="J14" t="s">
        <v>20</v>
      </c>
    </row>
    <row r="15" spans="1:10" x14ac:dyDescent="0.3">
      <c r="A15">
        <v>2013</v>
      </c>
      <c r="B15" t="s">
        <v>24</v>
      </c>
      <c r="C15" t="s">
        <v>18</v>
      </c>
      <c r="D15" s="1">
        <v>45439</v>
      </c>
      <c r="E15" s="1">
        <v>45450</v>
      </c>
      <c r="F15" t="s">
        <v>16</v>
      </c>
      <c r="G15">
        <v>6</v>
      </c>
      <c r="H15">
        <v>1330.81</v>
      </c>
      <c r="I15">
        <v>7984.86</v>
      </c>
      <c r="J15" t="s">
        <v>13</v>
      </c>
    </row>
    <row r="16" spans="1:10" x14ac:dyDescent="0.3">
      <c r="A16">
        <v>2014</v>
      </c>
      <c r="B16" t="s">
        <v>35</v>
      </c>
      <c r="C16" t="s">
        <v>25</v>
      </c>
      <c r="D16" s="1">
        <v>44748</v>
      </c>
      <c r="E16" s="1">
        <v>44762</v>
      </c>
      <c r="F16" t="s">
        <v>26</v>
      </c>
      <c r="G16">
        <v>2</v>
      </c>
      <c r="H16">
        <v>1018.35</v>
      </c>
      <c r="I16">
        <v>2036.7</v>
      </c>
      <c r="J16" t="s">
        <v>13</v>
      </c>
    </row>
    <row r="17" spans="1:10" x14ac:dyDescent="0.3">
      <c r="A17">
        <v>2015</v>
      </c>
      <c r="B17" t="s">
        <v>14</v>
      </c>
      <c r="C17" t="s">
        <v>25</v>
      </c>
      <c r="D17" s="1">
        <v>44692</v>
      </c>
      <c r="E17" s="1">
        <v>44700</v>
      </c>
      <c r="F17" t="s">
        <v>16</v>
      </c>
      <c r="G17">
        <v>8</v>
      </c>
      <c r="H17">
        <v>2786.84</v>
      </c>
      <c r="I17">
        <v>22294.720000000001</v>
      </c>
      <c r="J17" t="s">
        <v>13</v>
      </c>
    </row>
    <row r="18" spans="1:10" x14ac:dyDescent="0.3">
      <c r="A18">
        <v>2016</v>
      </c>
      <c r="B18" t="s">
        <v>14</v>
      </c>
      <c r="C18" t="s">
        <v>15</v>
      </c>
      <c r="D18" s="1">
        <v>44796</v>
      </c>
      <c r="E18" s="1">
        <v>44808</v>
      </c>
      <c r="F18" t="s">
        <v>36</v>
      </c>
      <c r="G18">
        <v>5</v>
      </c>
      <c r="H18">
        <v>3912.41</v>
      </c>
      <c r="I18">
        <v>19562.05</v>
      </c>
      <c r="J18" t="s">
        <v>20</v>
      </c>
    </row>
    <row r="19" spans="1:10" x14ac:dyDescent="0.3">
      <c r="A19">
        <v>2017</v>
      </c>
      <c r="B19" t="s">
        <v>23</v>
      </c>
      <c r="C19" t="s">
        <v>31</v>
      </c>
      <c r="D19" s="1">
        <v>45452</v>
      </c>
      <c r="E19" s="1">
        <v>45456</v>
      </c>
      <c r="F19" t="s">
        <v>16</v>
      </c>
      <c r="G19">
        <v>1</v>
      </c>
      <c r="H19">
        <v>4782.93</v>
      </c>
      <c r="I19">
        <v>4782.93</v>
      </c>
      <c r="J19" t="s">
        <v>20</v>
      </c>
    </row>
    <row r="20" spans="1:10" x14ac:dyDescent="0.3">
      <c r="A20">
        <v>2018</v>
      </c>
      <c r="B20" t="s">
        <v>35</v>
      </c>
      <c r="C20" t="s">
        <v>22</v>
      </c>
      <c r="D20" s="1">
        <v>45601</v>
      </c>
      <c r="E20" s="1">
        <v>45604</v>
      </c>
      <c r="F20" t="s">
        <v>32</v>
      </c>
      <c r="G20">
        <v>5</v>
      </c>
      <c r="H20">
        <v>4255.8500000000004</v>
      </c>
      <c r="I20">
        <v>21279.25</v>
      </c>
      <c r="J20" t="s">
        <v>13</v>
      </c>
    </row>
    <row r="21" spans="1:10" x14ac:dyDescent="0.3">
      <c r="A21">
        <v>2019</v>
      </c>
      <c r="B21" t="s">
        <v>37</v>
      </c>
      <c r="C21" t="s">
        <v>31</v>
      </c>
      <c r="D21" s="1">
        <v>44892</v>
      </c>
      <c r="E21" s="1">
        <v>44902</v>
      </c>
      <c r="F21" t="s">
        <v>32</v>
      </c>
      <c r="G21">
        <v>1</v>
      </c>
      <c r="H21">
        <v>3115.04</v>
      </c>
      <c r="I21">
        <v>3115.04</v>
      </c>
      <c r="J21" t="s">
        <v>20</v>
      </c>
    </row>
    <row r="22" spans="1:10" x14ac:dyDescent="0.3">
      <c r="A22">
        <v>2020</v>
      </c>
      <c r="B22" t="s">
        <v>21</v>
      </c>
      <c r="C22" t="s">
        <v>11</v>
      </c>
      <c r="D22" s="1">
        <v>45305</v>
      </c>
      <c r="E22" s="1">
        <v>45320</v>
      </c>
      <c r="F22" t="s">
        <v>32</v>
      </c>
      <c r="G22">
        <v>5</v>
      </c>
      <c r="H22">
        <v>1425.43</v>
      </c>
      <c r="I22">
        <v>7127.15</v>
      </c>
      <c r="J22" t="s">
        <v>13</v>
      </c>
    </row>
    <row r="23" spans="1:10" x14ac:dyDescent="0.3">
      <c r="A23">
        <v>2021</v>
      </c>
      <c r="B23" t="s">
        <v>27</v>
      </c>
      <c r="C23" t="s">
        <v>11</v>
      </c>
      <c r="D23" s="1">
        <v>44737</v>
      </c>
      <c r="E23" s="1">
        <v>44750</v>
      </c>
      <c r="F23" t="s">
        <v>16</v>
      </c>
      <c r="G23">
        <v>2</v>
      </c>
      <c r="H23">
        <v>4896.53</v>
      </c>
      <c r="I23">
        <v>9793.06</v>
      </c>
      <c r="J23" t="s">
        <v>13</v>
      </c>
    </row>
    <row r="24" spans="1:10" x14ac:dyDescent="0.3">
      <c r="A24">
        <v>2022</v>
      </c>
      <c r="B24" t="s">
        <v>37</v>
      </c>
      <c r="C24" t="s">
        <v>15</v>
      </c>
      <c r="D24" s="1">
        <v>45535</v>
      </c>
      <c r="E24" s="1">
        <v>45545</v>
      </c>
      <c r="F24" t="s">
        <v>19</v>
      </c>
      <c r="G24">
        <v>5</v>
      </c>
      <c r="H24">
        <v>2780.07</v>
      </c>
      <c r="I24">
        <v>13900.35</v>
      </c>
      <c r="J24" t="s">
        <v>20</v>
      </c>
    </row>
    <row r="25" spans="1:10" x14ac:dyDescent="0.3">
      <c r="A25">
        <v>2023</v>
      </c>
      <c r="B25" t="s">
        <v>29</v>
      </c>
      <c r="C25" t="s">
        <v>18</v>
      </c>
      <c r="D25" s="1">
        <v>44973</v>
      </c>
      <c r="E25" s="1">
        <v>44986</v>
      </c>
      <c r="F25" t="s">
        <v>12</v>
      </c>
      <c r="G25">
        <v>7</v>
      </c>
      <c r="H25">
        <v>4977.2</v>
      </c>
      <c r="I25">
        <v>34840.400000000001</v>
      </c>
      <c r="J25" t="s">
        <v>20</v>
      </c>
    </row>
    <row r="26" spans="1:10" x14ac:dyDescent="0.3">
      <c r="A26">
        <v>2024</v>
      </c>
      <c r="B26" t="s">
        <v>38</v>
      </c>
      <c r="C26" t="s">
        <v>18</v>
      </c>
      <c r="D26" s="1">
        <v>45486</v>
      </c>
      <c r="E26" s="1">
        <v>45489</v>
      </c>
      <c r="F26" t="s">
        <v>19</v>
      </c>
      <c r="G26">
        <v>4</v>
      </c>
      <c r="H26">
        <v>600.91999999999996</v>
      </c>
      <c r="I26">
        <v>2403.6799999999998</v>
      </c>
      <c r="J26" t="s">
        <v>13</v>
      </c>
    </row>
    <row r="27" spans="1:10" x14ac:dyDescent="0.3">
      <c r="A27">
        <v>2025</v>
      </c>
      <c r="B27" t="s">
        <v>27</v>
      </c>
      <c r="C27" t="s">
        <v>18</v>
      </c>
      <c r="D27" s="1">
        <v>45033</v>
      </c>
      <c r="E27" s="1">
        <v>45044</v>
      </c>
      <c r="F27" t="s">
        <v>19</v>
      </c>
      <c r="G27">
        <v>1</v>
      </c>
      <c r="H27">
        <v>633.66999999999996</v>
      </c>
      <c r="I27">
        <v>633.66999999999996</v>
      </c>
      <c r="J27" t="s">
        <v>13</v>
      </c>
    </row>
    <row r="28" spans="1:10" x14ac:dyDescent="0.3">
      <c r="A28">
        <v>2026</v>
      </c>
      <c r="B28" t="s">
        <v>17</v>
      </c>
      <c r="C28" t="s">
        <v>11</v>
      </c>
      <c r="D28" s="1">
        <v>44626</v>
      </c>
      <c r="E28" s="1">
        <v>44641</v>
      </c>
      <c r="F28" t="s">
        <v>12</v>
      </c>
      <c r="G28">
        <v>2</v>
      </c>
      <c r="H28">
        <v>2716.53</v>
      </c>
      <c r="I28">
        <v>5433.06</v>
      </c>
      <c r="J28" t="s">
        <v>20</v>
      </c>
    </row>
    <row r="29" spans="1:10" x14ac:dyDescent="0.3">
      <c r="A29">
        <v>2027</v>
      </c>
      <c r="B29" t="s">
        <v>14</v>
      </c>
      <c r="C29" t="s">
        <v>25</v>
      </c>
      <c r="D29" s="1">
        <v>45000</v>
      </c>
      <c r="E29" s="1">
        <v>45010</v>
      </c>
      <c r="F29" t="s">
        <v>19</v>
      </c>
      <c r="G29">
        <v>8</v>
      </c>
      <c r="H29">
        <v>1442.09</v>
      </c>
      <c r="I29">
        <v>11536.72</v>
      </c>
      <c r="J29" t="s">
        <v>20</v>
      </c>
    </row>
    <row r="30" spans="1:10" x14ac:dyDescent="0.3">
      <c r="A30">
        <v>2028</v>
      </c>
      <c r="B30" t="s">
        <v>39</v>
      </c>
      <c r="C30" t="s">
        <v>22</v>
      </c>
      <c r="D30" s="1">
        <v>44755</v>
      </c>
      <c r="E30" s="1">
        <v>44758</v>
      </c>
      <c r="F30" t="s">
        <v>28</v>
      </c>
      <c r="G30">
        <v>7</v>
      </c>
      <c r="H30">
        <v>1965.2</v>
      </c>
      <c r="I30">
        <v>13756.4</v>
      </c>
      <c r="J30" t="s">
        <v>20</v>
      </c>
    </row>
    <row r="31" spans="1:10" x14ac:dyDescent="0.3">
      <c r="A31">
        <v>2029</v>
      </c>
      <c r="B31" t="s">
        <v>38</v>
      </c>
      <c r="C31" t="s">
        <v>15</v>
      </c>
      <c r="D31" s="1">
        <v>44672</v>
      </c>
      <c r="E31" s="1">
        <v>44684</v>
      </c>
      <c r="F31" t="s">
        <v>28</v>
      </c>
      <c r="G31">
        <v>2</v>
      </c>
      <c r="H31">
        <v>584.88</v>
      </c>
      <c r="I31">
        <v>1169.76</v>
      </c>
      <c r="J31" t="s">
        <v>20</v>
      </c>
    </row>
    <row r="32" spans="1:10" x14ac:dyDescent="0.3">
      <c r="A32">
        <v>2030</v>
      </c>
      <c r="B32" t="s">
        <v>23</v>
      </c>
      <c r="C32" t="s">
        <v>22</v>
      </c>
      <c r="D32" s="1">
        <v>44954</v>
      </c>
      <c r="E32" s="1">
        <v>44959</v>
      </c>
      <c r="F32" t="s">
        <v>36</v>
      </c>
      <c r="G32">
        <v>8</v>
      </c>
      <c r="H32">
        <v>958.86</v>
      </c>
      <c r="I32">
        <v>7670.88</v>
      </c>
      <c r="J32" t="s">
        <v>13</v>
      </c>
    </row>
    <row r="33" spans="1:10" x14ac:dyDescent="0.3">
      <c r="A33">
        <v>2031</v>
      </c>
      <c r="B33" t="s">
        <v>33</v>
      </c>
      <c r="C33" t="s">
        <v>25</v>
      </c>
      <c r="D33" s="1">
        <v>45073</v>
      </c>
      <c r="E33" s="1">
        <v>45088</v>
      </c>
      <c r="F33" t="s">
        <v>26</v>
      </c>
      <c r="G33">
        <v>8</v>
      </c>
      <c r="H33">
        <v>4097.7</v>
      </c>
      <c r="I33">
        <v>32781.599999999999</v>
      </c>
      <c r="J33" t="s">
        <v>13</v>
      </c>
    </row>
    <row r="34" spans="1:10" x14ac:dyDescent="0.3">
      <c r="A34">
        <v>2032</v>
      </c>
      <c r="B34" t="s">
        <v>40</v>
      </c>
      <c r="C34" t="s">
        <v>15</v>
      </c>
      <c r="D34" s="1">
        <v>44592</v>
      </c>
      <c r="E34" s="1">
        <v>44595</v>
      </c>
      <c r="F34" t="s">
        <v>32</v>
      </c>
      <c r="G34">
        <v>4</v>
      </c>
      <c r="H34">
        <v>1081.6600000000001</v>
      </c>
      <c r="I34">
        <v>4326.6400000000003</v>
      </c>
      <c r="J34" t="s">
        <v>20</v>
      </c>
    </row>
    <row r="35" spans="1:10" x14ac:dyDescent="0.3">
      <c r="A35">
        <v>2033</v>
      </c>
      <c r="B35" t="s">
        <v>41</v>
      </c>
      <c r="C35" t="s">
        <v>22</v>
      </c>
      <c r="D35" s="1">
        <v>45383</v>
      </c>
      <c r="E35" s="1">
        <v>45385</v>
      </c>
      <c r="F35" t="s">
        <v>19</v>
      </c>
      <c r="G35">
        <v>7</v>
      </c>
      <c r="H35">
        <v>310.13</v>
      </c>
      <c r="I35">
        <v>2170.91</v>
      </c>
      <c r="J35" t="s">
        <v>20</v>
      </c>
    </row>
    <row r="36" spans="1:10" x14ac:dyDescent="0.3">
      <c r="A36">
        <v>2034</v>
      </c>
      <c r="B36" t="s">
        <v>33</v>
      </c>
      <c r="C36" t="s">
        <v>25</v>
      </c>
      <c r="D36" s="1">
        <v>45146</v>
      </c>
      <c r="E36" s="1">
        <v>45154</v>
      </c>
      <c r="F36" t="s">
        <v>28</v>
      </c>
      <c r="G36">
        <v>8</v>
      </c>
      <c r="H36">
        <v>1027.55</v>
      </c>
      <c r="I36">
        <v>8220.4</v>
      </c>
      <c r="J36" t="s">
        <v>20</v>
      </c>
    </row>
    <row r="37" spans="1:10" x14ac:dyDescent="0.3">
      <c r="A37">
        <v>2035</v>
      </c>
      <c r="B37" t="s">
        <v>29</v>
      </c>
      <c r="C37" t="s">
        <v>11</v>
      </c>
      <c r="D37" s="1">
        <v>44686</v>
      </c>
      <c r="E37" s="1">
        <v>44699</v>
      </c>
      <c r="F37" t="s">
        <v>12</v>
      </c>
      <c r="G37">
        <v>1</v>
      </c>
      <c r="H37">
        <v>535.66999999999996</v>
      </c>
      <c r="I37">
        <v>535.66999999999996</v>
      </c>
      <c r="J37" t="s">
        <v>20</v>
      </c>
    </row>
    <row r="38" spans="1:10" x14ac:dyDescent="0.3">
      <c r="A38">
        <v>2036</v>
      </c>
      <c r="B38" t="s">
        <v>35</v>
      </c>
      <c r="C38" t="s">
        <v>18</v>
      </c>
      <c r="D38" s="1">
        <v>44884</v>
      </c>
      <c r="E38" s="1">
        <v>44886</v>
      </c>
      <c r="F38" t="s">
        <v>36</v>
      </c>
      <c r="G38">
        <v>2</v>
      </c>
      <c r="H38">
        <v>4301.3100000000004</v>
      </c>
      <c r="I38">
        <v>8602.6200000000008</v>
      </c>
      <c r="J38" t="s">
        <v>13</v>
      </c>
    </row>
    <row r="39" spans="1:10" x14ac:dyDescent="0.3">
      <c r="A39">
        <v>2037</v>
      </c>
      <c r="B39" t="s">
        <v>42</v>
      </c>
      <c r="C39" t="s">
        <v>11</v>
      </c>
      <c r="D39" s="1">
        <v>45043</v>
      </c>
      <c r="E39" s="1">
        <v>45051</v>
      </c>
      <c r="F39" t="s">
        <v>26</v>
      </c>
      <c r="G39">
        <v>4</v>
      </c>
      <c r="H39">
        <v>3020.92</v>
      </c>
      <c r="I39">
        <v>12083.68</v>
      </c>
      <c r="J39" t="s">
        <v>13</v>
      </c>
    </row>
    <row r="40" spans="1:10" x14ac:dyDescent="0.3">
      <c r="A40">
        <v>2038</v>
      </c>
      <c r="B40" t="s">
        <v>42</v>
      </c>
      <c r="C40" t="s">
        <v>11</v>
      </c>
      <c r="D40" s="1">
        <v>45420</v>
      </c>
      <c r="E40" s="1">
        <v>45432</v>
      </c>
      <c r="F40" t="s">
        <v>36</v>
      </c>
      <c r="G40">
        <v>6</v>
      </c>
      <c r="H40">
        <v>4693.12</v>
      </c>
      <c r="I40">
        <v>28158.720000000001</v>
      </c>
      <c r="J40" t="s">
        <v>13</v>
      </c>
    </row>
    <row r="41" spans="1:10" x14ac:dyDescent="0.3">
      <c r="A41">
        <v>2039</v>
      </c>
      <c r="B41" t="s">
        <v>14</v>
      </c>
      <c r="C41" t="s">
        <v>15</v>
      </c>
      <c r="D41" s="1">
        <v>45205</v>
      </c>
      <c r="E41" s="1">
        <v>45210</v>
      </c>
      <c r="F41" t="s">
        <v>12</v>
      </c>
      <c r="G41">
        <v>7</v>
      </c>
      <c r="H41">
        <v>915.13</v>
      </c>
      <c r="I41">
        <v>6405.91</v>
      </c>
      <c r="J41" t="s">
        <v>20</v>
      </c>
    </row>
    <row r="42" spans="1:10" x14ac:dyDescent="0.3">
      <c r="A42">
        <v>2040</v>
      </c>
      <c r="B42" t="s">
        <v>38</v>
      </c>
      <c r="C42" t="s">
        <v>31</v>
      </c>
      <c r="D42" s="1">
        <v>44710</v>
      </c>
      <c r="E42" s="1">
        <v>44712</v>
      </c>
      <c r="F42" t="s">
        <v>16</v>
      </c>
      <c r="G42">
        <v>2</v>
      </c>
      <c r="H42">
        <v>644.33000000000004</v>
      </c>
      <c r="I42">
        <v>1288.6600000000001</v>
      </c>
      <c r="J42" t="s">
        <v>13</v>
      </c>
    </row>
    <row r="43" spans="1:10" x14ac:dyDescent="0.3">
      <c r="A43">
        <v>2041</v>
      </c>
      <c r="B43" t="s">
        <v>35</v>
      </c>
      <c r="C43" t="s">
        <v>31</v>
      </c>
      <c r="D43" s="1">
        <v>44833</v>
      </c>
      <c r="E43" s="1">
        <v>44840</v>
      </c>
      <c r="F43" t="s">
        <v>26</v>
      </c>
      <c r="G43">
        <v>4</v>
      </c>
      <c r="H43">
        <v>2036.78</v>
      </c>
      <c r="I43">
        <v>8147.12</v>
      </c>
      <c r="J43" t="s">
        <v>13</v>
      </c>
    </row>
    <row r="44" spans="1:10" x14ac:dyDescent="0.3">
      <c r="A44">
        <v>2042</v>
      </c>
      <c r="B44" t="s">
        <v>38</v>
      </c>
      <c r="C44" t="s">
        <v>18</v>
      </c>
      <c r="D44" s="1">
        <v>45181</v>
      </c>
      <c r="E44" s="1">
        <v>45192</v>
      </c>
      <c r="F44" t="s">
        <v>32</v>
      </c>
      <c r="G44">
        <v>1</v>
      </c>
      <c r="H44">
        <v>3438.96</v>
      </c>
      <c r="I44">
        <v>3438.96</v>
      </c>
      <c r="J44" t="s">
        <v>20</v>
      </c>
    </row>
    <row r="45" spans="1:10" x14ac:dyDescent="0.3">
      <c r="A45">
        <v>2043</v>
      </c>
      <c r="B45" t="s">
        <v>14</v>
      </c>
      <c r="C45" t="s">
        <v>11</v>
      </c>
      <c r="D45" s="1">
        <v>44837</v>
      </c>
      <c r="E45" s="1">
        <v>44843</v>
      </c>
      <c r="F45" t="s">
        <v>26</v>
      </c>
      <c r="G45">
        <v>2</v>
      </c>
      <c r="H45">
        <v>3789.36</v>
      </c>
      <c r="I45">
        <v>7578.72</v>
      </c>
      <c r="J45" t="s">
        <v>13</v>
      </c>
    </row>
    <row r="46" spans="1:10" x14ac:dyDescent="0.3">
      <c r="A46">
        <v>2044</v>
      </c>
      <c r="B46" t="s">
        <v>33</v>
      </c>
      <c r="C46" t="s">
        <v>31</v>
      </c>
      <c r="D46" s="1">
        <v>44993</v>
      </c>
      <c r="E46" s="1">
        <v>45006</v>
      </c>
      <c r="F46" t="s">
        <v>12</v>
      </c>
      <c r="G46">
        <v>4</v>
      </c>
      <c r="H46">
        <v>3531.24</v>
      </c>
      <c r="I46">
        <v>14124.96</v>
      </c>
      <c r="J46" t="s">
        <v>20</v>
      </c>
    </row>
    <row r="47" spans="1:10" x14ac:dyDescent="0.3">
      <c r="A47">
        <v>2045</v>
      </c>
      <c r="B47" t="s">
        <v>35</v>
      </c>
      <c r="C47" t="s">
        <v>25</v>
      </c>
      <c r="D47" s="1">
        <v>45076</v>
      </c>
      <c r="E47" s="1">
        <v>45091</v>
      </c>
      <c r="F47" t="s">
        <v>26</v>
      </c>
      <c r="G47">
        <v>2</v>
      </c>
      <c r="H47">
        <v>3281.14</v>
      </c>
      <c r="I47">
        <v>6562.28</v>
      </c>
      <c r="J47" t="s">
        <v>20</v>
      </c>
    </row>
    <row r="48" spans="1:10" x14ac:dyDescent="0.3">
      <c r="A48">
        <v>2046</v>
      </c>
      <c r="B48" t="s">
        <v>40</v>
      </c>
      <c r="C48" t="s">
        <v>11</v>
      </c>
      <c r="D48" s="1">
        <v>45245</v>
      </c>
      <c r="E48" s="1">
        <v>45259</v>
      </c>
      <c r="F48" t="s">
        <v>19</v>
      </c>
      <c r="G48">
        <v>5</v>
      </c>
      <c r="H48">
        <v>1059.44</v>
      </c>
      <c r="I48">
        <v>5297.2</v>
      </c>
      <c r="J48" t="s">
        <v>20</v>
      </c>
    </row>
    <row r="49" spans="1:10" x14ac:dyDescent="0.3">
      <c r="A49">
        <v>2047</v>
      </c>
      <c r="B49" t="s">
        <v>30</v>
      </c>
      <c r="C49" t="s">
        <v>15</v>
      </c>
      <c r="D49" s="1">
        <v>45437</v>
      </c>
      <c r="E49" s="1">
        <v>45447</v>
      </c>
      <c r="F49" t="s">
        <v>26</v>
      </c>
      <c r="G49">
        <v>2</v>
      </c>
      <c r="H49">
        <v>653.65</v>
      </c>
      <c r="I49">
        <v>1307.3</v>
      </c>
      <c r="J49" t="s">
        <v>13</v>
      </c>
    </row>
    <row r="50" spans="1:10" x14ac:dyDescent="0.3">
      <c r="A50">
        <v>2048</v>
      </c>
      <c r="B50" t="s">
        <v>30</v>
      </c>
      <c r="C50" t="s">
        <v>11</v>
      </c>
      <c r="D50" s="1">
        <v>45318</v>
      </c>
      <c r="E50" s="1">
        <v>45329</v>
      </c>
      <c r="F50" t="s">
        <v>36</v>
      </c>
      <c r="G50">
        <v>3</v>
      </c>
      <c r="H50">
        <v>2320</v>
      </c>
      <c r="I50">
        <v>6960</v>
      </c>
      <c r="J50" t="s">
        <v>13</v>
      </c>
    </row>
    <row r="51" spans="1:10" x14ac:dyDescent="0.3">
      <c r="A51">
        <v>2049</v>
      </c>
      <c r="B51" t="s">
        <v>43</v>
      </c>
      <c r="C51" t="s">
        <v>31</v>
      </c>
      <c r="D51" s="1">
        <v>44643</v>
      </c>
      <c r="E51" s="1">
        <v>44650</v>
      </c>
      <c r="F51" t="s">
        <v>19</v>
      </c>
      <c r="G51">
        <v>4</v>
      </c>
      <c r="H51">
        <v>3434.59</v>
      </c>
      <c r="I51">
        <v>13738.36</v>
      </c>
      <c r="J51" t="s">
        <v>20</v>
      </c>
    </row>
    <row r="52" spans="1:10" x14ac:dyDescent="0.3">
      <c r="A52">
        <v>2050</v>
      </c>
      <c r="B52" t="s">
        <v>44</v>
      </c>
      <c r="C52" t="s">
        <v>18</v>
      </c>
      <c r="D52" s="1">
        <v>45394</v>
      </c>
      <c r="E52" s="1">
        <v>45405</v>
      </c>
      <c r="F52" t="s">
        <v>28</v>
      </c>
      <c r="G52">
        <v>3</v>
      </c>
      <c r="H52">
        <v>4651.09</v>
      </c>
      <c r="I52">
        <v>13953.27</v>
      </c>
      <c r="J52" t="s">
        <v>13</v>
      </c>
    </row>
    <row r="53" spans="1:10" x14ac:dyDescent="0.3">
      <c r="A53">
        <v>2051</v>
      </c>
      <c r="B53" t="s">
        <v>45</v>
      </c>
      <c r="C53" t="s">
        <v>22</v>
      </c>
      <c r="D53" s="1">
        <v>45406</v>
      </c>
      <c r="E53" s="1">
        <v>45408</v>
      </c>
      <c r="F53" t="s">
        <v>19</v>
      </c>
      <c r="G53">
        <v>6</v>
      </c>
      <c r="H53">
        <v>3977.22</v>
      </c>
      <c r="I53">
        <v>23863.32</v>
      </c>
      <c r="J53" t="s">
        <v>20</v>
      </c>
    </row>
    <row r="54" spans="1:10" x14ac:dyDescent="0.3">
      <c r="A54">
        <v>2052</v>
      </c>
      <c r="B54" t="s">
        <v>14</v>
      </c>
      <c r="C54" t="s">
        <v>15</v>
      </c>
      <c r="D54" s="1">
        <v>45070</v>
      </c>
      <c r="E54" s="1">
        <v>45076</v>
      </c>
      <c r="F54" t="s">
        <v>19</v>
      </c>
      <c r="G54">
        <v>2</v>
      </c>
      <c r="H54">
        <v>2097.9499999999998</v>
      </c>
      <c r="I54">
        <v>4195.8999999999996</v>
      </c>
      <c r="J54" t="s">
        <v>13</v>
      </c>
    </row>
    <row r="55" spans="1:10" x14ac:dyDescent="0.3">
      <c r="A55">
        <v>2053</v>
      </c>
      <c r="B55" t="s">
        <v>41</v>
      </c>
      <c r="C55" t="s">
        <v>22</v>
      </c>
      <c r="D55" s="1">
        <v>44970</v>
      </c>
      <c r="E55" s="1">
        <v>44985</v>
      </c>
      <c r="F55" t="s">
        <v>16</v>
      </c>
      <c r="G55">
        <v>6</v>
      </c>
      <c r="H55">
        <v>1734.4</v>
      </c>
      <c r="I55">
        <v>10406.4</v>
      </c>
      <c r="J55" t="s">
        <v>13</v>
      </c>
    </row>
    <row r="56" spans="1:10" x14ac:dyDescent="0.3">
      <c r="A56">
        <v>2054</v>
      </c>
      <c r="B56" t="s">
        <v>17</v>
      </c>
      <c r="C56" t="s">
        <v>11</v>
      </c>
      <c r="D56" s="1">
        <v>44957</v>
      </c>
      <c r="E56" s="1">
        <v>44965</v>
      </c>
      <c r="F56" t="s">
        <v>12</v>
      </c>
      <c r="G56">
        <v>5</v>
      </c>
      <c r="H56">
        <v>4362.46</v>
      </c>
      <c r="I56">
        <v>21812.3</v>
      </c>
      <c r="J56" t="s">
        <v>20</v>
      </c>
    </row>
    <row r="57" spans="1:10" x14ac:dyDescent="0.3">
      <c r="A57">
        <v>2055</v>
      </c>
      <c r="B57" t="s">
        <v>46</v>
      </c>
      <c r="C57" t="s">
        <v>15</v>
      </c>
      <c r="D57" s="1">
        <v>45605</v>
      </c>
      <c r="E57" s="1">
        <v>45613</v>
      </c>
      <c r="F57" t="s">
        <v>28</v>
      </c>
      <c r="G57">
        <v>6</v>
      </c>
      <c r="H57">
        <v>4714.41</v>
      </c>
      <c r="I57">
        <v>28286.46</v>
      </c>
      <c r="J57" t="s">
        <v>13</v>
      </c>
    </row>
    <row r="58" spans="1:10" x14ac:dyDescent="0.3">
      <c r="A58">
        <v>2056</v>
      </c>
      <c r="B58" t="s">
        <v>33</v>
      </c>
      <c r="C58" t="s">
        <v>22</v>
      </c>
      <c r="D58" s="1">
        <v>45105</v>
      </c>
      <c r="E58" s="1">
        <v>45107</v>
      </c>
      <c r="F58" t="s">
        <v>26</v>
      </c>
      <c r="G58">
        <v>7</v>
      </c>
      <c r="H58">
        <v>1924.73</v>
      </c>
      <c r="I58">
        <v>13473.11</v>
      </c>
      <c r="J58" t="s">
        <v>20</v>
      </c>
    </row>
    <row r="59" spans="1:10" x14ac:dyDescent="0.3">
      <c r="A59">
        <v>2057</v>
      </c>
      <c r="B59" t="s">
        <v>39</v>
      </c>
      <c r="C59" t="s">
        <v>18</v>
      </c>
      <c r="D59" s="1">
        <v>45609</v>
      </c>
      <c r="E59" s="1">
        <v>45612</v>
      </c>
      <c r="F59" t="s">
        <v>16</v>
      </c>
      <c r="G59">
        <v>4</v>
      </c>
      <c r="H59">
        <v>1497.2</v>
      </c>
      <c r="I59">
        <v>5988.8</v>
      </c>
      <c r="J59" t="s">
        <v>20</v>
      </c>
    </row>
    <row r="60" spans="1:10" x14ac:dyDescent="0.3">
      <c r="A60">
        <v>2058</v>
      </c>
      <c r="B60" t="s">
        <v>21</v>
      </c>
      <c r="C60" t="s">
        <v>18</v>
      </c>
      <c r="D60" s="1">
        <v>44965</v>
      </c>
      <c r="E60" s="1">
        <v>44972</v>
      </c>
      <c r="F60" t="s">
        <v>16</v>
      </c>
      <c r="G60">
        <v>2</v>
      </c>
      <c r="H60">
        <v>4759.71</v>
      </c>
      <c r="I60">
        <v>9519.42</v>
      </c>
      <c r="J60" t="s">
        <v>20</v>
      </c>
    </row>
    <row r="61" spans="1:10" x14ac:dyDescent="0.3">
      <c r="A61">
        <v>2059</v>
      </c>
      <c r="B61" t="s">
        <v>42</v>
      </c>
      <c r="C61" t="s">
        <v>31</v>
      </c>
      <c r="D61" s="1">
        <v>44817</v>
      </c>
      <c r="E61" s="1">
        <v>44830</v>
      </c>
      <c r="F61" t="s">
        <v>12</v>
      </c>
      <c r="G61">
        <v>5</v>
      </c>
      <c r="H61">
        <v>3434.4</v>
      </c>
      <c r="I61">
        <v>17172</v>
      </c>
      <c r="J61" t="s">
        <v>20</v>
      </c>
    </row>
    <row r="62" spans="1:10" x14ac:dyDescent="0.3">
      <c r="A62">
        <v>2060</v>
      </c>
      <c r="B62" t="s">
        <v>34</v>
      </c>
      <c r="C62" t="s">
        <v>15</v>
      </c>
      <c r="D62" s="1">
        <v>45167</v>
      </c>
      <c r="E62" s="1">
        <v>45177</v>
      </c>
      <c r="F62" t="s">
        <v>19</v>
      </c>
      <c r="G62">
        <v>4</v>
      </c>
      <c r="H62">
        <v>2276.1</v>
      </c>
      <c r="I62">
        <v>9104.4</v>
      </c>
      <c r="J62" t="s">
        <v>20</v>
      </c>
    </row>
    <row r="63" spans="1:10" x14ac:dyDescent="0.3">
      <c r="A63">
        <v>2061</v>
      </c>
      <c r="B63" t="s">
        <v>14</v>
      </c>
      <c r="C63" t="s">
        <v>15</v>
      </c>
      <c r="D63" s="1">
        <v>44918</v>
      </c>
      <c r="E63" s="1">
        <v>44929</v>
      </c>
      <c r="F63" t="s">
        <v>36</v>
      </c>
      <c r="G63">
        <v>5</v>
      </c>
      <c r="H63">
        <v>2208.5500000000002</v>
      </c>
      <c r="I63">
        <v>11042.75</v>
      </c>
      <c r="J63" t="s">
        <v>13</v>
      </c>
    </row>
    <row r="64" spans="1:10" x14ac:dyDescent="0.3">
      <c r="A64">
        <v>2062</v>
      </c>
      <c r="B64" t="s">
        <v>43</v>
      </c>
      <c r="C64" t="s">
        <v>31</v>
      </c>
      <c r="D64" s="1">
        <v>44992</v>
      </c>
      <c r="E64" s="1">
        <v>45000</v>
      </c>
      <c r="F64" t="s">
        <v>32</v>
      </c>
      <c r="G64">
        <v>6</v>
      </c>
      <c r="H64">
        <v>2485.44</v>
      </c>
      <c r="I64">
        <v>14912.64</v>
      </c>
      <c r="J64" t="s">
        <v>20</v>
      </c>
    </row>
    <row r="65" spans="1:10" x14ac:dyDescent="0.3">
      <c r="A65">
        <v>2063</v>
      </c>
      <c r="B65" t="s">
        <v>14</v>
      </c>
      <c r="C65" t="s">
        <v>22</v>
      </c>
      <c r="D65" s="1">
        <v>45608</v>
      </c>
      <c r="E65" s="1">
        <v>45617</v>
      </c>
      <c r="F65" t="s">
        <v>32</v>
      </c>
      <c r="G65">
        <v>3</v>
      </c>
      <c r="H65">
        <v>3396.6</v>
      </c>
      <c r="I65">
        <v>10189.799999999999</v>
      </c>
      <c r="J65" t="s">
        <v>20</v>
      </c>
    </row>
    <row r="66" spans="1:10" x14ac:dyDescent="0.3">
      <c r="A66">
        <v>2064</v>
      </c>
      <c r="B66" t="s">
        <v>35</v>
      </c>
      <c r="C66" t="s">
        <v>15</v>
      </c>
      <c r="D66" s="1">
        <v>45248</v>
      </c>
      <c r="E66" s="1">
        <v>45251</v>
      </c>
      <c r="F66" t="s">
        <v>32</v>
      </c>
      <c r="G66">
        <v>4</v>
      </c>
      <c r="H66">
        <v>3462.14</v>
      </c>
      <c r="I66">
        <v>13848.56</v>
      </c>
      <c r="J66" t="s">
        <v>13</v>
      </c>
    </row>
    <row r="67" spans="1:10" x14ac:dyDescent="0.3">
      <c r="A67">
        <v>2065</v>
      </c>
      <c r="B67" t="s">
        <v>29</v>
      </c>
      <c r="C67" t="s">
        <v>22</v>
      </c>
      <c r="D67" s="1">
        <v>44612</v>
      </c>
      <c r="E67" s="1">
        <v>44614</v>
      </c>
      <c r="F67" t="s">
        <v>19</v>
      </c>
      <c r="G67">
        <v>8</v>
      </c>
      <c r="H67">
        <v>3172.99</v>
      </c>
      <c r="I67">
        <v>25383.919999999998</v>
      </c>
      <c r="J67" t="s">
        <v>13</v>
      </c>
    </row>
    <row r="68" spans="1:10" x14ac:dyDescent="0.3">
      <c r="A68">
        <v>2066</v>
      </c>
      <c r="B68" t="s">
        <v>38</v>
      </c>
      <c r="C68" t="s">
        <v>25</v>
      </c>
      <c r="D68" s="1">
        <v>44960</v>
      </c>
      <c r="E68" s="1">
        <v>44973</v>
      </c>
      <c r="F68" t="s">
        <v>28</v>
      </c>
      <c r="G68">
        <v>7</v>
      </c>
      <c r="H68">
        <v>2623.57</v>
      </c>
      <c r="I68">
        <v>18364.990000000002</v>
      </c>
      <c r="J68" t="s">
        <v>13</v>
      </c>
    </row>
    <row r="69" spans="1:10" x14ac:dyDescent="0.3">
      <c r="A69">
        <v>2067</v>
      </c>
      <c r="B69" t="s">
        <v>37</v>
      </c>
      <c r="C69" t="s">
        <v>15</v>
      </c>
      <c r="D69" s="1">
        <v>44573</v>
      </c>
      <c r="E69" s="1">
        <v>44587</v>
      </c>
      <c r="F69" t="s">
        <v>32</v>
      </c>
      <c r="G69">
        <v>2</v>
      </c>
      <c r="H69">
        <v>3958.58</v>
      </c>
      <c r="I69">
        <v>7917.16</v>
      </c>
      <c r="J69" t="s">
        <v>13</v>
      </c>
    </row>
    <row r="70" spans="1:10" x14ac:dyDescent="0.3">
      <c r="A70">
        <v>2068</v>
      </c>
      <c r="B70" t="s">
        <v>45</v>
      </c>
      <c r="C70" t="s">
        <v>15</v>
      </c>
      <c r="D70" s="1">
        <v>45622</v>
      </c>
      <c r="E70" s="1">
        <v>45631</v>
      </c>
      <c r="F70" t="s">
        <v>26</v>
      </c>
      <c r="G70">
        <v>4</v>
      </c>
      <c r="H70">
        <v>4612.1099999999997</v>
      </c>
      <c r="I70">
        <v>18448.439999999999</v>
      </c>
      <c r="J70" t="s">
        <v>13</v>
      </c>
    </row>
    <row r="71" spans="1:10" x14ac:dyDescent="0.3">
      <c r="A71">
        <v>2069</v>
      </c>
      <c r="B71" t="s">
        <v>38</v>
      </c>
      <c r="C71" t="s">
        <v>22</v>
      </c>
      <c r="D71" s="1">
        <v>45513</v>
      </c>
      <c r="E71" s="1">
        <v>45525</v>
      </c>
      <c r="F71" t="s">
        <v>36</v>
      </c>
      <c r="G71">
        <v>6</v>
      </c>
      <c r="H71">
        <v>4765.1899999999996</v>
      </c>
      <c r="I71">
        <v>28591.14</v>
      </c>
      <c r="J71" t="s">
        <v>20</v>
      </c>
    </row>
    <row r="72" spans="1:10" x14ac:dyDescent="0.3">
      <c r="A72">
        <v>2070</v>
      </c>
      <c r="B72" t="s">
        <v>42</v>
      </c>
      <c r="C72" t="s">
        <v>15</v>
      </c>
      <c r="D72" s="1">
        <v>45595</v>
      </c>
      <c r="E72" s="1">
        <v>45603</v>
      </c>
      <c r="F72" t="s">
        <v>32</v>
      </c>
      <c r="G72">
        <v>8</v>
      </c>
      <c r="H72">
        <v>4516.88</v>
      </c>
      <c r="I72">
        <v>36135.040000000001</v>
      </c>
      <c r="J72" t="s">
        <v>20</v>
      </c>
    </row>
    <row r="73" spans="1:10" x14ac:dyDescent="0.3">
      <c r="A73">
        <v>2071</v>
      </c>
      <c r="B73" t="s">
        <v>38</v>
      </c>
      <c r="C73" t="s">
        <v>31</v>
      </c>
      <c r="D73" s="1">
        <v>45068</v>
      </c>
      <c r="E73" s="1">
        <v>45083</v>
      </c>
      <c r="F73" t="s">
        <v>28</v>
      </c>
      <c r="G73">
        <v>5</v>
      </c>
      <c r="H73">
        <v>3899.32</v>
      </c>
      <c r="I73">
        <v>19496.599999999999</v>
      </c>
      <c r="J73" t="s">
        <v>20</v>
      </c>
    </row>
    <row r="74" spans="1:10" x14ac:dyDescent="0.3">
      <c r="A74">
        <v>2072</v>
      </c>
      <c r="B74" t="s">
        <v>10</v>
      </c>
      <c r="C74" t="s">
        <v>22</v>
      </c>
      <c r="D74" s="1">
        <v>45124</v>
      </c>
      <c r="E74" s="1">
        <v>45133</v>
      </c>
      <c r="F74" t="s">
        <v>26</v>
      </c>
      <c r="G74">
        <v>5</v>
      </c>
      <c r="H74">
        <v>1402.12</v>
      </c>
      <c r="I74">
        <v>7010.6</v>
      </c>
      <c r="J74" t="s">
        <v>20</v>
      </c>
    </row>
    <row r="75" spans="1:10" x14ac:dyDescent="0.3">
      <c r="A75">
        <v>2073</v>
      </c>
      <c r="B75" t="s">
        <v>47</v>
      </c>
      <c r="C75" t="s">
        <v>18</v>
      </c>
      <c r="D75" s="1">
        <v>44727</v>
      </c>
      <c r="E75" s="1">
        <v>44731</v>
      </c>
      <c r="F75" t="s">
        <v>19</v>
      </c>
      <c r="G75">
        <v>4</v>
      </c>
      <c r="H75">
        <v>2100.27</v>
      </c>
      <c r="I75">
        <v>8401.08</v>
      </c>
      <c r="J75" t="s">
        <v>13</v>
      </c>
    </row>
    <row r="76" spans="1:10" x14ac:dyDescent="0.3">
      <c r="A76">
        <v>2074</v>
      </c>
      <c r="B76" t="s">
        <v>48</v>
      </c>
      <c r="C76" t="s">
        <v>22</v>
      </c>
      <c r="D76" s="1">
        <v>44693</v>
      </c>
      <c r="E76" s="1">
        <v>44701</v>
      </c>
      <c r="F76" t="s">
        <v>16</v>
      </c>
      <c r="G76">
        <v>6</v>
      </c>
      <c r="H76">
        <v>2850.27</v>
      </c>
      <c r="I76">
        <v>17101.62</v>
      </c>
      <c r="J76" t="s">
        <v>20</v>
      </c>
    </row>
    <row r="77" spans="1:10" x14ac:dyDescent="0.3">
      <c r="A77">
        <v>2075</v>
      </c>
      <c r="B77" t="s">
        <v>40</v>
      </c>
      <c r="C77" t="s">
        <v>22</v>
      </c>
      <c r="D77" s="1">
        <v>45422</v>
      </c>
      <c r="E77" s="1">
        <v>45430</v>
      </c>
      <c r="F77" t="s">
        <v>32</v>
      </c>
      <c r="G77">
        <v>1</v>
      </c>
      <c r="H77">
        <v>4326.6400000000003</v>
      </c>
      <c r="I77">
        <v>4326.6400000000003</v>
      </c>
      <c r="J77" t="s">
        <v>20</v>
      </c>
    </row>
    <row r="78" spans="1:10" x14ac:dyDescent="0.3">
      <c r="A78">
        <v>2076</v>
      </c>
      <c r="B78" t="s">
        <v>41</v>
      </c>
      <c r="C78" t="s">
        <v>11</v>
      </c>
      <c r="D78" s="1">
        <v>45282</v>
      </c>
      <c r="E78" s="1">
        <v>45288</v>
      </c>
      <c r="F78" t="s">
        <v>32</v>
      </c>
      <c r="G78">
        <v>7</v>
      </c>
      <c r="H78">
        <v>4311.21</v>
      </c>
      <c r="I78">
        <v>30178.47</v>
      </c>
      <c r="J78" t="s">
        <v>20</v>
      </c>
    </row>
    <row r="79" spans="1:10" x14ac:dyDescent="0.3">
      <c r="A79">
        <v>2077</v>
      </c>
      <c r="B79" t="s">
        <v>30</v>
      </c>
      <c r="C79" t="s">
        <v>15</v>
      </c>
      <c r="D79" s="1">
        <v>45013</v>
      </c>
      <c r="E79" s="1">
        <v>45022</v>
      </c>
      <c r="F79" t="s">
        <v>19</v>
      </c>
      <c r="G79">
        <v>5</v>
      </c>
      <c r="H79">
        <v>2348.4299999999998</v>
      </c>
      <c r="I79">
        <v>11742.15</v>
      </c>
      <c r="J79" t="s">
        <v>13</v>
      </c>
    </row>
    <row r="80" spans="1:10" x14ac:dyDescent="0.3">
      <c r="A80">
        <v>2078</v>
      </c>
      <c r="B80" t="s">
        <v>34</v>
      </c>
      <c r="C80" t="s">
        <v>31</v>
      </c>
      <c r="D80" s="1">
        <v>45390</v>
      </c>
      <c r="E80" s="1">
        <v>45403</v>
      </c>
      <c r="F80" t="s">
        <v>19</v>
      </c>
      <c r="G80">
        <v>8</v>
      </c>
      <c r="H80">
        <v>4621.8500000000004</v>
      </c>
      <c r="I80">
        <v>36974.800000000003</v>
      </c>
      <c r="J80" t="s">
        <v>13</v>
      </c>
    </row>
    <row r="81" spans="1:10" x14ac:dyDescent="0.3">
      <c r="A81">
        <v>2079</v>
      </c>
      <c r="B81" t="s">
        <v>34</v>
      </c>
      <c r="C81" t="s">
        <v>18</v>
      </c>
      <c r="D81" s="1">
        <v>44617</v>
      </c>
      <c r="E81" s="1">
        <v>44620</v>
      </c>
      <c r="F81" t="s">
        <v>28</v>
      </c>
      <c r="G81">
        <v>7</v>
      </c>
      <c r="H81">
        <v>937.79</v>
      </c>
      <c r="I81">
        <v>6564.53</v>
      </c>
      <c r="J81" t="s">
        <v>20</v>
      </c>
    </row>
    <row r="82" spans="1:10" x14ac:dyDescent="0.3">
      <c r="A82">
        <v>2080</v>
      </c>
      <c r="B82" t="s">
        <v>45</v>
      </c>
      <c r="C82" t="s">
        <v>11</v>
      </c>
      <c r="D82" s="1">
        <v>45094</v>
      </c>
      <c r="E82" s="1">
        <v>45102</v>
      </c>
      <c r="F82" t="s">
        <v>12</v>
      </c>
      <c r="G82">
        <v>4</v>
      </c>
      <c r="H82">
        <v>2437.09</v>
      </c>
      <c r="I82">
        <v>9748.36</v>
      </c>
      <c r="J82" t="s">
        <v>20</v>
      </c>
    </row>
    <row r="83" spans="1:10" x14ac:dyDescent="0.3">
      <c r="A83">
        <v>2081</v>
      </c>
      <c r="B83" t="s">
        <v>44</v>
      </c>
      <c r="C83" t="s">
        <v>25</v>
      </c>
      <c r="D83" s="1">
        <v>45131</v>
      </c>
      <c r="E83" s="1">
        <v>45145</v>
      </c>
      <c r="F83" t="s">
        <v>32</v>
      </c>
      <c r="G83">
        <v>7</v>
      </c>
      <c r="H83">
        <v>1485.68</v>
      </c>
      <c r="I83">
        <v>10399.76</v>
      </c>
      <c r="J83" t="s">
        <v>13</v>
      </c>
    </row>
    <row r="84" spans="1:10" x14ac:dyDescent="0.3">
      <c r="A84">
        <v>2082</v>
      </c>
      <c r="B84" t="s">
        <v>41</v>
      </c>
      <c r="C84" t="s">
        <v>11</v>
      </c>
      <c r="D84" s="1">
        <v>44668</v>
      </c>
      <c r="E84" s="1">
        <v>44675</v>
      </c>
      <c r="F84" t="s">
        <v>19</v>
      </c>
      <c r="G84">
        <v>2</v>
      </c>
      <c r="H84">
        <v>3971.8</v>
      </c>
      <c r="I84">
        <v>7943.6</v>
      </c>
      <c r="J84" t="s">
        <v>13</v>
      </c>
    </row>
    <row r="85" spans="1:10" x14ac:dyDescent="0.3">
      <c r="A85">
        <v>2083</v>
      </c>
      <c r="B85" t="s">
        <v>44</v>
      </c>
      <c r="C85" t="s">
        <v>11</v>
      </c>
      <c r="D85" s="1">
        <v>45068</v>
      </c>
      <c r="E85" s="1">
        <v>45073</v>
      </c>
      <c r="F85" t="s">
        <v>32</v>
      </c>
      <c r="G85">
        <v>1</v>
      </c>
      <c r="H85">
        <v>3220.28</v>
      </c>
      <c r="I85">
        <v>3220.28</v>
      </c>
      <c r="J85" t="s">
        <v>13</v>
      </c>
    </row>
    <row r="86" spans="1:10" x14ac:dyDescent="0.3">
      <c r="A86">
        <v>2084</v>
      </c>
      <c r="B86" t="s">
        <v>37</v>
      </c>
      <c r="C86" t="s">
        <v>25</v>
      </c>
      <c r="D86" s="1">
        <v>44796</v>
      </c>
      <c r="E86" s="1">
        <v>44807</v>
      </c>
      <c r="F86" t="s">
        <v>19</v>
      </c>
      <c r="G86">
        <v>8</v>
      </c>
      <c r="H86">
        <v>3587.49</v>
      </c>
      <c r="I86">
        <v>28699.919999999998</v>
      </c>
      <c r="J86" t="s">
        <v>20</v>
      </c>
    </row>
    <row r="87" spans="1:10" x14ac:dyDescent="0.3">
      <c r="A87">
        <v>2085</v>
      </c>
      <c r="B87" t="s">
        <v>45</v>
      </c>
      <c r="C87" t="s">
        <v>18</v>
      </c>
      <c r="D87" s="1">
        <v>44796</v>
      </c>
      <c r="E87" s="1">
        <v>44810</v>
      </c>
      <c r="F87" t="s">
        <v>32</v>
      </c>
      <c r="G87">
        <v>3</v>
      </c>
      <c r="H87">
        <v>4834.1899999999996</v>
      </c>
      <c r="I87">
        <v>14502.57</v>
      </c>
      <c r="J87" t="s">
        <v>13</v>
      </c>
    </row>
    <row r="88" spans="1:10" x14ac:dyDescent="0.3">
      <c r="A88">
        <v>2086</v>
      </c>
      <c r="B88" t="s">
        <v>27</v>
      </c>
      <c r="C88" t="s">
        <v>11</v>
      </c>
      <c r="D88" s="1">
        <v>45200</v>
      </c>
      <c r="E88" s="1">
        <v>45211</v>
      </c>
      <c r="F88" t="s">
        <v>28</v>
      </c>
      <c r="G88">
        <v>7</v>
      </c>
      <c r="H88">
        <v>2164.2800000000002</v>
      </c>
      <c r="I88">
        <v>15149.96</v>
      </c>
      <c r="J88" t="s">
        <v>13</v>
      </c>
    </row>
    <row r="89" spans="1:10" x14ac:dyDescent="0.3">
      <c r="A89">
        <v>2087</v>
      </c>
      <c r="B89" t="s">
        <v>49</v>
      </c>
      <c r="C89" t="s">
        <v>18</v>
      </c>
      <c r="D89" s="1">
        <v>45059</v>
      </c>
      <c r="E89" s="1">
        <v>45062</v>
      </c>
      <c r="F89" t="s">
        <v>28</v>
      </c>
      <c r="G89">
        <v>5</v>
      </c>
      <c r="H89">
        <v>4296.38</v>
      </c>
      <c r="I89">
        <v>21481.9</v>
      </c>
      <c r="J89" t="s">
        <v>13</v>
      </c>
    </row>
    <row r="90" spans="1:10" x14ac:dyDescent="0.3">
      <c r="A90">
        <v>2088</v>
      </c>
      <c r="B90" t="s">
        <v>27</v>
      </c>
      <c r="C90" t="s">
        <v>11</v>
      </c>
      <c r="D90" s="1">
        <v>45273</v>
      </c>
      <c r="E90" s="1">
        <v>45283</v>
      </c>
      <c r="F90" t="s">
        <v>16</v>
      </c>
      <c r="G90">
        <v>6</v>
      </c>
      <c r="H90">
        <v>624.1</v>
      </c>
      <c r="I90">
        <v>3744.6</v>
      </c>
      <c r="J90" t="s">
        <v>20</v>
      </c>
    </row>
    <row r="91" spans="1:10" x14ac:dyDescent="0.3">
      <c r="A91">
        <v>2089</v>
      </c>
      <c r="B91" t="s">
        <v>21</v>
      </c>
      <c r="C91" t="s">
        <v>25</v>
      </c>
      <c r="D91" s="1">
        <v>45565</v>
      </c>
      <c r="E91" s="1">
        <v>45568</v>
      </c>
      <c r="F91" t="s">
        <v>16</v>
      </c>
      <c r="G91">
        <v>6</v>
      </c>
      <c r="H91">
        <v>3287.25</v>
      </c>
      <c r="I91">
        <v>19723.5</v>
      </c>
      <c r="J91" t="s">
        <v>20</v>
      </c>
    </row>
    <row r="92" spans="1:10" x14ac:dyDescent="0.3">
      <c r="A92">
        <v>2090</v>
      </c>
      <c r="B92" t="s">
        <v>48</v>
      </c>
      <c r="C92" t="s">
        <v>22</v>
      </c>
      <c r="D92" s="1">
        <v>45453</v>
      </c>
      <c r="E92" s="1">
        <v>45457</v>
      </c>
      <c r="F92" t="s">
        <v>28</v>
      </c>
      <c r="G92">
        <v>5</v>
      </c>
      <c r="H92">
        <v>3194.79</v>
      </c>
      <c r="I92">
        <v>15973.95</v>
      </c>
      <c r="J92" t="s">
        <v>20</v>
      </c>
    </row>
    <row r="93" spans="1:10" x14ac:dyDescent="0.3">
      <c r="A93">
        <v>2091</v>
      </c>
      <c r="B93" t="s">
        <v>38</v>
      </c>
      <c r="C93" t="s">
        <v>25</v>
      </c>
      <c r="D93" s="1">
        <v>45111</v>
      </c>
      <c r="E93" s="1">
        <v>45118</v>
      </c>
      <c r="F93" t="s">
        <v>32</v>
      </c>
      <c r="G93">
        <v>4</v>
      </c>
      <c r="H93">
        <v>4204.4399999999996</v>
      </c>
      <c r="I93">
        <v>16817.759999999998</v>
      </c>
      <c r="J93" t="s">
        <v>13</v>
      </c>
    </row>
    <row r="94" spans="1:10" x14ac:dyDescent="0.3">
      <c r="A94">
        <v>2092</v>
      </c>
      <c r="B94" t="s">
        <v>33</v>
      </c>
      <c r="C94" t="s">
        <v>25</v>
      </c>
      <c r="D94" s="1">
        <v>45061</v>
      </c>
      <c r="E94" s="1">
        <v>45075</v>
      </c>
      <c r="F94" t="s">
        <v>16</v>
      </c>
      <c r="G94">
        <v>7</v>
      </c>
      <c r="H94">
        <v>1881.06</v>
      </c>
      <c r="I94">
        <v>13167.42</v>
      </c>
      <c r="J94" t="s">
        <v>20</v>
      </c>
    </row>
    <row r="95" spans="1:10" x14ac:dyDescent="0.3">
      <c r="A95">
        <v>2093</v>
      </c>
      <c r="B95" t="s">
        <v>47</v>
      </c>
      <c r="C95" t="s">
        <v>22</v>
      </c>
      <c r="D95" s="1">
        <v>45560</v>
      </c>
      <c r="E95" s="1">
        <v>45565</v>
      </c>
      <c r="F95" t="s">
        <v>12</v>
      </c>
      <c r="G95">
        <v>5</v>
      </c>
      <c r="H95">
        <v>1899.59</v>
      </c>
      <c r="I95">
        <v>9497.9500000000007</v>
      </c>
      <c r="J95" t="s">
        <v>20</v>
      </c>
    </row>
    <row r="96" spans="1:10" x14ac:dyDescent="0.3">
      <c r="A96">
        <v>2094</v>
      </c>
      <c r="B96" t="s">
        <v>30</v>
      </c>
      <c r="C96" t="s">
        <v>11</v>
      </c>
      <c r="D96" s="1">
        <v>45620</v>
      </c>
      <c r="E96" s="1">
        <v>45625</v>
      </c>
      <c r="F96" t="s">
        <v>26</v>
      </c>
      <c r="G96">
        <v>4</v>
      </c>
      <c r="H96">
        <v>3684.35</v>
      </c>
      <c r="I96">
        <v>14737.4</v>
      </c>
      <c r="J96" t="s">
        <v>20</v>
      </c>
    </row>
    <row r="97" spans="1:10" x14ac:dyDescent="0.3">
      <c r="A97">
        <v>2095</v>
      </c>
      <c r="B97" t="s">
        <v>30</v>
      </c>
      <c r="C97" t="s">
        <v>22</v>
      </c>
      <c r="D97" s="1">
        <v>45537</v>
      </c>
      <c r="E97" s="1">
        <v>45549</v>
      </c>
      <c r="F97" t="s">
        <v>28</v>
      </c>
      <c r="G97">
        <v>8</v>
      </c>
      <c r="H97">
        <v>2406.42</v>
      </c>
      <c r="I97">
        <v>19251.36</v>
      </c>
      <c r="J97" t="s">
        <v>13</v>
      </c>
    </row>
    <row r="98" spans="1:10" x14ac:dyDescent="0.3">
      <c r="A98">
        <v>2096</v>
      </c>
      <c r="B98" t="s">
        <v>49</v>
      </c>
      <c r="C98" t="s">
        <v>31</v>
      </c>
      <c r="D98" s="1">
        <v>45015</v>
      </c>
      <c r="E98" s="1">
        <v>45023</v>
      </c>
      <c r="F98" t="s">
        <v>28</v>
      </c>
      <c r="G98">
        <v>4</v>
      </c>
      <c r="H98">
        <v>1739.17</v>
      </c>
      <c r="I98">
        <v>6956.68</v>
      </c>
      <c r="J98" t="s">
        <v>20</v>
      </c>
    </row>
    <row r="99" spans="1:10" x14ac:dyDescent="0.3">
      <c r="A99">
        <v>2097</v>
      </c>
      <c r="B99" t="s">
        <v>41</v>
      </c>
      <c r="C99" t="s">
        <v>18</v>
      </c>
      <c r="D99" s="1">
        <v>45649</v>
      </c>
      <c r="E99" s="1">
        <v>45656</v>
      </c>
      <c r="F99" t="s">
        <v>16</v>
      </c>
      <c r="G99">
        <v>6</v>
      </c>
      <c r="H99">
        <v>1953.51</v>
      </c>
      <c r="I99">
        <v>11721.06</v>
      </c>
      <c r="J99" t="s">
        <v>20</v>
      </c>
    </row>
    <row r="100" spans="1:10" x14ac:dyDescent="0.3">
      <c r="A100">
        <v>2098</v>
      </c>
      <c r="B100" t="s">
        <v>33</v>
      </c>
      <c r="C100" t="s">
        <v>31</v>
      </c>
      <c r="D100" s="1">
        <v>45076</v>
      </c>
      <c r="E100" s="1">
        <v>45081</v>
      </c>
      <c r="F100" t="s">
        <v>26</v>
      </c>
      <c r="G100">
        <v>4</v>
      </c>
      <c r="H100">
        <v>1783.08</v>
      </c>
      <c r="I100">
        <v>7132.32</v>
      </c>
      <c r="J100" t="s">
        <v>13</v>
      </c>
    </row>
    <row r="101" spans="1:10" x14ac:dyDescent="0.3">
      <c r="A101">
        <v>2099</v>
      </c>
      <c r="B101" t="s">
        <v>29</v>
      </c>
      <c r="C101" t="s">
        <v>22</v>
      </c>
      <c r="D101" s="1">
        <v>45553</v>
      </c>
      <c r="E101" s="1">
        <v>45559</v>
      </c>
      <c r="F101" t="s">
        <v>28</v>
      </c>
      <c r="G101">
        <v>5</v>
      </c>
      <c r="H101">
        <v>4908.3999999999996</v>
      </c>
      <c r="I101">
        <v>24542</v>
      </c>
      <c r="J101" t="s">
        <v>13</v>
      </c>
    </row>
    <row r="102" spans="1:10" x14ac:dyDescent="0.3">
      <c r="A102">
        <v>2100</v>
      </c>
      <c r="B102" t="s">
        <v>43</v>
      </c>
      <c r="C102" t="s">
        <v>22</v>
      </c>
      <c r="D102" s="1">
        <v>45301</v>
      </c>
      <c r="E102" s="1">
        <v>45305</v>
      </c>
      <c r="F102" t="s">
        <v>12</v>
      </c>
      <c r="G102">
        <v>1</v>
      </c>
      <c r="H102">
        <v>3627.69</v>
      </c>
      <c r="I102">
        <v>3627.69</v>
      </c>
      <c r="J102" t="s">
        <v>13</v>
      </c>
    </row>
    <row r="103" spans="1:10" x14ac:dyDescent="0.3">
      <c r="A103">
        <v>2101</v>
      </c>
      <c r="B103" t="s">
        <v>33</v>
      </c>
      <c r="C103" t="s">
        <v>11</v>
      </c>
      <c r="D103" s="1">
        <v>44673</v>
      </c>
      <c r="E103" s="1">
        <v>44683</v>
      </c>
      <c r="F103" t="s">
        <v>12</v>
      </c>
      <c r="G103">
        <v>3</v>
      </c>
      <c r="H103">
        <v>3297.99</v>
      </c>
      <c r="I103">
        <v>9893.9699999999993</v>
      </c>
      <c r="J103" t="s">
        <v>20</v>
      </c>
    </row>
    <row r="104" spans="1:10" x14ac:dyDescent="0.3">
      <c r="A104">
        <v>2102</v>
      </c>
      <c r="B104" t="s">
        <v>23</v>
      </c>
      <c r="C104" t="s">
        <v>11</v>
      </c>
      <c r="D104" s="1">
        <v>45144</v>
      </c>
      <c r="E104" s="1">
        <v>45153</v>
      </c>
      <c r="F104" t="s">
        <v>16</v>
      </c>
      <c r="G104">
        <v>8</v>
      </c>
      <c r="H104">
        <v>1901.32</v>
      </c>
      <c r="I104">
        <v>15210.56</v>
      </c>
      <c r="J104" t="s">
        <v>13</v>
      </c>
    </row>
    <row r="105" spans="1:10" x14ac:dyDescent="0.3">
      <c r="A105">
        <v>2103</v>
      </c>
      <c r="B105" t="s">
        <v>33</v>
      </c>
      <c r="C105" t="s">
        <v>25</v>
      </c>
      <c r="D105" s="1">
        <v>44795</v>
      </c>
      <c r="E105" s="1">
        <v>44810</v>
      </c>
      <c r="F105" t="s">
        <v>26</v>
      </c>
      <c r="G105">
        <v>7</v>
      </c>
      <c r="H105">
        <v>2611.21</v>
      </c>
      <c r="I105">
        <v>18278.47</v>
      </c>
      <c r="J105" t="s">
        <v>13</v>
      </c>
    </row>
    <row r="106" spans="1:10" x14ac:dyDescent="0.3">
      <c r="A106">
        <v>2104</v>
      </c>
      <c r="B106" t="s">
        <v>37</v>
      </c>
      <c r="C106" t="s">
        <v>22</v>
      </c>
      <c r="D106" s="1">
        <v>45184</v>
      </c>
      <c r="E106" s="1">
        <v>45187</v>
      </c>
      <c r="F106" t="s">
        <v>19</v>
      </c>
      <c r="G106">
        <v>2</v>
      </c>
      <c r="H106">
        <v>2922.94</v>
      </c>
      <c r="I106">
        <v>5845.88</v>
      </c>
      <c r="J106" t="s">
        <v>20</v>
      </c>
    </row>
    <row r="107" spans="1:10" x14ac:dyDescent="0.3">
      <c r="A107">
        <v>2105</v>
      </c>
      <c r="B107" t="s">
        <v>42</v>
      </c>
      <c r="C107" t="s">
        <v>18</v>
      </c>
      <c r="D107" s="1">
        <v>45024</v>
      </c>
      <c r="E107" s="1">
        <v>45038</v>
      </c>
      <c r="F107" t="s">
        <v>36</v>
      </c>
      <c r="G107">
        <v>7</v>
      </c>
      <c r="H107">
        <v>2417.42</v>
      </c>
      <c r="I107">
        <v>16921.939999999999</v>
      </c>
      <c r="J107" t="s">
        <v>20</v>
      </c>
    </row>
    <row r="108" spans="1:10" x14ac:dyDescent="0.3">
      <c r="A108">
        <v>2106</v>
      </c>
      <c r="B108" t="s">
        <v>43</v>
      </c>
      <c r="C108" t="s">
        <v>18</v>
      </c>
      <c r="D108" s="1">
        <v>45440</v>
      </c>
      <c r="E108" s="1">
        <v>45446</v>
      </c>
      <c r="F108" t="s">
        <v>36</v>
      </c>
      <c r="G108">
        <v>1</v>
      </c>
      <c r="H108">
        <v>3165.27</v>
      </c>
      <c r="I108">
        <v>3165.27</v>
      </c>
      <c r="J108" t="s">
        <v>13</v>
      </c>
    </row>
    <row r="109" spans="1:10" x14ac:dyDescent="0.3">
      <c r="A109">
        <v>2107</v>
      </c>
      <c r="B109" t="s">
        <v>44</v>
      </c>
      <c r="C109" t="s">
        <v>22</v>
      </c>
      <c r="D109" s="1">
        <v>44994</v>
      </c>
      <c r="E109" s="1">
        <v>45000</v>
      </c>
      <c r="F109" t="s">
        <v>28</v>
      </c>
      <c r="G109">
        <v>2</v>
      </c>
      <c r="H109">
        <v>1038.17</v>
      </c>
      <c r="I109">
        <v>2076.34</v>
      </c>
      <c r="J109" t="s">
        <v>13</v>
      </c>
    </row>
    <row r="110" spans="1:10" x14ac:dyDescent="0.3">
      <c r="A110">
        <v>2108</v>
      </c>
      <c r="B110" t="s">
        <v>30</v>
      </c>
      <c r="C110" t="s">
        <v>11</v>
      </c>
      <c r="D110" s="1">
        <v>44882</v>
      </c>
      <c r="E110" s="1">
        <v>44884</v>
      </c>
      <c r="F110" t="s">
        <v>16</v>
      </c>
      <c r="G110">
        <v>8</v>
      </c>
      <c r="H110">
        <v>3540.04</v>
      </c>
      <c r="I110">
        <v>28320.32</v>
      </c>
      <c r="J110" t="s">
        <v>20</v>
      </c>
    </row>
    <row r="111" spans="1:10" x14ac:dyDescent="0.3">
      <c r="A111">
        <v>2109</v>
      </c>
      <c r="B111" t="s">
        <v>43</v>
      </c>
      <c r="C111" t="s">
        <v>11</v>
      </c>
      <c r="D111" s="1">
        <v>45036</v>
      </c>
      <c r="E111" s="1">
        <v>45042</v>
      </c>
      <c r="F111" t="s">
        <v>28</v>
      </c>
      <c r="G111">
        <v>5</v>
      </c>
      <c r="H111">
        <v>3604.04</v>
      </c>
      <c r="I111">
        <v>18020.2</v>
      </c>
      <c r="J111" t="s">
        <v>20</v>
      </c>
    </row>
    <row r="112" spans="1:10" x14ac:dyDescent="0.3">
      <c r="A112">
        <v>2110</v>
      </c>
      <c r="B112" t="s">
        <v>49</v>
      </c>
      <c r="C112" t="s">
        <v>15</v>
      </c>
      <c r="D112" s="1">
        <v>45040</v>
      </c>
      <c r="E112" s="1">
        <v>45046</v>
      </c>
      <c r="F112" t="s">
        <v>32</v>
      </c>
      <c r="G112">
        <v>4</v>
      </c>
      <c r="H112">
        <v>2298.15</v>
      </c>
      <c r="I112">
        <v>9192.6</v>
      </c>
      <c r="J112" t="s">
        <v>13</v>
      </c>
    </row>
    <row r="113" spans="1:10" x14ac:dyDescent="0.3">
      <c r="A113">
        <v>2111</v>
      </c>
      <c r="B113" t="s">
        <v>10</v>
      </c>
      <c r="C113" t="s">
        <v>22</v>
      </c>
      <c r="D113" s="1">
        <v>45106</v>
      </c>
      <c r="E113" s="1">
        <v>45121</v>
      </c>
      <c r="F113" t="s">
        <v>19</v>
      </c>
      <c r="G113">
        <v>2</v>
      </c>
      <c r="H113">
        <v>580.29999999999995</v>
      </c>
      <c r="I113">
        <v>1160.5999999999999</v>
      </c>
      <c r="J113" t="s">
        <v>20</v>
      </c>
    </row>
    <row r="114" spans="1:10" x14ac:dyDescent="0.3">
      <c r="A114">
        <v>2112</v>
      </c>
      <c r="B114" t="s">
        <v>42</v>
      </c>
      <c r="C114" t="s">
        <v>15</v>
      </c>
      <c r="D114" s="1">
        <v>45153</v>
      </c>
      <c r="E114" s="1">
        <v>45162</v>
      </c>
      <c r="F114" t="s">
        <v>26</v>
      </c>
      <c r="G114">
        <v>8</v>
      </c>
      <c r="H114">
        <v>3536.79</v>
      </c>
      <c r="I114">
        <v>28294.32</v>
      </c>
      <c r="J114" t="s">
        <v>20</v>
      </c>
    </row>
    <row r="115" spans="1:10" x14ac:dyDescent="0.3">
      <c r="A115">
        <v>2113</v>
      </c>
      <c r="B115" t="s">
        <v>33</v>
      </c>
      <c r="C115" t="s">
        <v>18</v>
      </c>
      <c r="D115" s="1">
        <v>45573</v>
      </c>
      <c r="E115" s="1">
        <v>45582</v>
      </c>
      <c r="F115" t="s">
        <v>26</v>
      </c>
      <c r="G115">
        <v>1</v>
      </c>
      <c r="H115">
        <v>4480.29</v>
      </c>
      <c r="I115">
        <v>4480.29</v>
      </c>
      <c r="J115" t="s">
        <v>20</v>
      </c>
    </row>
    <row r="116" spans="1:10" x14ac:dyDescent="0.3">
      <c r="A116">
        <v>2114</v>
      </c>
      <c r="B116" t="s">
        <v>42</v>
      </c>
      <c r="C116" t="s">
        <v>31</v>
      </c>
      <c r="D116" s="1">
        <v>44614</v>
      </c>
      <c r="E116" s="1">
        <v>44617</v>
      </c>
      <c r="F116" t="s">
        <v>19</v>
      </c>
      <c r="G116">
        <v>1</v>
      </c>
      <c r="H116">
        <v>4997.99</v>
      </c>
      <c r="I116">
        <v>4997.99</v>
      </c>
      <c r="J116" t="s">
        <v>20</v>
      </c>
    </row>
    <row r="117" spans="1:10" x14ac:dyDescent="0.3">
      <c r="A117">
        <v>2115</v>
      </c>
      <c r="B117" t="s">
        <v>27</v>
      </c>
      <c r="C117" t="s">
        <v>11</v>
      </c>
      <c r="D117" s="1">
        <v>44920</v>
      </c>
      <c r="E117" s="1">
        <v>44929</v>
      </c>
      <c r="F117" t="s">
        <v>36</v>
      </c>
      <c r="G117">
        <v>8</v>
      </c>
      <c r="H117">
        <v>4605.54</v>
      </c>
      <c r="I117">
        <v>36844.32</v>
      </c>
      <c r="J117" t="s">
        <v>13</v>
      </c>
    </row>
    <row r="118" spans="1:10" x14ac:dyDescent="0.3">
      <c r="A118">
        <v>2116</v>
      </c>
      <c r="B118" t="s">
        <v>27</v>
      </c>
      <c r="C118" t="s">
        <v>25</v>
      </c>
      <c r="D118" s="1">
        <v>45569</v>
      </c>
      <c r="E118" s="1">
        <v>45572</v>
      </c>
      <c r="F118" t="s">
        <v>16</v>
      </c>
      <c r="G118">
        <v>6</v>
      </c>
      <c r="H118">
        <v>2219.2399999999998</v>
      </c>
      <c r="I118">
        <v>13315.44</v>
      </c>
      <c r="J118" t="s">
        <v>20</v>
      </c>
    </row>
    <row r="119" spans="1:10" x14ac:dyDescent="0.3">
      <c r="A119">
        <v>2117</v>
      </c>
      <c r="B119" t="s">
        <v>14</v>
      </c>
      <c r="C119" t="s">
        <v>11</v>
      </c>
      <c r="D119" s="1">
        <v>44891</v>
      </c>
      <c r="E119" s="1">
        <v>44898</v>
      </c>
      <c r="F119" t="s">
        <v>16</v>
      </c>
      <c r="G119">
        <v>8</v>
      </c>
      <c r="H119">
        <v>1654.62</v>
      </c>
      <c r="I119">
        <v>13236.96</v>
      </c>
      <c r="J119" t="s">
        <v>20</v>
      </c>
    </row>
    <row r="120" spans="1:10" x14ac:dyDescent="0.3">
      <c r="A120">
        <v>2118</v>
      </c>
      <c r="B120" t="s">
        <v>44</v>
      </c>
      <c r="C120" t="s">
        <v>18</v>
      </c>
      <c r="D120" s="1">
        <v>44637</v>
      </c>
      <c r="E120" s="1">
        <v>44646</v>
      </c>
      <c r="F120" t="s">
        <v>26</v>
      </c>
      <c r="G120">
        <v>6</v>
      </c>
      <c r="H120">
        <v>1486.27</v>
      </c>
      <c r="I120">
        <v>8917.6200000000008</v>
      </c>
      <c r="J120" t="s">
        <v>13</v>
      </c>
    </row>
    <row r="121" spans="1:10" x14ac:dyDescent="0.3">
      <c r="A121">
        <v>2119</v>
      </c>
      <c r="B121" t="s">
        <v>44</v>
      </c>
      <c r="C121" t="s">
        <v>25</v>
      </c>
      <c r="D121" s="1">
        <v>45615</v>
      </c>
      <c r="E121" s="1">
        <v>45630</v>
      </c>
      <c r="F121" t="s">
        <v>26</v>
      </c>
      <c r="G121">
        <v>8</v>
      </c>
      <c r="H121">
        <v>2242.2600000000002</v>
      </c>
      <c r="I121">
        <v>17938.080000000002</v>
      </c>
      <c r="J121" t="s">
        <v>13</v>
      </c>
    </row>
    <row r="122" spans="1:10" x14ac:dyDescent="0.3">
      <c r="A122">
        <v>2120</v>
      </c>
      <c r="B122" t="s">
        <v>35</v>
      </c>
      <c r="C122" t="s">
        <v>31</v>
      </c>
      <c r="D122" s="1">
        <v>45582</v>
      </c>
      <c r="E122" s="1">
        <v>45594</v>
      </c>
      <c r="F122" t="s">
        <v>16</v>
      </c>
      <c r="G122">
        <v>1</v>
      </c>
      <c r="H122">
        <v>1256.72</v>
      </c>
      <c r="I122">
        <v>1256.72</v>
      </c>
      <c r="J122" t="s">
        <v>13</v>
      </c>
    </row>
    <row r="123" spans="1:10" x14ac:dyDescent="0.3">
      <c r="A123">
        <v>2121</v>
      </c>
      <c r="B123" t="s">
        <v>43</v>
      </c>
      <c r="C123" t="s">
        <v>25</v>
      </c>
      <c r="D123" s="1">
        <v>45554</v>
      </c>
      <c r="E123" s="1">
        <v>45557</v>
      </c>
      <c r="F123" t="s">
        <v>26</v>
      </c>
      <c r="G123">
        <v>4</v>
      </c>
      <c r="H123">
        <v>3635.98</v>
      </c>
      <c r="I123">
        <v>14543.92</v>
      </c>
      <c r="J123" t="s">
        <v>20</v>
      </c>
    </row>
    <row r="124" spans="1:10" x14ac:dyDescent="0.3">
      <c r="A124">
        <v>2122</v>
      </c>
      <c r="B124" t="s">
        <v>30</v>
      </c>
      <c r="C124" t="s">
        <v>11</v>
      </c>
      <c r="D124" s="1">
        <v>45397</v>
      </c>
      <c r="E124" s="1">
        <v>45400</v>
      </c>
      <c r="F124" t="s">
        <v>19</v>
      </c>
      <c r="G124">
        <v>2</v>
      </c>
      <c r="H124">
        <v>2468.81</v>
      </c>
      <c r="I124">
        <v>4937.62</v>
      </c>
      <c r="J124" t="s">
        <v>13</v>
      </c>
    </row>
    <row r="125" spans="1:10" x14ac:dyDescent="0.3">
      <c r="A125">
        <v>2123</v>
      </c>
      <c r="B125" t="s">
        <v>10</v>
      </c>
      <c r="C125" t="s">
        <v>22</v>
      </c>
      <c r="D125" s="1">
        <v>45582</v>
      </c>
      <c r="E125" s="1">
        <v>45595</v>
      </c>
      <c r="F125" t="s">
        <v>12</v>
      </c>
      <c r="G125">
        <v>5</v>
      </c>
      <c r="H125">
        <v>2252.8000000000002</v>
      </c>
      <c r="I125">
        <v>11264</v>
      </c>
      <c r="J125" t="s">
        <v>20</v>
      </c>
    </row>
    <row r="126" spans="1:10" x14ac:dyDescent="0.3">
      <c r="A126">
        <v>2124</v>
      </c>
      <c r="B126" t="s">
        <v>41</v>
      </c>
      <c r="C126" t="s">
        <v>22</v>
      </c>
      <c r="D126" s="1">
        <v>45497</v>
      </c>
      <c r="E126" s="1">
        <v>45507</v>
      </c>
      <c r="F126" t="s">
        <v>19</v>
      </c>
      <c r="G126">
        <v>7</v>
      </c>
      <c r="H126">
        <v>1195.8699999999999</v>
      </c>
      <c r="I126">
        <v>8371.09</v>
      </c>
      <c r="J126" t="s">
        <v>13</v>
      </c>
    </row>
    <row r="127" spans="1:10" x14ac:dyDescent="0.3">
      <c r="A127">
        <v>2125</v>
      </c>
      <c r="B127" t="s">
        <v>49</v>
      </c>
      <c r="C127" t="s">
        <v>31</v>
      </c>
      <c r="D127" s="1">
        <v>45411</v>
      </c>
      <c r="E127" s="1">
        <v>45418</v>
      </c>
      <c r="F127" t="s">
        <v>32</v>
      </c>
      <c r="G127">
        <v>5</v>
      </c>
      <c r="H127">
        <v>4156.58</v>
      </c>
      <c r="I127">
        <v>20782.900000000001</v>
      </c>
      <c r="J127" t="s">
        <v>20</v>
      </c>
    </row>
    <row r="128" spans="1:10" x14ac:dyDescent="0.3">
      <c r="A128">
        <v>2126</v>
      </c>
      <c r="B128" t="s">
        <v>24</v>
      </c>
      <c r="C128" t="s">
        <v>31</v>
      </c>
      <c r="D128" s="1">
        <v>45564</v>
      </c>
      <c r="E128" s="1">
        <v>45579</v>
      </c>
      <c r="F128" t="s">
        <v>19</v>
      </c>
      <c r="G128">
        <v>8</v>
      </c>
      <c r="H128">
        <v>2831.33</v>
      </c>
      <c r="I128">
        <v>22650.639999999999</v>
      </c>
      <c r="J128" t="s">
        <v>20</v>
      </c>
    </row>
    <row r="129" spans="1:10" x14ac:dyDescent="0.3">
      <c r="A129">
        <v>2127</v>
      </c>
      <c r="B129" t="s">
        <v>47</v>
      </c>
      <c r="C129" t="s">
        <v>18</v>
      </c>
      <c r="D129" s="1">
        <v>45334</v>
      </c>
      <c r="E129" s="1">
        <v>45343</v>
      </c>
      <c r="F129" t="s">
        <v>12</v>
      </c>
      <c r="G129">
        <v>4</v>
      </c>
      <c r="H129">
        <v>4909.6400000000003</v>
      </c>
      <c r="I129">
        <v>19638.560000000001</v>
      </c>
      <c r="J129" t="s">
        <v>13</v>
      </c>
    </row>
    <row r="130" spans="1:10" x14ac:dyDescent="0.3">
      <c r="A130">
        <v>2128</v>
      </c>
      <c r="B130" t="s">
        <v>27</v>
      </c>
      <c r="C130" t="s">
        <v>25</v>
      </c>
      <c r="D130" s="1">
        <v>45040</v>
      </c>
      <c r="E130" s="1">
        <v>45055</v>
      </c>
      <c r="F130" t="s">
        <v>32</v>
      </c>
      <c r="G130">
        <v>7</v>
      </c>
      <c r="H130">
        <v>505.14</v>
      </c>
      <c r="I130">
        <v>3535.98</v>
      </c>
      <c r="J130" t="s">
        <v>20</v>
      </c>
    </row>
    <row r="131" spans="1:10" x14ac:dyDescent="0.3">
      <c r="A131">
        <v>2129</v>
      </c>
      <c r="B131" t="s">
        <v>48</v>
      </c>
      <c r="C131" t="s">
        <v>25</v>
      </c>
      <c r="D131" s="1">
        <v>45352</v>
      </c>
      <c r="E131" s="1">
        <v>45364</v>
      </c>
      <c r="F131" t="s">
        <v>32</v>
      </c>
      <c r="G131">
        <v>3</v>
      </c>
      <c r="H131">
        <v>2628.04</v>
      </c>
      <c r="I131">
        <v>7884.12</v>
      </c>
      <c r="J131" t="s">
        <v>13</v>
      </c>
    </row>
    <row r="132" spans="1:10" x14ac:dyDescent="0.3">
      <c r="A132">
        <v>2130</v>
      </c>
      <c r="B132" t="s">
        <v>37</v>
      </c>
      <c r="C132" t="s">
        <v>18</v>
      </c>
      <c r="D132" s="1">
        <v>45241</v>
      </c>
      <c r="E132" s="1">
        <v>45256</v>
      </c>
      <c r="F132" t="s">
        <v>26</v>
      </c>
      <c r="G132">
        <v>8</v>
      </c>
      <c r="H132">
        <v>768.64</v>
      </c>
      <c r="I132">
        <v>6149.12</v>
      </c>
      <c r="J132" t="s">
        <v>20</v>
      </c>
    </row>
    <row r="133" spans="1:10" x14ac:dyDescent="0.3">
      <c r="A133">
        <v>2131</v>
      </c>
      <c r="B133" t="s">
        <v>21</v>
      </c>
      <c r="C133" t="s">
        <v>15</v>
      </c>
      <c r="D133" s="1">
        <v>44857</v>
      </c>
      <c r="E133" s="1">
        <v>44865</v>
      </c>
      <c r="F133" t="s">
        <v>32</v>
      </c>
      <c r="G133">
        <v>3</v>
      </c>
      <c r="H133">
        <v>651.69000000000005</v>
      </c>
      <c r="I133">
        <v>1955.07</v>
      </c>
      <c r="J133" t="s">
        <v>20</v>
      </c>
    </row>
    <row r="134" spans="1:10" x14ac:dyDescent="0.3">
      <c r="A134">
        <v>2132</v>
      </c>
      <c r="B134" t="s">
        <v>47</v>
      </c>
      <c r="C134" t="s">
        <v>18</v>
      </c>
      <c r="D134" s="1">
        <v>45376</v>
      </c>
      <c r="E134" s="1">
        <v>45388</v>
      </c>
      <c r="F134" t="s">
        <v>26</v>
      </c>
      <c r="G134">
        <v>6</v>
      </c>
      <c r="H134">
        <v>4306</v>
      </c>
      <c r="I134">
        <v>25836</v>
      </c>
      <c r="J134" t="s">
        <v>20</v>
      </c>
    </row>
    <row r="135" spans="1:10" x14ac:dyDescent="0.3">
      <c r="A135">
        <v>2133</v>
      </c>
      <c r="B135" t="s">
        <v>47</v>
      </c>
      <c r="C135" t="s">
        <v>15</v>
      </c>
      <c r="D135" s="1">
        <v>45561</v>
      </c>
      <c r="E135" s="1">
        <v>45576</v>
      </c>
      <c r="F135" t="s">
        <v>36</v>
      </c>
      <c r="G135">
        <v>1</v>
      </c>
      <c r="H135">
        <v>3202.06</v>
      </c>
      <c r="I135">
        <v>3202.06</v>
      </c>
      <c r="J135" t="s">
        <v>13</v>
      </c>
    </row>
    <row r="136" spans="1:10" x14ac:dyDescent="0.3">
      <c r="A136">
        <v>2134</v>
      </c>
      <c r="B136" t="s">
        <v>10</v>
      </c>
      <c r="C136" t="s">
        <v>15</v>
      </c>
      <c r="D136" s="1">
        <v>45150</v>
      </c>
      <c r="E136" s="1">
        <v>45155</v>
      </c>
      <c r="F136" t="s">
        <v>28</v>
      </c>
      <c r="G136">
        <v>2</v>
      </c>
      <c r="H136">
        <v>2339.67</v>
      </c>
      <c r="I136">
        <v>4679.34</v>
      </c>
      <c r="J136" t="s">
        <v>13</v>
      </c>
    </row>
    <row r="137" spans="1:10" x14ac:dyDescent="0.3">
      <c r="A137">
        <v>2135</v>
      </c>
      <c r="B137" t="s">
        <v>44</v>
      </c>
      <c r="C137" t="s">
        <v>15</v>
      </c>
      <c r="D137" s="1">
        <v>44767</v>
      </c>
      <c r="E137" s="1">
        <v>44776</v>
      </c>
      <c r="F137" t="s">
        <v>19</v>
      </c>
      <c r="G137">
        <v>5</v>
      </c>
      <c r="H137">
        <v>4546.09</v>
      </c>
      <c r="I137">
        <v>22730.45</v>
      </c>
      <c r="J137" t="s">
        <v>13</v>
      </c>
    </row>
    <row r="138" spans="1:10" x14ac:dyDescent="0.3">
      <c r="A138">
        <v>2136</v>
      </c>
      <c r="B138" t="s">
        <v>47</v>
      </c>
      <c r="C138" t="s">
        <v>11</v>
      </c>
      <c r="D138" s="1">
        <v>45162</v>
      </c>
      <c r="E138" s="1">
        <v>45169</v>
      </c>
      <c r="F138" t="s">
        <v>12</v>
      </c>
      <c r="G138">
        <v>7</v>
      </c>
      <c r="H138">
        <v>984.18</v>
      </c>
      <c r="I138">
        <v>6889.26</v>
      </c>
      <c r="J138" t="s">
        <v>20</v>
      </c>
    </row>
    <row r="139" spans="1:10" x14ac:dyDescent="0.3">
      <c r="A139">
        <v>2137</v>
      </c>
      <c r="B139" t="s">
        <v>27</v>
      </c>
      <c r="C139" t="s">
        <v>15</v>
      </c>
      <c r="D139" s="1">
        <v>44930</v>
      </c>
      <c r="E139" s="1">
        <v>44934</v>
      </c>
      <c r="F139" t="s">
        <v>19</v>
      </c>
      <c r="G139">
        <v>2</v>
      </c>
      <c r="H139">
        <v>3164.61</v>
      </c>
      <c r="I139">
        <v>6329.22</v>
      </c>
      <c r="J139" t="s">
        <v>20</v>
      </c>
    </row>
    <row r="140" spans="1:10" x14ac:dyDescent="0.3">
      <c r="A140">
        <v>2138</v>
      </c>
      <c r="B140" t="s">
        <v>42</v>
      </c>
      <c r="C140" t="s">
        <v>15</v>
      </c>
      <c r="D140" s="1">
        <v>45055</v>
      </c>
      <c r="E140" s="1">
        <v>45064</v>
      </c>
      <c r="F140" t="s">
        <v>36</v>
      </c>
      <c r="G140">
        <v>3</v>
      </c>
      <c r="H140">
        <v>1391.29</v>
      </c>
      <c r="I140">
        <v>4173.87</v>
      </c>
      <c r="J140" t="s">
        <v>20</v>
      </c>
    </row>
    <row r="141" spans="1:10" x14ac:dyDescent="0.3">
      <c r="A141">
        <v>2139</v>
      </c>
      <c r="B141" t="s">
        <v>38</v>
      </c>
      <c r="C141" t="s">
        <v>31</v>
      </c>
      <c r="D141" s="1">
        <v>44581</v>
      </c>
      <c r="E141" s="1">
        <v>44595</v>
      </c>
      <c r="F141" t="s">
        <v>16</v>
      </c>
      <c r="G141">
        <v>5</v>
      </c>
      <c r="H141">
        <v>3484.77</v>
      </c>
      <c r="I141">
        <v>17423.849999999999</v>
      </c>
      <c r="J141" t="s">
        <v>13</v>
      </c>
    </row>
    <row r="142" spans="1:10" x14ac:dyDescent="0.3">
      <c r="A142">
        <v>2140</v>
      </c>
      <c r="B142" t="s">
        <v>49</v>
      </c>
      <c r="C142" t="s">
        <v>25</v>
      </c>
      <c r="D142" s="1">
        <v>45269</v>
      </c>
      <c r="E142" s="1">
        <v>45280</v>
      </c>
      <c r="F142" t="s">
        <v>12</v>
      </c>
      <c r="G142">
        <v>7</v>
      </c>
      <c r="H142">
        <v>3544.47</v>
      </c>
      <c r="I142">
        <v>24811.29</v>
      </c>
      <c r="J142" t="s">
        <v>20</v>
      </c>
    </row>
    <row r="143" spans="1:10" x14ac:dyDescent="0.3">
      <c r="A143">
        <v>2141</v>
      </c>
      <c r="B143" t="s">
        <v>43</v>
      </c>
      <c r="C143" t="s">
        <v>22</v>
      </c>
      <c r="D143" s="1">
        <v>45349</v>
      </c>
      <c r="E143" s="1">
        <v>45364</v>
      </c>
      <c r="F143" t="s">
        <v>16</v>
      </c>
      <c r="G143">
        <v>2</v>
      </c>
      <c r="H143">
        <v>1414.87</v>
      </c>
      <c r="I143">
        <v>2829.74</v>
      </c>
      <c r="J143" t="s">
        <v>20</v>
      </c>
    </row>
    <row r="144" spans="1:10" x14ac:dyDescent="0.3">
      <c r="A144">
        <v>2142</v>
      </c>
      <c r="B144" t="s">
        <v>27</v>
      </c>
      <c r="C144" t="s">
        <v>31</v>
      </c>
      <c r="D144" s="1">
        <v>45166</v>
      </c>
      <c r="E144" s="1">
        <v>45168</v>
      </c>
      <c r="F144" t="s">
        <v>32</v>
      </c>
      <c r="G144">
        <v>7</v>
      </c>
      <c r="H144">
        <v>1590.06</v>
      </c>
      <c r="I144">
        <v>11130.42</v>
      </c>
      <c r="J144" t="s">
        <v>13</v>
      </c>
    </row>
    <row r="145" spans="1:10" x14ac:dyDescent="0.3">
      <c r="A145">
        <v>2143</v>
      </c>
      <c r="B145" t="s">
        <v>42</v>
      </c>
      <c r="C145" t="s">
        <v>15</v>
      </c>
      <c r="D145" s="1">
        <v>45579</v>
      </c>
      <c r="E145" s="1">
        <v>45594</v>
      </c>
      <c r="F145" t="s">
        <v>12</v>
      </c>
      <c r="G145">
        <v>4</v>
      </c>
      <c r="H145">
        <v>3153.21</v>
      </c>
      <c r="I145">
        <v>12612.84</v>
      </c>
      <c r="J145" t="s">
        <v>20</v>
      </c>
    </row>
    <row r="146" spans="1:10" x14ac:dyDescent="0.3">
      <c r="A146">
        <v>2144</v>
      </c>
      <c r="B146" t="s">
        <v>17</v>
      </c>
      <c r="C146" t="s">
        <v>15</v>
      </c>
      <c r="D146" s="1">
        <v>44951</v>
      </c>
      <c r="E146" s="1">
        <v>44962</v>
      </c>
      <c r="F146" t="s">
        <v>12</v>
      </c>
      <c r="G146">
        <v>3</v>
      </c>
      <c r="H146">
        <v>3252.77</v>
      </c>
      <c r="I146">
        <v>9758.31</v>
      </c>
      <c r="J146" t="s">
        <v>13</v>
      </c>
    </row>
    <row r="147" spans="1:10" x14ac:dyDescent="0.3">
      <c r="A147">
        <v>2145</v>
      </c>
      <c r="B147" t="s">
        <v>43</v>
      </c>
      <c r="C147" t="s">
        <v>25</v>
      </c>
      <c r="D147" s="1">
        <v>44630</v>
      </c>
      <c r="E147" s="1">
        <v>44641</v>
      </c>
      <c r="F147" t="s">
        <v>12</v>
      </c>
      <c r="G147">
        <v>3</v>
      </c>
      <c r="H147">
        <v>723.63</v>
      </c>
      <c r="I147">
        <v>2170.89</v>
      </c>
      <c r="J147" t="s">
        <v>20</v>
      </c>
    </row>
    <row r="148" spans="1:10" x14ac:dyDescent="0.3">
      <c r="A148">
        <v>2146</v>
      </c>
      <c r="B148" t="s">
        <v>47</v>
      </c>
      <c r="C148" t="s">
        <v>15</v>
      </c>
      <c r="D148" s="1">
        <v>45412</v>
      </c>
      <c r="E148" s="1">
        <v>45416</v>
      </c>
      <c r="F148" t="s">
        <v>19</v>
      </c>
      <c r="G148">
        <v>3</v>
      </c>
      <c r="H148">
        <v>3996.61</v>
      </c>
      <c r="I148">
        <v>11989.83</v>
      </c>
      <c r="J148" t="s">
        <v>20</v>
      </c>
    </row>
    <row r="149" spans="1:10" x14ac:dyDescent="0.3">
      <c r="A149">
        <v>2147</v>
      </c>
      <c r="B149" t="s">
        <v>35</v>
      </c>
      <c r="C149" t="s">
        <v>18</v>
      </c>
      <c r="D149" s="1">
        <v>45120</v>
      </c>
      <c r="E149" s="1">
        <v>45135</v>
      </c>
      <c r="F149" t="s">
        <v>19</v>
      </c>
      <c r="G149">
        <v>5</v>
      </c>
      <c r="H149">
        <v>4596.03</v>
      </c>
      <c r="I149">
        <v>22980.15</v>
      </c>
      <c r="J149" t="s">
        <v>20</v>
      </c>
    </row>
    <row r="150" spans="1:10" x14ac:dyDescent="0.3">
      <c r="A150">
        <v>2148</v>
      </c>
      <c r="B150" t="s">
        <v>43</v>
      </c>
      <c r="C150" t="s">
        <v>15</v>
      </c>
      <c r="D150" s="1">
        <v>45255</v>
      </c>
      <c r="E150" s="1">
        <v>45269</v>
      </c>
      <c r="F150" t="s">
        <v>26</v>
      </c>
      <c r="G150">
        <v>8</v>
      </c>
      <c r="H150">
        <v>4825.6000000000004</v>
      </c>
      <c r="I150">
        <v>38604.800000000003</v>
      </c>
      <c r="J150" t="s">
        <v>13</v>
      </c>
    </row>
    <row r="151" spans="1:10" x14ac:dyDescent="0.3">
      <c r="A151">
        <v>2149</v>
      </c>
      <c r="B151" t="s">
        <v>44</v>
      </c>
      <c r="C151" t="s">
        <v>22</v>
      </c>
      <c r="D151" s="1">
        <v>45375</v>
      </c>
      <c r="E151" s="1">
        <v>45390</v>
      </c>
      <c r="F151" t="s">
        <v>32</v>
      </c>
      <c r="G151">
        <v>6</v>
      </c>
      <c r="H151">
        <v>724.42</v>
      </c>
      <c r="I151">
        <v>4346.5200000000004</v>
      </c>
      <c r="J151" t="s">
        <v>20</v>
      </c>
    </row>
    <row r="152" spans="1:10" x14ac:dyDescent="0.3">
      <c r="A152">
        <v>2150</v>
      </c>
      <c r="B152" t="s">
        <v>21</v>
      </c>
      <c r="C152" t="s">
        <v>31</v>
      </c>
      <c r="D152" s="1">
        <v>44815</v>
      </c>
      <c r="E152" s="1">
        <v>44824</v>
      </c>
      <c r="F152" t="s">
        <v>12</v>
      </c>
      <c r="G152">
        <v>5</v>
      </c>
      <c r="H152">
        <v>3047.43</v>
      </c>
      <c r="I152">
        <v>15237.15</v>
      </c>
      <c r="J152" t="s">
        <v>20</v>
      </c>
    </row>
    <row r="153" spans="1:10" x14ac:dyDescent="0.3">
      <c r="A153">
        <v>2151</v>
      </c>
      <c r="B153" t="s">
        <v>23</v>
      </c>
      <c r="C153" t="s">
        <v>15</v>
      </c>
      <c r="D153" s="1">
        <v>45040</v>
      </c>
      <c r="E153" s="1">
        <v>45049</v>
      </c>
      <c r="F153" t="s">
        <v>26</v>
      </c>
      <c r="G153">
        <v>6</v>
      </c>
      <c r="H153">
        <v>4601.7</v>
      </c>
      <c r="I153">
        <v>27610.2</v>
      </c>
      <c r="J153" t="s">
        <v>13</v>
      </c>
    </row>
    <row r="154" spans="1:10" x14ac:dyDescent="0.3">
      <c r="A154">
        <v>2152</v>
      </c>
      <c r="B154" t="s">
        <v>10</v>
      </c>
      <c r="C154" t="s">
        <v>11</v>
      </c>
      <c r="D154" s="1">
        <v>45512</v>
      </c>
      <c r="E154" s="1">
        <v>45525</v>
      </c>
      <c r="F154" t="s">
        <v>12</v>
      </c>
      <c r="G154">
        <v>7</v>
      </c>
      <c r="H154">
        <v>848.38</v>
      </c>
      <c r="I154">
        <v>5938.66</v>
      </c>
      <c r="J154" t="s">
        <v>13</v>
      </c>
    </row>
    <row r="155" spans="1:10" x14ac:dyDescent="0.3">
      <c r="A155">
        <v>2153</v>
      </c>
      <c r="B155" t="s">
        <v>40</v>
      </c>
      <c r="C155" t="s">
        <v>31</v>
      </c>
      <c r="D155" s="1">
        <v>45570</v>
      </c>
      <c r="E155" s="1">
        <v>45573</v>
      </c>
      <c r="F155" t="s">
        <v>26</v>
      </c>
      <c r="G155">
        <v>4</v>
      </c>
      <c r="H155">
        <v>4470.12</v>
      </c>
      <c r="I155">
        <v>17880.48</v>
      </c>
      <c r="J155" t="s">
        <v>13</v>
      </c>
    </row>
    <row r="156" spans="1:10" x14ac:dyDescent="0.3">
      <c r="A156">
        <v>2154</v>
      </c>
      <c r="B156" t="s">
        <v>34</v>
      </c>
      <c r="C156" t="s">
        <v>25</v>
      </c>
      <c r="D156" s="1">
        <v>45321</v>
      </c>
      <c r="E156" s="1">
        <v>45333</v>
      </c>
      <c r="F156" t="s">
        <v>28</v>
      </c>
      <c r="G156">
        <v>7</v>
      </c>
      <c r="H156">
        <v>3060.5</v>
      </c>
      <c r="I156">
        <v>21423.5</v>
      </c>
      <c r="J156" t="s">
        <v>13</v>
      </c>
    </row>
    <row r="157" spans="1:10" x14ac:dyDescent="0.3">
      <c r="A157">
        <v>2155</v>
      </c>
      <c r="B157" t="s">
        <v>39</v>
      </c>
      <c r="C157" t="s">
        <v>15</v>
      </c>
      <c r="D157" s="1">
        <v>44764</v>
      </c>
      <c r="E157" s="1">
        <v>44779</v>
      </c>
      <c r="F157" t="s">
        <v>16</v>
      </c>
      <c r="G157">
        <v>7</v>
      </c>
      <c r="H157">
        <v>4713.55</v>
      </c>
      <c r="I157">
        <v>32994.85</v>
      </c>
      <c r="J157" t="s">
        <v>20</v>
      </c>
    </row>
    <row r="158" spans="1:10" x14ac:dyDescent="0.3">
      <c r="A158">
        <v>2156</v>
      </c>
      <c r="B158" t="s">
        <v>40</v>
      </c>
      <c r="C158" t="s">
        <v>15</v>
      </c>
      <c r="D158" s="1">
        <v>45320</v>
      </c>
      <c r="E158" s="1">
        <v>45325</v>
      </c>
      <c r="F158" t="s">
        <v>16</v>
      </c>
      <c r="G158">
        <v>8</v>
      </c>
      <c r="H158">
        <v>4767.6099999999997</v>
      </c>
      <c r="I158">
        <v>38140.879999999997</v>
      </c>
      <c r="J158" t="s">
        <v>20</v>
      </c>
    </row>
    <row r="159" spans="1:10" x14ac:dyDescent="0.3">
      <c r="A159">
        <v>2157</v>
      </c>
      <c r="B159" t="s">
        <v>23</v>
      </c>
      <c r="C159" t="s">
        <v>15</v>
      </c>
      <c r="D159" s="1">
        <v>45314</v>
      </c>
      <c r="E159" s="1">
        <v>45324</v>
      </c>
      <c r="F159" t="s">
        <v>28</v>
      </c>
      <c r="G159">
        <v>6</v>
      </c>
      <c r="H159">
        <v>584.59</v>
      </c>
      <c r="I159">
        <v>3507.54</v>
      </c>
      <c r="J159" t="s">
        <v>20</v>
      </c>
    </row>
    <row r="160" spans="1:10" x14ac:dyDescent="0.3">
      <c r="A160">
        <v>2158</v>
      </c>
      <c r="B160" t="s">
        <v>29</v>
      </c>
      <c r="C160" t="s">
        <v>11</v>
      </c>
      <c r="D160" s="1">
        <v>45493</v>
      </c>
      <c r="E160" s="1">
        <v>45496</v>
      </c>
      <c r="F160" t="s">
        <v>28</v>
      </c>
      <c r="G160">
        <v>4</v>
      </c>
      <c r="H160">
        <v>3316.01</v>
      </c>
      <c r="I160">
        <v>13264.04</v>
      </c>
      <c r="J160" t="s">
        <v>13</v>
      </c>
    </row>
    <row r="161" spans="1:10" x14ac:dyDescent="0.3">
      <c r="A161">
        <v>2159</v>
      </c>
      <c r="B161" t="s">
        <v>40</v>
      </c>
      <c r="C161" t="s">
        <v>31</v>
      </c>
      <c r="D161" s="1">
        <v>45060</v>
      </c>
      <c r="E161" s="1">
        <v>45064</v>
      </c>
      <c r="F161" t="s">
        <v>32</v>
      </c>
      <c r="G161">
        <v>4</v>
      </c>
      <c r="H161">
        <v>622.47</v>
      </c>
      <c r="I161">
        <v>2489.88</v>
      </c>
      <c r="J161" t="s">
        <v>13</v>
      </c>
    </row>
    <row r="162" spans="1:10" x14ac:dyDescent="0.3">
      <c r="A162">
        <v>2160</v>
      </c>
      <c r="B162" t="s">
        <v>27</v>
      </c>
      <c r="C162" t="s">
        <v>22</v>
      </c>
      <c r="D162" s="1">
        <v>45039</v>
      </c>
      <c r="E162" s="1">
        <v>45046</v>
      </c>
      <c r="F162" t="s">
        <v>32</v>
      </c>
      <c r="G162">
        <v>3</v>
      </c>
      <c r="H162">
        <v>4006.63</v>
      </c>
      <c r="I162">
        <v>12019.89</v>
      </c>
      <c r="J162" t="s">
        <v>13</v>
      </c>
    </row>
    <row r="163" spans="1:10" x14ac:dyDescent="0.3">
      <c r="A163">
        <v>2161</v>
      </c>
      <c r="B163" t="s">
        <v>33</v>
      </c>
      <c r="C163" t="s">
        <v>22</v>
      </c>
      <c r="D163" s="1">
        <v>44828</v>
      </c>
      <c r="E163" s="1">
        <v>44838</v>
      </c>
      <c r="F163" t="s">
        <v>12</v>
      </c>
      <c r="G163">
        <v>3</v>
      </c>
      <c r="H163">
        <v>816.65</v>
      </c>
      <c r="I163">
        <v>2449.9499999999998</v>
      </c>
      <c r="J163" t="s">
        <v>13</v>
      </c>
    </row>
    <row r="164" spans="1:10" x14ac:dyDescent="0.3">
      <c r="A164">
        <v>2162</v>
      </c>
      <c r="B164" t="s">
        <v>37</v>
      </c>
      <c r="C164" t="s">
        <v>11</v>
      </c>
      <c r="D164" s="1">
        <v>45295</v>
      </c>
      <c r="E164" s="1">
        <v>45309</v>
      </c>
      <c r="F164" t="s">
        <v>32</v>
      </c>
      <c r="G164">
        <v>4</v>
      </c>
      <c r="H164">
        <v>3067.61</v>
      </c>
      <c r="I164">
        <v>12270.44</v>
      </c>
      <c r="J164" t="s">
        <v>13</v>
      </c>
    </row>
    <row r="165" spans="1:10" x14ac:dyDescent="0.3">
      <c r="A165">
        <v>2163</v>
      </c>
      <c r="B165" t="s">
        <v>45</v>
      </c>
      <c r="C165" t="s">
        <v>31</v>
      </c>
      <c r="D165" s="1">
        <v>44669</v>
      </c>
      <c r="E165" s="1">
        <v>44673</v>
      </c>
      <c r="F165" t="s">
        <v>28</v>
      </c>
      <c r="G165">
        <v>7</v>
      </c>
      <c r="H165">
        <v>2772.6</v>
      </c>
      <c r="I165">
        <v>19408.2</v>
      </c>
      <c r="J165" t="s">
        <v>13</v>
      </c>
    </row>
    <row r="166" spans="1:10" x14ac:dyDescent="0.3">
      <c r="A166">
        <v>2164</v>
      </c>
      <c r="B166" t="s">
        <v>41</v>
      </c>
      <c r="C166" t="s">
        <v>25</v>
      </c>
      <c r="D166" s="1">
        <v>45303</v>
      </c>
      <c r="E166" s="1">
        <v>45313</v>
      </c>
      <c r="F166" t="s">
        <v>36</v>
      </c>
      <c r="G166">
        <v>2</v>
      </c>
      <c r="H166">
        <v>2424.4299999999998</v>
      </c>
      <c r="I166">
        <v>4848.8599999999997</v>
      </c>
      <c r="J166" t="s">
        <v>13</v>
      </c>
    </row>
    <row r="167" spans="1:10" x14ac:dyDescent="0.3">
      <c r="A167">
        <v>2165</v>
      </c>
      <c r="B167" t="s">
        <v>42</v>
      </c>
      <c r="C167" t="s">
        <v>11</v>
      </c>
      <c r="D167" s="1">
        <v>45629</v>
      </c>
      <c r="E167" s="1">
        <v>45635</v>
      </c>
      <c r="F167" t="s">
        <v>16</v>
      </c>
      <c r="G167">
        <v>1</v>
      </c>
      <c r="H167">
        <v>585.88</v>
      </c>
      <c r="I167">
        <v>585.88</v>
      </c>
      <c r="J167" t="s">
        <v>20</v>
      </c>
    </row>
    <row r="168" spans="1:10" x14ac:dyDescent="0.3">
      <c r="A168">
        <v>2166</v>
      </c>
      <c r="B168" t="s">
        <v>34</v>
      </c>
      <c r="C168" t="s">
        <v>25</v>
      </c>
      <c r="D168" s="1">
        <v>44783</v>
      </c>
      <c r="E168" s="1">
        <v>44792</v>
      </c>
      <c r="F168" t="s">
        <v>28</v>
      </c>
      <c r="G168">
        <v>8</v>
      </c>
      <c r="H168">
        <v>645.41</v>
      </c>
      <c r="I168">
        <v>5163.28</v>
      </c>
      <c r="J168" t="s">
        <v>13</v>
      </c>
    </row>
    <row r="169" spans="1:10" x14ac:dyDescent="0.3">
      <c r="A169">
        <v>2167</v>
      </c>
      <c r="B169" t="s">
        <v>47</v>
      </c>
      <c r="C169" t="s">
        <v>18</v>
      </c>
      <c r="D169" s="1">
        <v>44865</v>
      </c>
      <c r="E169" s="1">
        <v>44868</v>
      </c>
      <c r="F169" t="s">
        <v>19</v>
      </c>
      <c r="G169">
        <v>5</v>
      </c>
      <c r="H169">
        <v>3234.29</v>
      </c>
      <c r="I169">
        <v>16171.45</v>
      </c>
      <c r="J169" t="s">
        <v>20</v>
      </c>
    </row>
    <row r="170" spans="1:10" x14ac:dyDescent="0.3">
      <c r="A170">
        <v>2168</v>
      </c>
      <c r="B170" t="s">
        <v>34</v>
      </c>
      <c r="C170" t="s">
        <v>18</v>
      </c>
      <c r="D170" s="1">
        <v>45648</v>
      </c>
      <c r="E170" s="1">
        <v>45654</v>
      </c>
      <c r="F170" t="s">
        <v>16</v>
      </c>
      <c r="G170">
        <v>7</v>
      </c>
      <c r="H170">
        <v>766.14</v>
      </c>
      <c r="I170">
        <v>5362.98</v>
      </c>
      <c r="J170" t="s">
        <v>13</v>
      </c>
    </row>
    <row r="171" spans="1:10" x14ac:dyDescent="0.3">
      <c r="A171">
        <v>2169</v>
      </c>
      <c r="B171" t="s">
        <v>10</v>
      </c>
      <c r="C171" t="s">
        <v>15</v>
      </c>
      <c r="D171" s="1">
        <v>45002</v>
      </c>
      <c r="E171" s="1">
        <v>45010</v>
      </c>
      <c r="F171" t="s">
        <v>16</v>
      </c>
      <c r="G171">
        <v>4</v>
      </c>
      <c r="H171">
        <v>2244.92</v>
      </c>
      <c r="I171">
        <v>8979.68</v>
      </c>
      <c r="J171" t="s">
        <v>20</v>
      </c>
    </row>
    <row r="172" spans="1:10" x14ac:dyDescent="0.3">
      <c r="A172">
        <v>2170</v>
      </c>
      <c r="B172" t="s">
        <v>34</v>
      </c>
      <c r="C172" t="s">
        <v>25</v>
      </c>
      <c r="D172" s="1">
        <v>44756</v>
      </c>
      <c r="E172" s="1">
        <v>44763</v>
      </c>
      <c r="F172" t="s">
        <v>16</v>
      </c>
      <c r="G172">
        <v>6</v>
      </c>
      <c r="H172">
        <v>3426.01</v>
      </c>
      <c r="I172">
        <v>20556.060000000001</v>
      </c>
      <c r="J172" t="s">
        <v>20</v>
      </c>
    </row>
    <row r="173" spans="1:10" x14ac:dyDescent="0.3">
      <c r="A173">
        <v>2171</v>
      </c>
      <c r="B173" t="s">
        <v>37</v>
      </c>
      <c r="C173" t="s">
        <v>15</v>
      </c>
      <c r="D173" s="1">
        <v>45533</v>
      </c>
      <c r="E173" s="1">
        <v>45536</v>
      </c>
      <c r="F173" t="s">
        <v>26</v>
      </c>
      <c r="G173">
        <v>2</v>
      </c>
      <c r="H173">
        <v>738.18</v>
      </c>
      <c r="I173">
        <v>1476.36</v>
      </c>
      <c r="J173" t="s">
        <v>13</v>
      </c>
    </row>
    <row r="174" spans="1:10" x14ac:dyDescent="0.3">
      <c r="A174">
        <v>2172</v>
      </c>
      <c r="B174" t="s">
        <v>24</v>
      </c>
      <c r="C174" t="s">
        <v>15</v>
      </c>
      <c r="D174" s="1">
        <v>45325</v>
      </c>
      <c r="E174" s="1">
        <v>45339</v>
      </c>
      <c r="F174" t="s">
        <v>19</v>
      </c>
      <c r="G174">
        <v>1</v>
      </c>
      <c r="H174">
        <v>3056.39</v>
      </c>
      <c r="I174">
        <v>3056.39</v>
      </c>
      <c r="J174" t="s">
        <v>20</v>
      </c>
    </row>
    <row r="175" spans="1:10" x14ac:dyDescent="0.3">
      <c r="A175">
        <v>2173</v>
      </c>
      <c r="B175" t="s">
        <v>14</v>
      </c>
      <c r="C175" t="s">
        <v>11</v>
      </c>
      <c r="D175" s="1">
        <v>45403</v>
      </c>
      <c r="E175" s="1">
        <v>45410</v>
      </c>
      <c r="F175" t="s">
        <v>32</v>
      </c>
      <c r="G175">
        <v>7</v>
      </c>
      <c r="H175">
        <v>4380.03</v>
      </c>
      <c r="I175">
        <v>30660.21</v>
      </c>
      <c r="J175" t="s">
        <v>13</v>
      </c>
    </row>
    <row r="176" spans="1:10" x14ac:dyDescent="0.3">
      <c r="A176">
        <v>2174</v>
      </c>
      <c r="B176" t="s">
        <v>43</v>
      </c>
      <c r="C176" t="s">
        <v>18</v>
      </c>
      <c r="D176" s="1">
        <v>45201</v>
      </c>
      <c r="E176" s="1">
        <v>45208</v>
      </c>
      <c r="F176" t="s">
        <v>26</v>
      </c>
      <c r="G176">
        <v>4</v>
      </c>
      <c r="H176">
        <v>1027.23</v>
      </c>
      <c r="I176">
        <v>4108.92</v>
      </c>
      <c r="J176" t="s">
        <v>20</v>
      </c>
    </row>
    <row r="177" spans="1:10" x14ac:dyDescent="0.3">
      <c r="A177">
        <v>2175</v>
      </c>
      <c r="B177" t="s">
        <v>17</v>
      </c>
      <c r="C177" t="s">
        <v>11</v>
      </c>
      <c r="D177" s="1">
        <v>45279</v>
      </c>
      <c r="E177" s="1">
        <v>45294</v>
      </c>
      <c r="F177" t="s">
        <v>36</v>
      </c>
      <c r="G177">
        <v>6</v>
      </c>
      <c r="H177">
        <v>839.96</v>
      </c>
      <c r="I177">
        <v>5039.76</v>
      </c>
      <c r="J177" t="s">
        <v>20</v>
      </c>
    </row>
    <row r="178" spans="1:10" x14ac:dyDescent="0.3">
      <c r="A178">
        <v>2176</v>
      </c>
      <c r="B178" t="s">
        <v>27</v>
      </c>
      <c r="C178" t="s">
        <v>22</v>
      </c>
      <c r="D178" s="1">
        <v>45440</v>
      </c>
      <c r="E178" s="1">
        <v>45455</v>
      </c>
      <c r="F178" t="s">
        <v>36</v>
      </c>
      <c r="G178">
        <v>1</v>
      </c>
      <c r="H178">
        <v>3162.28</v>
      </c>
      <c r="I178">
        <v>3162.28</v>
      </c>
      <c r="J178" t="s">
        <v>20</v>
      </c>
    </row>
    <row r="179" spans="1:10" x14ac:dyDescent="0.3">
      <c r="A179">
        <v>2177</v>
      </c>
      <c r="B179" t="s">
        <v>21</v>
      </c>
      <c r="C179" t="s">
        <v>22</v>
      </c>
      <c r="D179" s="1">
        <v>45121</v>
      </c>
      <c r="E179" s="1">
        <v>45134</v>
      </c>
      <c r="F179" t="s">
        <v>32</v>
      </c>
      <c r="G179">
        <v>5</v>
      </c>
      <c r="H179">
        <v>4631.2299999999996</v>
      </c>
      <c r="I179">
        <v>23156.15</v>
      </c>
      <c r="J179" t="s">
        <v>20</v>
      </c>
    </row>
    <row r="180" spans="1:10" x14ac:dyDescent="0.3">
      <c r="A180">
        <v>2178</v>
      </c>
      <c r="B180" t="s">
        <v>21</v>
      </c>
      <c r="C180" t="s">
        <v>22</v>
      </c>
      <c r="D180" s="1">
        <v>44855</v>
      </c>
      <c r="E180" s="1">
        <v>44866</v>
      </c>
      <c r="F180" t="s">
        <v>28</v>
      </c>
      <c r="G180">
        <v>7</v>
      </c>
      <c r="H180">
        <v>627.04999999999995</v>
      </c>
      <c r="I180">
        <v>4389.3500000000004</v>
      </c>
      <c r="J180" t="s">
        <v>13</v>
      </c>
    </row>
    <row r="181" spans="1:10" x14ac:dyDescent="0.3">
      <c r="A181">
        <v>2179</v>
      </c>
      <c r="B181" t="s">
        <v>49</v>
      </c>
      <c r="C181" t="s">
        <v>15</v>
      </c>
      <c r="D181" s="1">
        <v>45648</v>
      </c>
      <c r="E181" s="1">
        <v>45653</v>
      </c>
      <c r="F181" t="s">
        <v>16</v>
      </c>
      <c r="G181">
        <v>7</v>
      </c>
      <c r="H181">
        <v>2432.14</v>
      </c>
      <c r="I181">
        <v>17024.98</v>
      </c>
      <c r="J181" t="s">
        <v>13</v>
      </c>
    </row>
    <row r="182" spans="1:10" x14ac:dyDescent="0.3">
      <c r="A182">
        <v>2180</v>
      </c>
      <c r="B182" t="s">
        <v>46</v>
      </c>
      <c r="C182" t="s">
        <v>31</v>
      </c>
      <c r="D182" s="1">
        <v>45226</v>
      </c>
      <c r="E182" s="1">
        <v>45240</v>
      </c>
      <c r="F182" t="s">
        <v>36</v>
      </c>
      <c r="G182">
        <v>2</v>
      </c>
      <c r="H182">
        <v>4451.71</v>
      </c>
      <c r="I182">
        <v>8903.42</v>
      </c>
      <c r="J182" t="s">
        <v>13</v>
      </c>
    </row>
    <row r="183" spans="1:10" x14ac:dyDescent="0.3">
      <c r="A183">
        <v>2181</v>
      </c>
      <c r="B183" t="s">
        <v>45</v>
      </c>
      <c r="C183" t="s">
        <v>18</v>
      </c>
      <c r="D183" s="1">
        <v>44663</v>
      </c>
      <c r="E183" s="1">
        <v>44675</v>
      </c>
      <c r="F183" t="s">
        <v>26</v>
      </c>
      <c r="G183">
        <v>5</v>
      </c>
      <c r="H183">
        <v>2382.63</v>
      </c>
      <c r="I183">
        <v>11913.15</v>
      </c>
      <c r="J183" t="s">
        <v>20</v>
      </c>
    </row>
    <row r="184" spans="1:10" x14ac:dyDescent="0.3">
      <c r="A184">
        <v>2182</v>
      </c>
      <c r="B184" t="s">
        <v>41</v>
      </c>
      <c r="C184" t="s">
        <v>18</v>
      </c>
      <c r="D184" s="1">
        <v>45467</v>
      </c>
      <c r="E184" s="1">
        <v>45475</v>
      </c>
      <c r="F184" t="s">
        <v>12</v>
      </c>
      <c r="G184">
        <v>4</v>
      </c>
      <c r="H184">
        <v>3848.23</v>
      </c>
      <c r="I184">
        <v>15392.92</v>
      </c>
      <c r="J184" t="s">
        <v>13</v>
      </c>
    </row>
    <row r="185" spans="1:10" x14ac:dyDescent="0.3">
      <c r="A185">
        <v>2183</v>
      </c>
      <c r="B185" t="s">
        <v>46</v>
      </c>
      <c r="C185" t="s">
        <v>25</v>
      </c>
      <c r="D185" s="1">
        <v>44789</v>
      </c>
      <c r="E185" s="1">
        <v>44795</v>
      </c>
      <c r="F185" t="s">
        <v>28</v>
      </c>
      <c r="G185">
        <v>8</v>
      </c>
      <c r="H185">
        <v>2776.59</v>
      </c>
      <c r="I185">
        <v>22212.720000000001</v>
      </c>
      <c r="J185" t="s">
        <v>20</v>
      </c>
    </row>
    <row r="186" spans="1:10" x14ac:dyDescent="0.3">
      <c r="A186">
        <v>2184</v>
      </c>
      <c r="B186" t="s">
        <v>40</v>
      </c>
      <c r="C186" t="s">
        <v>22</v>
      </c>
      <c r="D186" s="1">
        <v>45371</v>
      </c>
      <c r="E186" s="1">
        <v>45382</v>
      </c>
      <c r="F186" t="s">
        <v>26</v>
      </c>
      <c r="G186">
        <v>1</v>
      </c>
      <c r="H186">
        <v>1260.79</v>
      </c>
      <c r="I186">
        <v>1260.79</v>
      </c>
      <c r="J186" t="s">
        <v>13</v>
      </c>
    </row>
    <row r="187" spans="1:10" x14ac:dyDescent="0.3">
      <c r="A187">
        <v>2185</v>
      </c>
      <c r="B187" t="s">
        <v>44</v>
      </c>
      <c r="C187" t="s">
        <v>22</v>
      </c>
      <c r="D187" s="1">
        <v>45085</v>
      </c>
      <c r="E187" s="1">
        <v>45091</v>
      </c>
      <c r="F187" t="s">
        <v>12</v>
      </c>
      <c r="G187">
        <v>2</v>
      </c>
      <c r="H187">
        <v>336.33</v>
      </c>
      <c r="I187">
        <v>672.66</v>
      </c>
      <c r="J187" t="s">
        <v>20</v>
      </c>
    </row>
    <row r="188" spans="1:10" x14ac:dyDescent="0.3">
      <c r="A188">
        <v>2186</v>
      </c>
      <c r="B188" t="s">
        <v>45</v>
      </c>
      <c r="C188" t="s">
        <v>22</v>
      </c>
      <c r="D188" s="1">
        <v>45340</v>
      </c>
      <c r="E188" s="1">
        <v>45350</v>
      </c>
      <c r="F188" t="s">
        <v>28</v>
      </c>
      <c r="G188">
        <v>4</v>
      </c>
      <c r="H188">
        <v>2651.23</v>
      </c>
      <c r="I188">
        <v>10604.92</v>
      </c>
      <c r="J188" t="s">
        <v>20</v>
      </c>
    </row>
    <row r="189" spans="1:10" x14ac:dyDescent="0.3">
      <c r="A189">
        <v>2187</v>
      </c>
      <c r="B189" t="s">
        <v>49</v>
      </c>
      <c r="C189" t="s">
        <v>25</v>
      </c>
      <c r="D189" s="1">
        <v>44648</v>
      </c>
      <c r="E189" s="1">
        <v>44656</v>
      </c>
      <c r="F189" t="s">
        <v>26</v>
      </c>
      <c r="G189">
        <v>8</v>
      </c>
      <c r="H189">
        <v>4629.46</v>
      </c>
      <c r="I189">
        <v>37035.68</v>
      </c>
      <c r="J189" t="s">
        <v>20</v>
      </c>
    </row>
    <row r="190" spans="1:10" x14ac:dyDescent="0.3">
      <c r="A190">
        <v>2188</v>
      </c>
      <c r="B190" t="s">
        <v>27</v>
      </c>
      <c r="C190" t="s">
        <v>25</v>
      </c>
      <c r="D190" s="1">
        <v>45390</v>
      </c>
      <c r="E190" s="1">
        <v>45403</v>
      </c>
      <c r="F190" t="s">
        <v>28</v>
      </c>
      <c r="G190">
        <v>7</v>
      </c>
      <c r="H190">
        <v>1660.72</v>
      </c>
      <c r="I190">
        <v>11625.04</v>
      </c>
      <c r="J190" t="s">
        <v>20</v>
      </c>
    </row>
    <row r="191" spans="1:10" x14ac:dyDescent="0.3">
      <c r="A191">
        <v>2189</v>
      </c>
      <c r="B191" t="s">
        <v>21</v>
      </c>
      <c r="C191" t="s">
        <v>31</v>
      </c>
      <c r="D191" s="1">
        <v>44913</v>
      </c>
      <c r="E191" s="1">
        <v>44927</v>
      </c>
      <c r="F191" t="s">
        <v>36</v>
      </c>
      <c r="G191">
        <v>8</v>
      </c>
      <c r="H191">
        <v>4210.5200000000004</v>
      </c>
      <c r="I191">
        <v>33684.160000000003</v>
      </c>
      <c r="J191" t="s">
        <v>20</v>
      </c>
    </row>
    <row r="192" spans="1:10" x14ac:dyDescent="0.3">
      <c r="A192">
        <v>2190</v>
      </c>
      <c r="B192" t="s">
        <v>49</v>
      </c>
      <c r="C192" t="s">
        <v>25</v>
      </c>
      <c r="D192" s="1">
        <v>44778</v>
      </c>
      <c r="E192" s="1">
        <v>44783</v>
      </c>
      <c r="F192" t="s">
        <v>16</v>
      </c>
      <c r="G192">
        <v>7</v>
      </c>
      <c r="H192">
        <v>2762.62</v>
      </c>
      <c r="I192">
        <v>19338.34</v>
      </c>
      <c r="J192" t="s">
        <v>20</v>
      </c>
    </row>
    <row r="193" spans="1:10" x14ac:dyDescent="0.3">
      <c r="A193">
        <v>2191</v>
      </c>
      <c r="B193" t="s">
        <v>43</v>
      </c>
      <c r="C193" t="s">
        <v>15</v>
      </c>
      <c r="D193" s="1">
        <v>45257</v>
      </c>
      <c r="E193" s="1">
        <v>45262</v>
      </c>
      <c r="F193" t="s">
        <v>12</v>
      </c>
      <c r="G193">
        <v>3</v>
      </c>
      <c r="H193">
        <v>658.98</v>
      </c>
      <c r="I193">
        <v>1976.94</v>
      </c>
      <c r="J193" t="s">
        <v>13</v>
      </c>
    </row>
    <row r="194" spans="1:10" x14ac:dyDescent="0.3">
      <c r="A194">
        <v>2192</v>
      </c>
      <c r="B194" t="s">
        <v>35</v>
      </c>
      <c r="C194" t="s">
        <v>18</v>
      </c>
      <c r="D194" s="1">
        <v>44959</v>
      </c>
      <c r="E194" s="1">
        <v>44973</v>
      </c>
      <c r="F194" t="s">
        <v>12</v>
      </c>
      <c r="G194">
        <v>6</v>
      </c>
      <c r="H194">
        <v>3718.68</v>
      </c>
      <c r="I194">
        <v>22312.080000000002</v>
      </c>
      <c r="J194" t="s">
        <v>13</v>
      </c>
    </row>
    <row r="195" spans="1:10" x14ac:dyDescent="0.3">
      <c r="A195">
        <v>2193</v>
      </c>
      <c r="B195" t="s">
        <v>17</v>
      </c>
      <c r="C195" t="s">
        <v>11</v>
      </c>
      <c r="D195" s="1">
        <v>44861</v>
      </c>
      <c r="E195" s="1">
        <v>44867</v>
      </c>
      <c r="F195" t="s">
        <v>19</v>
      </c>
      <c r="G195">
        <v>3</v>
      </c>
      <c r="H195">
        <v>3131.28</v>
      </c>
      <c r="I195">
        <v>9393.84</v>
      </c>
      <c r="J195" t="s">
        <v>13</v>
      </c>
    </row>
    <row r="196" spans="1:10" x14ac:dyDescent="0.3">
      <c r="A196">
        <v>2194</v>
      </c>
      <c r="B196" t="s">
        <v>45</v>
      </c>
      <c r="C196" t="s">
        <v>15</v>
      </c>
      <c r="D196" s="1">
        <v>45573</v>
      </c>
      <c r="E196" s="1">
        <v>45582</v>
      </c>
      <c r="F196" t="s">
        <v>32</v>
      </c>
      <c r="G196">
        <v>8</v>
      </c>
      <c r="H196">
        <v>3501.33</v>
      </c>
      <c r="I196">
        <v>28010.639999999999</v>
      </c>
      <c r="J196" t="s">
        <v>20</v>
      </c>
    </row>
    <row r="197" spans="1:10" x14ac:dyDescent="0.3">
      <c r="A197">
        <v>2195</v>
      </c>
      <c r="B197" t="s">
        <v>10</v>
      </c>
      <c r="C197" t="s">
        <v>31</v>
      </c>
      <c r="D197" s="1">
        <v>44871</v>
      </c>
      <c r="E197" s="1">
        <v>44880</v>
      </c>
      <c r="F197" t="s">
        <v>26</v>
      </c>
      <c r="G197">
        <v>8</v>
      </c>
      <c r="H197">
        <v>2378.38</v>
      </c>
      <c r="I197">
        <v>19027.04</v>
      </c>
      <c r="J197" t="s">
        <v>20</v>
      </c>
    </row>
    <row r="198" spans="1:10" x14ac:dyDescent="0.3">
      <c r="A198">
        <v>2196</v>
      </c>
      <c r="B198" t="s">
        <v>33</v>
      </c>
      <c r="C198" t="s">
        <v>18</v>
      </c>
      <c r="D198" s="1">
        <v>44677</v>
      </c>
      <c r="E198" s="1">
        <v>44684</v>
      </c>
      <c r="F198" t="s">
        <v>36</v>
      </c>
      <c r="G198">
        <v>2</v>
      </c>
      <c r="H198">
        <v>1758.92</v>
      </c>
      <c r="I198">
        <v>3517.84</v>
      </c>
      <c r="J198" t="s">
        <v>20</v>
      </c>
    </row>
    <row r="199" spans="1:10" x14ac:dyDescent="0.3">
      <c r="A199">
        <v>2197</v>
      </c>
      <c r="B199" t="s">
        <v>40</v>
      </c>
      <c r="C199" t="s">
        <v>11</v>
      </c>
      <c r="D199" s="1">
        <v>45317</v>
      </c>
      <c r="E199" s="1">
        <v>45332</v>
      </c>
      <c r="F199" t="s">
        <v>12</v>
      </c>
      <c r="G199">
        <v>2</v>
      </c>
      <c r="H199">
        <v>3329.93</v>
      </c>
      <c r="I199">
        <v>6659.86</v>
      </c>
      <c r="J199" t="s">
        <v>13</v>
      </c>
    </row>
    <row r="200" spans="1:10" x14ac:dyDescent="0.3">
      <c r="A200">
        <v>2198</v>
      </c>
      <c r="B200" t="s">
        <v>42</v>
      </c>
      <c r="C200" t="s">
        <v>18</v>
      </c>
      <c r="D200" s="1">
        <v>45600</v>
      </c>
      <c r="E200" s="1">
        <v>45608</v>
      </c>
      <c r="F200" t="s">
        <v>16</v>
      </c>
      <c r="G200">
        <v>1</v>
      </c>
      <c r="H200">
        <v>2413.75</v>
      </c>
      <c r="I200">
        <v>2413.75</v>
      </c>
      <c r="J200" t="s">
        <v>13</v>
      </c>
    </row>
    <row r="201" spans="1:10" x14ac:dyDescent="0.3">
      <c r="A201">
        <v>2199</v>
      </c>
      <c r="B201" t="s">
        <v>47</v>
      </c>
      <c r="C201" t="s">
        <v>18</v>
      </c>
      <c r="D201" s="1">
        <v>45536</v>
      </c>
      <c r="E201" s="1">
        <v>45546</v>
      </c>
      <c r="F201" t="s">
        <v>19</v>
      </c>
      <c r="G201">
        <v>1</v>
      </c>
      <c r="H201">
        <v>2417.46</v>
      </c>
      <c r="I201">
        <v>2417.46</v>
      </c>
      <c r="J201" t="s">
        <v>20</v>
      </c>
    </row>
    <row r="202" spans="1:10" x14ac:dyDescent="0.3">
      <c r="A202">
        <v>2200</v>
      </c>
      <c r="B202" t="s">
        <v>48</v>
      </c>
      <c r="C202" t="s">
        <v>11</v>
      </c>
      <c r="D202" s="1">
        <v>45595</v>
      </c>
      <c r="E202" s="1">
        <v>45607</v>
      </c>
      <c r="F202" t="s">
        <v>19</v>
      </c>
      <c r="G202">
        <v>1</v>
      </c>
      <c r="H202">
        <v>1464.4</v>
      </c>
      <c r="I202">
        <v>1464.4</v>
      </c>
      <c r="J202" t="s">
        <v>20</v>
      </c>
    </row>
    <row r="203" spans="1:10" x14ac:dyDescent="0.3">
      <c r="A203">
        <v>2201</v>
      </c>
      <c r="B203" t="s">
        <v>38</v>
      </c>
      <c r="C203" t="s">
        <v>18</v>
      </c>
      <c r="D203" s="1">
        <v>45632</v>
      </c>
      <c r="E203" s="1">
        <v>45643</v>
      </c>
      <c r="F203" t="s">
        <v>19</v>
      </c>
      <c r="G203">
        <v>6</v>
      </c>
      <c r="H203">
        <v>2052.4</v>
      </c>
      <c r="I203">
        <v>12314.4</v>
      </c>
      <c r="J203" t="s">
        <v>20</v>
      </c>
    </row>
    <row r="204" spans="1:10" x14ac:dyDescent="0.3">
      <c r="A204">
        <v>2202</v>
      </c>
      <c r="B204" t="s">
        <v>34</v>
      </c>
      <c r="C204" t="s">
        <v>25</v>
      </c>
      <c r="D204" s="1">
        <v>45254</v>
      </c>
      <c r="E204" s="1">
        <v>45266</v>
      </c>
      <c r="F204" t="s">
        <v>36</v>
      </c>
      <c r="G204">
        <v>1</v>
      </c>
      <c r="H204">
        <v>4009.37</v>
      </c>
      <c r="I204">
        <v>4009.37</v>
      </c>
      <c r="J204" t="s">
        <v>20</v>
      </c>
    </row>
    <row r="205" spans="1:10" x14ac:dyDescent="0.3">
      <c r="A205">
        <v>2203</v>
      </c>
      <c r="B205" t="s">
        <v>49</v>
      </c>
      <c r="C205" t="s">
        <v>31</v>
      </c>
      <c r="D205" s="1">
        <v>44755</v>
      </c>
      <c r="E205" s="1">
        <v>44765</v>
      </c>
      <c r="F205" t="s">
        <v>28</v>
      </c>
      <c r="G205">
        <v>7</v>
      </c>
      <c r="H205">
        <v>1635.49</v>
      </c>
      <c r="I205">
        <v>11448.43</v>
      </c>
      <c r="J205" t="s">
        <v>13</v>
      </c>
    </row>
    <row r="206" spans="1:10" x14ac:dyDescent="0.3">
      <c r="A206">
        <v>2204</v>
      </c>
      <c r="B206" t="s">
        <v>47</v>
      </c>
      <c r="C206" t="s">
        <v>11</v>
      </c>
      <c r="D206" s="1">
        <v>44851</v>
      </c>
      <c r="E206" s="1">
        <v>44858</v>
      </c>
      <c r="F206" t="s">
        <v>12</v>
      </c>
      <c r="G206">
        <v>7</v>
      </c>
      <c r="H206">
        <v>906.07</v>
      </c>
      <c r="I206">
        <v>6342.49</v>
      </c>
      <c r="J206" t="s">
        <v>13</v>
      </c>
    </row>
    <row r="207" spans="1:10" x14ac:dyDescent="0.3">
      <c r="A207">
        <v>2205</v>
      </c>
      <c r="B207" t="s">
        <v>43</v>
      </c>
      <c r="C207" t="s">
        <v>18</v>
      </c>
      <c r="D207" s="1">
        <v>45333</v>
      </c>
      <c r="E207" s="1">
        <v>45345</v>
      </c>
      <c r="F207" t="s">
        <v>32</v>
      </c>
      <c r="G207">
        <v>6</v>
      </c>
      <c r="H207">
        <v>4121.97</v>
      </c>
      <c r="I207">
        <v>24731.82</v>
      </c>
      <c r="J207" t="s">
        <v>13</v>
      </c>
    </row>
    <row r="208" spans="1:10" x14ac:dyDescent="0.3">
      <c r="A208">
        <v>2206</v>
      </c>
      <c r="B208" t="s">
        <v>10</v>
      </c>
      <c r="C208" t="s">
        <v>15</v>
      </c>
      <c r="D208" s="1">
        <v>45429</v>
      </c>
      <c r="E208" s="1">
        <v>45439</v>
      </c>
      <c r="F208" t="s">
        <v>12</v>
      </c>
      <c r="G208">
        <v>1</v>
      </c>
      <c r="H208">
        <v>2004.21</v>
      </c>
      <c r="I208">
        <v>2004.21</v>
      </c>
      <c r="J208" t="s">
        <v>13</v>
      </c>
    </row>
    <row r="209" spans="1:10" x14ac:dyDescent="0.3">
      <c r="A209">
        <v>2207</v>
      </c>
      <c r="B209" t="s">
        <v>29</v>
      </c>
      <c r="C209" t="s">
        <v>31</v>
      </c>
      <c r="D209" s="1">
        <v>45557</v>
      </c>
      <c r="E209" s="1">
        <v>45562</v>
      </c>
      <c r="F209" t="s">
        <v>19</v>
      </c>
      <c r="G209">
        <v>3</v>
      </c>
      <c r="H209">
        <v>1028.24</v>
      </c>
      <c r="I209">
        <v>3084.72</v>
      </c>
      <c r="J209" t="s">
        <v>20</v>
      </c>
    </row>
    <row r="210" spans="1:10" x14ac:dyDescent="0.3">
      <c r="A210">
        <v>2208</v>
      </c>
      <c r="B210" t="s">
        <v>23</v>
      </c>
      <c r="C210" t="s">
        <v>18</v>
      </c>
      <c r="D210" s="1">
        <v>45640</v>
      </c>
      <c r="E210" s="1">
        <v>45642</v>
      </c>
      <c r="F210" t="s">
        <v>28</v>
      </c>
      <c r="G210">
        <v>6</v>
      </c>
      <c r="H210">
        <v>4419.05</v>
      </c>
      <c r="I210">
        <v>26514.3</v>
      </c>
      <c r="J210" t="s">
        <v>13</v>
      </c>
    </row>
    <row r="211" spans="1:10" x14ac:dyDescent="0.3">
      <c r="A211">
        <v>2209</v>
      </c>
      <c r="B211" t="s">
        <v>42</v>
      </c>
      <c r="C211" t="s">
        <v>25</v>
      </c>
      <c r="D211" s="1">
        <v>44877</v>
      </c>
      <c r="E211" s="1">
        <v>44881</v>
      </c>
      <c r="F211" t="s">
        <v>19</v>
      </c>
      <c r="G211">
        <v>3</v>
      </c>
      <c r="H211">
        <v>3689.56</v>
      </c>
      <c r="I211">
        <v>11068.68</v>
      </c>
      <c r="J211" t="s">
        <v>13</v>
      </c>
    </row>
    <row r="212" spans="1:10" x14ac:dyDescent="0.3">
      <c r="A212">
        <v>2210</v>
      </c>
      <c r="B212" t="s">
        <v>39</v>
      </c>
      <c r="C212" t="s">
        <v>31</v>
      </c>
      <c r="D212" s="1">
        <v>45048</v>
      </c>
      <c r="E212" s="1">
        <v>45057</v>
      </c>
      <c r="F212" t="s">
        <v>36</v>
      </c>
      <c r="G212">
        <v>5</v>
      </c>
      <c r="H212">
        <v>3836.24</v>
      </c>
      <c r="I212">
        <v>19181.2</v>
      </c>
      <c r="J212" t="s">
        <v>20</v>
      </c>
    </row>
    <row r="213" spans="1:10" x14ac:dyDescent="0.3">
      <c r="A213">
        <v>2211</v>
      </c>
      <c r="B213" t="s">
        <v>17</v>
      </c>
      <c r="C213" t="s">
        <v>18</v>
      </c>
      <c r="D213" s="1">
        <v>45051</v>
      </c>
      <c r="E213" s="1">
        <v>45057</v>
      </c>
      <c r="F213" t="s">
        <v>32</v>
      </c>
      <c r="G213">
        <v>8</v>
      </c>
      <c r="H213">
        <v>4548.68</v>
      </c>
      <c r="I213">
        <v>36389.440000000002</v>
      </c>
      <c r="J213" t="s">
        <v>13</v>
      </c>
    </row>
    <row r="214" spans="1:10" x14ac:dyDescent="0.3">
      <c r="A214">
        <v>2212</v>
      </c>
      <c r="B214" t="s">
        <v>46</v>
      </c>
      <c r="C214" t="s">
        <v>15</v>
      </c>
      <c r="D214" s="1">
        <v>45464</v>
      </c>
      <c r="E214" s="1">
        <v>45473</v>
      </c>
      <c r="F214" t="s">
        <v>32</v>
      </c>
      <c r="G214">
        <v>5</v>
      </c>
      <c r="H214">
        <v>3957.18</v>
      </c>
      <c r="I214">
        <v>19785.900000000001</v>
      </c>
      <c r="J214" t="s">
        <v>20</v>
      </c>
    </row>
    <row r="215" spans="1:10" x14ac:dyDescent="0.3">
      <c r="A215">
        <v>2213</v>
      </c>
      <c r="B215" t="s">
        <v>45</v>
      </c>
      <c r="C215" t="s">
        <v>22</v>
      </c>
      <c r="D215" s="1">
        <v>44845</v>
      </c>
      <c r="E215" s="1">
        <v>44860</v>
      </c>
      <c r="F215" t="s">
        <v>12</v>
      </c>
      <c r="G215">
        <v>1</v>
      </c>
      <c r="H215">
        <v>3313.54</v>
      </c>
      <c r="I215">
        <v>3313.54</v>
      </c>
      <c r="J215" t="s">
        <v>20</v>
      </c>
    </row>
    <row r="216" spans="1:10" x14ac:dyDescent="0.3">
      <c r="A216">
        <v>2214</v>
      </c>
      <c r="B216" t="s">
        <v>30</v>
      </c>
      <c r="C216" t="s">
        <v>11</v>
      </c>
      <c r="D216" s="1">
        <v>45618</v>
      </c>
      <c r="E216" s="1">
        <v>45633</v>
      </c>
      <c r="F216" t="s">
        <v>26</v>
      </c>
      <c r="G216">
        <v>5</v>
      </c>
      <c r="H216">
        <v>694.21</v>
      </c>
      <c r="I216">
        <v>3471.05</v>
      </c>
      <c r="J216" t="s">
        <v>13</v>
      </c>
    </row>
    <row r="217" spans="1:10" x14ac:dyDescent="0.3">
      <c r="A217">
        <v>2215</v>
      </c>
      <c r="B217" t="s">
        <v>33</v>
      </c>
      <c r="C217" t="s">
        <v>25</v>
      </c>
      <c r="D217" s="1">
        <v>45613</v>
      </c>
      <c r="E217" s="1">
        <v>45617</v>
      </c>
      <c r="F217" t="s">
        <v>32</v>
      </c>
      <c r="G217">
        <v>7</v>
      </c>
      <c r="H217">
        <v>731.05</v>
      </c>
      <c r="I217">
        <v>5117.3500000000004</v>
      </c>
      <c r="J217" t="s">
        <v>13</v>
      </c>
    </row>
    <row r="218" spans="1:10" x14ac:dyDescent="0.3">
      <c r="A218">
        <v>2216</v>
      </c>
      <c r="B218" t="s">
        <v>38</v>
      </c>
      <c r="C218" t="s">
        <v>31</v>
      </c>
      <c r="D218" s="1">
        <v>44616</v>
      </c>
      <c r="E218" s="1">
        <v>44624</v>
      </c>
      <c r="F218" t="s">
        <v>26</v>
      </c>
      <c r="G218">
        <v>7</v>
      </c>
      <c r="H218">
        <v>2659.43</v>
      </c>
      <c r="I218">
        <v>18616.009999999998</v>
      </c>
      <c r="J218" t="s">
        <v>13</v>
      </c>
    </row>
    <row r="219" spans="1:10" x14ac:dyDescent="0.3">
      <c r="A219">
        <v>2217</v>
      </c>
      <c r="B219" t="s">
        <v>34</v>
      </c>
      <c r="C219" t="s">
        <v>11</v>
      </c>
      <c r="D219" s="1">
        <v>45329</v>
      </c>
      <c r="E219" s="1">
        <v>45334</v>
      </c>
      <c r="F219" t="s">
        <v>26</v>
      </c>
      <c r="G219">
        <v>6</v>
      </c>
      <c r="H219">
        <v>4674.88</v>
      </c>
      <c r="I219">
        <v>28049.279999999999</v>
      </c>
      <c r="J219" t="s">
        <v>20</v>
      </c>
    </row>
    <row r="220" spans="1:10" x14ac:dyDescent="0.3">
      <c r="A220">
        <v>2218</v>
      </c>
      <c r="B220" t="s">
        <v>37</v>
      </c>
      <c r="C220" t="s">
        <v>22</v>
      </c>
      <c r="D220" s="1">
        <v>44640</v>
      </c>
      <c r="E220" s="1">
        <v>44646</v>
      </c>
      <c r="F220" t="s">
        <v>32</v>
      </c>
      <c r="G220">
        <v>8</v>
      </c>
      <c r="H220">
        <v>3571.54</v>
      </c>
      <c r="I220">
        <v>28572.32</v>
      </c>
      <c r="J220" t="s">
        <v>13</v>
      </c>
    </row>
    <row r="221" spans="1:10" x14ac:dyDescent="0.3">
      <c r="A221">
        <v>2219</v>
      </c>
      <c r="B221" t="s">
        <v>44</v>
      </c>
      <c r="C221" t="s">
        <v>15</v>
      </c>
      <c r="D221" s="1">
        <v>45522</v>
      </c>
      <c r="E221" s="1">
        <v>45531</v>
      </c>
      <c r="F221" t="s">
        <v>36</v>
      </c>
      <c r="G221">
        <v>1</v>
      </c>
      <c r="H221">
        <v>4557.53</v>
      </c>
      <c r="I221">
        <v>4557.53</v>
      </c>
      <c r="J221" t="s">
        <v>13</v>
      </c>
    </row>
    <row r="222" spans="1:10" x14ac:dyDescent="0.3">
      <c r="A222">
        <v>2220</v>
      </c>
      <c r="B222" t="s">
        <v>33</v>
      </c>
      <c r="C222" t="s">
        <v>22</v>
      </c>
      <c r="D222" s="1">
        <v>44868</v>
      </c>
      <c r="E222" s="1">
        <v>44878</v>
      </c>
      <c r="F222" t="s">
        <v>28</v>
      </c>
      <c r="G222">
        <v>7</v>
      </c>
      <c r="H222">
        <v>822.58</v>
      </c>
      <c r="I222">
        <v>5758.06</v>
      </c>
      <c r="J222" t="s">
        <v>20</v>
      </c>
    </row>
    <row r="223" spans="1:10" x14ac:dyDescent="0.3">
      <c r="A223">
        <v>2221</v>
      </c>
      <c r="B223" t="s">
        <v>17</v>
      </c>
      <c r="C223" t="s">
        <v>31</v>
      </c>
      <c r="D223" s="1">
        <v>44811</v>
      </c>
      <c r="E223" s="1">
        <v>44813</v>
      </c>
      <c r="F223" t="s">
        <v>19</v>
      </c>
      <c r="G223">
        <v>7</v>
      </c>
      <c r="H223">
        <v>3303.07</v>
      </c>
      <c r="I223">
        <v>23121.49</v>
      </c>
      <c r="J223" t="s">
        <v>20</v>
      </c>
    </row>
    <row r="224" spans="1:10" x14ac:dyDescent="0.3">
      <c r="A224">
        <v>2222</v>
      </c>
      <c r="B224" t="s">
        <v>49</v>
      </c>
      <c r="C224" t="s">
        <v>11</v>
      </c>
      <c r="D224" s="1">
        <v>45585</v>
      </c>
      <c r="E224" s="1">
        <v>45596</v>
      </c>
      <c r="F224" t="s">
        <v>36</v>
      </c>
      <c r="G224">
        <v>1</v>
      </c>
      <c r="H224">
        <v>3270.19</v>
      </c>
      <c r="I224">
        <v>3270.19</v>
      </c>
      <c r="J224" t="s">
        <v>13</v>
      </c>
    </row>
    <row r="225" spans="1:10" x14ac:dyDescent="0.3">
      <c r="A225">
        <v>2223</v>
      </c>
      <c r="B225" t="s">
        <v>48</v>
      </c>
      <c r="C225" t="s">
        <v>22</v>
      </c>
      <c r="D225" s="1">
        <v>45158</v>
      </c>
      <c r="E225" s="1">
        <v>45166</v>
      </c>
      <c r="F225" t="s">
        <v>26</v>
      </c>
      <c r="G225">
        <v>6</v>
      </c>
      <c r="H225">
        <v>1430.65</v>
      </c>
      <c r="I225">
        <v>8583.9</v>
      </c>
      <c r="J225" t="s">
        <v>20</v>
      </c>
    </row>
    <row r="226" spans="1:10" x14ac:dyDescent="0.3">
      <c r="A226">
        <v>2224</v>
      </c>
      <c r="B226" t="s">
        <v>45</v>
      </c>
      <c r="C226" t="s">
        <v>15</v>
      </c>
      <c r="D226" s="1">
        <v>44737</v>
      </c>
      <c r="E226" s="1">
        <v>44747</v>
      </c>
      <c r="F226" t="s">
        <v>12</v>
      </c>
      <c r="G226">
        <v>2</v>
      </c>
      <c r="H226">
        <v>4781</v>
      </c>
      <c r="I226">
        <v>9562</v>
      </c>
      <c r="J226" t="s">
        <v>13</v>
      </c>
    </row>
    <row r="227" spans="1:10" x14ac:dyDescent="0.3">
      <c r="A227">
        <v>2225</v>
      </c>
      <c r="B227" t="s">
        <v>34</v>
      </c>
      <c r="C227" t="s">
        <v>25</v>
      </c>
      <c r="D227" s="1">
        <v>44651</v>
      </c>
      <c r="E227" s="1">
        <v>44663</v>
      </c>
      <c r="F227" t="s">
        <v>16</v>
      </c>
      <c r="G227">
        <v>6</v>
      </c>
      <c r="H227">
        <v>1492.16</v>
      </c>
      <c r="I227">
        <v>8952.9599999999991</v>
      </c>
      <c r="J227" t="s">
        <v>13</v>
      </c>
    </row>
    <row r="228" spans="1:10" x14ac:dyDescent="0.3">
      <c r="A228">
        <v>2226</v>
      </c>
      <c r="B228" t="s">
        <v>46</v>
      </c>
      <c r="C228" t="s">
        <v>11</v>
      </c>
      <c r="D228" s="1">
        <v>45268</v>
      </c>
      <c r="E228" s="1">
        <v>45273</v>
      </c>
      <c r="F228" t="s">
        <v>28</v>
      </c>
      <c r="G228">
        <v>2</v>
      </c>
      <c r="H228">
        <v>3926.06</v>
      </c>
      <c r="I228">
        <v>7852.12</v>
      </c>
      <c r="J228" t="s">
        <v>20</v>
      </c>
    </row>
    <row r="229" spans="1:10" x14ac:dyDescent="0.3">
      <c r="A229">
        <v>2227</v>
      </c>
      <c r="B229" t="s">
        <v>37</v>
      </c>
      <c r="C229" t="s">
        <v>11</v>
      </c>
      <c r="D229" s="1">
        <v>45283</v>
      </c>
      <c r="E229" s="1">
        <v>45293</v>
      </c>
      <c r="F229" t="s">
        <v>12</v>
      </c>
      <c r="G229">
        <v>3</v>
      </c>
      <c r="H229">
        <v>4202.8</v>
      </c>
      <c r="I229">
        <v>12608.4</v>
      </c>
      <c r="J229" t="s">
        <v>20</v>
      </c>
    </row>
    <row r="230" spans="1:10" x14ac:dyDescent="0.3">
      <c r="A230">
        <v>2228</v>
      </c>
      <c r="B230" t="s">
        <v>48</v>
      </c>
      <c r="C230" t="s">
        <v>25</v>
      </c>
      <c r="D230" s="1">
        <v>44935</v>
      </c>
      <c r="E230" s="1">
        <v>44949</v>
      </c>
      <c r="F230" t="s">
        <v>19</v>
      </c>
      <c r="G230">
        <v>2</v>
      </c>
      <c r="H230">
        <v>3665.41</v>
      </c>
      <c r="I230">
        <v>7330.82</v>
      </c>
      <c r="J230" t="s">
        <v>20</v>
      </c>
    </row>
    <row r="231" spans="1:10" x14ac:dyDescent="0.3">
      <c r="A231">
        <v>2229</v>
      </c>
      <c r="B231" t="s">
        <v>40</v>
      </c>
      <c r="C231" t="s">
        <v>31</v>
      </c>
      <c r="D231" s="1">
        <v>44974</v>
      </c>
      <c r="E231" s="1">
        <v>44976</v>
      </c>
      <c r="F231" t="s">
        <v>32</v>
      </c>
      <c r="G231">
        <v>4</v>
      </c>
      <c r="H231">
        <v>4463.21</v>
      </c>
      <c r="I231">
        <v>17852.84</v>
      </c>
      <c r="J231" t="s">
        <v>20</v>
      </c>
    </row>
    <row r="232" spans="1:10" x14ac:dyDescent="0.3">
      <c r="A232">
        <v>2230</v>
      </c>
      <c r="B232" t="s">
        <v>43</v>
      </c>
      <c r="C232" t="s">
        <v>18</v>
      </c>
      <c r="D232" s="1">
        <v>45377</v>
      </c>
      <c r="E232" s="1">
        <v>45392</v>
      </c>
      <c r="F232" t="s">
        <v>36</v>
      </c>
      <c r="G232">
        <v>8</v>
      </c>
      <c r="H232">
        <v>1490.57</v>
      </c>
      <c r="I232">
        <v>11924.56</v>
      </c>
      <c r="J232" t="s">
        <v>13</v>
      </c>
    </row>
    <row r="233" spans="1:10" x14ac:dyDescent="0.3">
      <c r="A233">
        <v>2231</v>
      </c>
      <c r="B233" t="s">
        <v>43</v>
      </c>
      <c r="C233" t="s">
        <v>31</v>
      </c>
      <c r="D233" s="1">
        <v>44659</v>
      </c>
      <c r="E233" s="1">
        <v>44674</v>
      </c>
      <c r="F233" t="s">
        <v>28</v>
      </c>
      <c r="G233">
        <v>6</v>
      </c>
      <c r="H233">
        <v>1584.12</v>
      </c>
      <c r="I233">
        <v>9504.7199999999993</v>
      </c>
      <c r="J233" t="s">
        <v>20</v>
      </c>
    </row>
    <row r="234" spans="1:10" x14ac:dyDescent="0.3">
      <c r="A234">
        <v>2232</v>
      </c>
      <c r="B234" t="s">
        <v>39</v>
      </c>
      <c r="C234" t="s">
        <v>25</v>
      </c>
      <c r="D234" s="1">
        <v>45462</v>
      </c>
      <c r="E234" s="1">
        <v>45470</v>
      </c>
      <c r="F234" t="s">
        <v>12</v>
      </c>
      <c r="G234">
        <v>3</v>
      </c>
      <c r="H234">
        <v>2632.16</v>
      </c>
      <c r="I234">
        <v>7896.48</v>
      </c>
      <c r="J234" t="s">
        <v>20</v>
      </c>
    </row>
    <row r="235" spans="1:10" x14ac:dyDescent="0.3">
      <c r="A235">
        <v>2233</v>
      </c>
      <c r="B235" t="s">
        <v>46</v>
      </c>
      <c r="C235" t="s">
        <v>18</v>
      </c>
      <c r="D235" s="1">
        <v>45108</v>
      </c>
      <c r="E235" s="1">
        <v>45122</v>
      </c>
      <c r="F235" t="s">
        <v>26</v>
      </c>
      <c r="G235">
        <v>7</v>
      </c>
      <c r="H235">
        <v>670.96</v>
      </c>
      <c r="I235">
        <v>4696.72</v>
      </c>
      <c r="J235" t="s">
        <v>13</v>
      </c>
    </row>
    <row r="236" spans="1:10" x14ac:dyDescent="0.3">
      <c r="A236">
        <v>2234</v>
      </c>
      <c r="B236" t="s">
        <v>30</v>
      </c>
      <c r="C236" t="s">
        <v>31</v>
      </c>
      <c r="D236" s="1">
        <v>45219</v>
      </c>
      <c r="E236" s="1">
        <v>45222</v>
      </c>
      <c r="F236" t="s">
        <v>26</v>
      </c>
      <c r="G236">
        <v>6</v>
      </c>
      <c r="H236">
        <v>3406.32</v>
      </c>
      <c r="I236">
        <v>20437.919999999998</v>
      </c>
      <c r="J236" t="s">
        <v>20</v>
      </c>
    </row>
    <row r="237" spans="1:10" x14ac:dyDescent="0.3">
      <c r="A237">
        <v>2235</v>
      </c>
      <c r="B237" t="s">
        <v>38</v>
      </c>
      <c r="C237" t="s">
        <v>18</v>
      </c>
      <c r="D237" s="1">
        <v>45434</v>
      </c>
      <c r="E237" s="1">
        <v>45438</v>
      </c>
      <c r="F237" t="s">
        <v>28</v>
      </c>
      <c r="G237">
        <v>8</v>
      </c>
      <c r="H237">
        <v>1952.27</v>
      </c>
      <c r="I237">
        <v>15618.16</v>
      </c>
      <c r="J237" t="s">
        <v>13</v>
      </c>
    </row>
    <row r="238" spans="1:10" x14ac:dyDescent="0.3">
      <c r="A238">
        <v>2236</v>
      </c>
      <c r="B238" t="s">
        <v>24</v>
      </c>
      <c r="C238" t="s">
        <v>31</v>
      </c>
      <c r="D238" s="1">
        <v>45452</v>
      </c>
      <c r="E238" s="1">
        <v>45458</v>
      </c>
      <c r="F238" t="s">
        <v>28</v>
      </c>
      <c r="G238">
        <v>1</v>
      </c>
      <c r="H238">
        <v>652.69000000000005</v>
      </c>
      <c r="I238">
        <v>652.69000000000005</v>
      </c>
      <c r="J238" t="s">
        <v>20</v>
      </c>
    </row>
    <row r="239" spans="1:10" x14ac:dyDescent="0.3">
      <c r="A239">
        <v>2237</v>
      </c>
      <c r="B239" t="s">
        <v>46</v>
      </c>
      <c r="C239" t="s">
        <v>18</v>
      </c>
      <c r="D239" s="1">
        <v>44889</v>
      </c>
      <c r="E239" s="1">
        <v>44891</v>
      </c>
      <c r="F239" t="s">
        <v>19</v>
      </c>
      <c r="G239">
        <v>8</v>
      </c>
      <c r="H239">
        <v>463.56</v>
      </c>
      <c r="I239">
        <v>3708.48</v>
      </c>
      <c r="J239" t="s">
        <v>13</v>
      </c>
    </row>
    <row r="240" spans="1:10" x14ac:dyDescent="0.3">
      <c r="A240">
        <v>2238</v>
      </c>
      <c r="B240" t="s">
        <v>17</v>
      </c>
      <c r="C240" t="s">
        <v>15</v>
      </c>
      <c r="D240" s="1">
        <v>45312</v>
      </c>
      <c r="E240" s="1">
        <v>45319</v>
      </c>
      <c r="F240" t="s">
        <v>16</v>
      </c>
      <c r="G240">
        <v>1</v>
      </c>
      <c r="H240">
        <v>3143.95</v>
      </c>
      <c r="I240">
        <v>3143.95</v>
      </c>
      <c r="J240" t="s">
        <v>20</v>
      </c>
    </row>
    <row r="241" spans="1:10" x14ac:dyDescent="0.3">
      <c r="A241">
        <v>2239</v>
      </c>
      <c r="B241" t="s">
        <v>46</v>
      </c>
      <c r="C241" t="s">
        <v>31</v>
      </c>
      <c r="D241" s="1">
        <v>45471</v>
      </c>
      <c r="E241" s="1">
        <v>45485</v>
      </c>
      <c r="F241" t="s">
        <v>26</v>
      </c>
      <c r="G241">
        <v>3</v>
      </c>
      <c r="H241">
        <v>2788.46</v>
      </c>
      <c r="I241">
        <v>8365.3799999999992</v>
      </c>
      <c r="J241" t="s">
        <v>20</v>
      </c>
    </row>
    <row r="242" spans="1:10" x14ac:dyDescent="0.3">
      <c r="A242">
        <v>2240</v>
      </c>
      <c r="B242" t="s">
        <v>47</v>
      </c>
      <c r="C242" t="s">
        <v>15</v>
      </c>
      <c r="D242" s="1">
        <v>45132</v>
      </c>
      <c r="E242" s="1">
        <v>45137</v>
      </c>
      <c r="F242" t="s">
        <v>26</v>
      </c>
      <c r="G242">
        <v>1</v>
      </c>
      <c r="H242">
        <v>3757.67</v>
      </c>
      <c r="I242">
        <v>3757.67</v>
      </c>
      <c r="J242" t="s">
        <v>20</v>
      </c>
    </row>
    <row r="243" spans="1:10" x14ac:dyDescent="0.3">
      <c r="A243">
        <v>2241</v>
      </c>
      <c r="B243" t="s">
        <v>35</v>
      </c>
      <c r="C243" t="s">
        <v>25</v>
      </c>
      <c r="D243" s="1">
        <v>44803</v>
      </c>
      <c r="E243" s="1">
        <v>44809</v>
      </c>
      <c r="F243" t="s">
        <v>32</v>
      </c>
      <c r="G243">
        <v>5</v>
      </c>
      <c r="H243">
        <v>3608.98</v>
      </c>
      <c r="I243">
        <v>18044.900000000001</v>
      </c>
      <c r="J243" t="s">
        <v>13</v>
      </c>
    </row>
    <row r="244" spans="1:10" x14ac:dyDescent="0.3">
      <c r="A244">
        <v>2242</v>
      </c>
      <c r="B244" t="s">
        <v>42</v>
      </c>
      <c r="C244" t="s">
        <v>31</v>
      </c>
      <c r="D244" s="1">
        <v>45567</v>
      </c>
      <c r="E244" s="1">
        <v>45572</v>
      </c>
      <c r="F244" t="s">
        <v>26</v>
      </c>
      <c r="G244">
        <v>3</v>
      </c>
      <c r="H244">
        <v>4308.28</v>
      </c>
      <c r="I244">
        <v>12924.84</v>
      </c>
      <c r="J244" t="s">
        <v>20</v>
      </c>
    </row>
    <row r="245" spans="1:10" x14ac:dyDescent="0.3">
      <c r="A245">
        <v>2243</v>
      </c>
      <c r="B245" t="s">
        <v>45</v>
      </c>
      <c r="C245" t="s">
        <v>15</v>
      </c>
      <c r="D245" s="1">
        <v>45473</v>
      </c>
      <c r="E245" s="1">
        <v>45476</v>
      </c>
      <c r="F245" t="s">
        <v>32</v>
      </c>
      <c r="G245">
        <v>6</v>
      </c>
      <c r="H245">
        <v>3438.85</v>
      </c>
      <c r="I245">
        <v>20633.099999999999</v>
      </c>
      <c r="J245" t="s">
        <v>13</v>
      </c>
    </row>
    <row r="246" spans="1:10" x14ac:dyDescent="0.3">
      <c r="A246">
        <v>2244</v>
      </c>
      <c r="B246" t="s">
        <v>30</v>
      </c>
      <c r="C246" t="s">
        <v>18</v>
      </c>
      <c r="D246" s="1">
        <v>45156</v>
      </c>
      <c r="E246" s="1">
        <v>45162</v>
      </c>
      <c r="F246" t="s">
        <v>32</v>
      </c>
      <c r="G246">
        <v>3</v>
      </c>
      <c r="H246">
        <v>3645.5</v>
      </c>
      <c r="I246">
        <v>10936.5</v>
      </c>
      <c r="J246" t="s">
        <v>13</v>
      </c>
    </row>
    <row r="247" spans="1:10" x14ac:dyDescent="0.3">
      <c r="A247">
        <v>2245</v>
      </c>
      <c r="B247" t="s">
        <v>46</v>
      </c>
      <c r="C247" t="s">
        <v>18</v>
      </c>
      <c r="D247" s="1">
        <v>45021</v>
      </c>
      <c r="E247" s="1">
        <v>45024</v>
      </c>
      <c r="F247" t="s">
        <v>19</v>
      </c>
      <c r="G247">
        <v>3</v>
      </c>
      <c r="H247">
        <v>1412.66</v>
      </c>
      <c r="I247">
        <v>4237.9799999999996</v>
      </c>
      <c r="J247" t="s">
        <v>20</v>
      </c>
    </row>
    <row r="248" spans="1:10" x14ac:dyDescent="0.3">
      <c r="A248">
        <v>2246</v>
      </c>
      <c r="B248" t="s">
        <v>21</v>
      </c>
      <c r="C248" t="s">
        <v>31</v>
      </c>
      <c r="D248" s="1">
        <v>45317</v>
      </c>
      <c r="E248" s="1">
        <v>45326</v>
      </c>
      <c r="F248" t="s">
        <v>32</v>
      </c>
      <c r="G248">
        <v>3</v>
      </c>
      <c r="H248">
        <v>3176.16</v>
      </c>
      <c r="I248">
        <v>9528.48</v>
      </c>
      <c r="J248" t="s">
        <v>13</v>
      </c>
    </row>
    <row r="249" spans="1:10" x14ac:dyDescent="0.3">
      <c r="A249">
        <v>2247</v>
      </c>
      <c r="B249" t="s">
        <v>49</v>
      </c>
      <c r="C249" t="s">
        <v>31</v>
      </c>
      <c r="D249" s="1">
        <v>45377</v>
      </c>
      <c r="E249" s="1">
        <v>45390</v>
      </c>
      <c r="F249" t="s">
        <v>28</v>
      </c>
      <c r="G249">
        <v>8</v>
      </c>
      <c r="H249">
        <v>2770.77</v>
      </c>
      <c r="I249">
        <v>22166.16</v>
      </c>
      <c r="J249" t="s">
        <v>20</v>
      </c>
    </row>
    <row r="250" spans="1:10" x14ac:dyDescent="0.3">
      <c r="A250">
        <v>2248</v>
      </c>
      <c r="B250" t="s">
        <v>27</v>
      </c>
      <c r="C250" t="s">
        <v>11</v>
      </c>
      <c r="D250" s="1">
        <v>44818</v>
      </c>
      <c r="E250" s="1">
        <v>44825</v>
      </c>
      <c r="F250" t="s">
        <v>28</v>
      </c>
      <c r="G250">
        <v>2</v>
      </c>
      <c r="H250">
        <v>2414.88</v>
      </c>
      <c r="I250">
        <v>4829.76</v>
      </c>
      <c r="J250" t="s">
        <v>20</v>
      </c>
    </row>
    <row r="251" spans="1:10" x14ac:dyDescent="0.3">
      <c r="A251">
        <v>2249</v>
      </c>
      <c r="B251" t="s">
        <v>37</v>
      </c>
      <c r="C251" t="s">
        <v>18</v>
      </c>
      <c r="D251" s="1">
        <v>44934</v>
      </c>
      <c r="E251" s="1">
        <v>44948</v>
      </c>
      <c r="F251" t="s">
        <v>19</v>
      </c>
      <c r="G251">
        <v>7</v>
      </c>
      <c r="H251">
        <v>2663.46</v>
      </c>
      <c r="I251">
        <v>18644.22</v>
      </c>
      <c r="J251" t="s">
        <v>13</v>
      </c>
    </row>
    <row r="252" spans="1:10" x14ac:dyDescent="0.3">
      <c r="A252">
        <v>2250</v>
      </c>
      <c r="B252" t="s">
        <v>23</v>
      </c>
      <c r="C252" t="s">
        <v>18</v>
      </c>
      <c r="D252" s="1">
        <v>44875</v>
      </c>
      <c r="E252" s="1">
        <v>44881</v>
      </c>
      <c r="F252" t="s">
        <v>19</v>
      </c>
      <c r="G252">
        <v>3</v>
      </c>
      <c r="H252">
        <v>1816.51</v>
      </c>
      <c r="I252">
        <v>5449.53</v>
      </c>
      <c r="J252" t="s">
        <v>13</v>
      </c>
    </row>
    <row r="253" spans="1:10" x14ac:dyDescent="0.3">
      <c r="A253">
        <v>2251</v>
      </c>
      <c r="B253" t="s">
        <v>46</v>
      </c>
      <c r="C253" t="s">
        <v>18</v>
      </c>
      <c r="D253" s="1">
        <v>45143</v>
      </c>
      <c r="E253" s="1">
        <v>45158</v>
      </c>
      <c r="F253" t="s">
        <v>26</v>
      </c>
      <c r="G253">
        <v>5</v>
      </c>
      <c r="H253">
        <v>1222.6199999999999</v>
      </c>
      <c r="I253">
        <v>6113.1</v>
      </c>
      <c r="J253" t="s">
        <v>20</v>
      </c>
    </row>
    <row r="254" spans="1:10" x14ac:dyDescent="0.3">
      <c r="A254">
        <v>2252</v>
      </c>
      <c r="B254" t="s">
        <v>37</v>
      </c>
      <c r="C254" t="s">
        <v>15</v>
      </c>
      <c r="D254" s="1">
        <v>45182</v>
      </c>
      <c r="E254" s="1">
        <v>45193</v>
      </c>
      <c r="F254" t="s">
        <v>36</v>
      </c>
      <c r="G254">
        <v>2</v>
      </c>
      <c r="H254">
        <v>2662.09</v>
      </c>
      <c r="I254">
        <v>5324.18</v>
      </c>
      <c r="J254" t="s">
        <v>13</v>
      </c>
    </row>
    <row r="255" spans="1:10" x14ac:dyDescent="0.3">
      <c r="A255">
        <v>2253</v>
      </c>
      <c r="B255" t="s">
        <v>27</v>
      </c>
      <c r="C255" t="s">
        <v>18</v>
      </c>
      <c r="D255" s="1">
        <v>44877</v>
      </c>
      <c r="E255" s="1">
        <v>44881</v>
      </c>
      <c r="F255" t="s">
        <v>28</v>
      </c>
      <c r="G255">
        <v>6</v>
      </c>
      <c r="H255">
        <v>4259.8900000000003</v>
      </c>
      <c r="I255">
        <v>25559.34</v>
      </c>
      <c r="J255" t="s">
        <v>13</v>
      </c>
    </row>
    <row r="256" spans="1:10" x14ac:dyDescent="0.3">
      <c r="A256">
        <v>2254</v>
      </c>
      <c r="B256" t="s">
        <v>21</v>
      </c>
      <c r="C256" t="s">
        <v>11</v>
      </c>
      <c r="D256" s="1">
        <v>44655</v>
      </c>
      <c r="E256" s="1">
        <v>44667</v>
      </c>
      <c r="F256" t="s">
        <v>32</v>
      </c>
      <c r="G256">
        <v>5</v>
      </c>
      <c r="H256">
        <v>3360.31</v>
      </c>
      <c r="I256">
        <v>16801.55</v>
      </c>
      <c r="J256" t="s">
        <v>20</v>
      </c>
    </row>
    <row r="257" spans="1:10" x14ac:dyDescent="0.3">
      <c r="A257">
        <v>2255</v>
      </c>
      <c r="B257" t="s">
        <v>42</v>
      </c>
      <c r="C257" t="s">
        <v>15</v>
      </c>
      <c r="D257" s="1">
        <v>44624</v>
      </c>
      <c r="E257" s="1">
        <v>44633</v>
      </c>
      <c r="F257" t="s">
        <v>28</v>
      </c>
      <c r="G257">
        <v>5</v>
      </c>
      <c r="H257">
        <v>3316.96</v>
      </c>
      <c r="I257">
        <v>16584.8</v>
      </c>
      <c r="J257" t="s">
        <v>20</v>
      </c>
    </row>
    <row r="258" spans="1:10" x14ac:dyDescent="0.3">
      <c r="A258">
        <v>2256</v>
      </c>
      <c r="B258" t="s">
        <v>41</v>
      </c>
      <c r="C258" t="s">
        <v>22</v>
      </c>
      <c r="D258" s="1">
        <v>45393</v>
      </c>
      <c r="E258" s="1">
        <v>45399</v>
      </c>
      <c r="F258" t="s">
        <v>16</v>
      </c>
      <c r="G258">
        <v>2</v>
      </c>
      <c r="H258">
        <v>3536.48</v>
      </c>
      <c r="I258">
        <v>7072.96</v>
      </c>
      <c r="J258" t="s">
        <v>13</v>
      </c>
    </row>
    <row r="259" spans="1:10" x14ac:dyDescent="0.3">
      <c r="A259">
        <v>2257</v>
      </c>
      <c r="B259" t="s">
        <v>38</v>
      </c>
      <c r="C259" t="s">
        <v>25</v>
      </c>
      <c r="D259" s="1">
        <v>45553</v>
      </c>
      <c r="E259" s="1">
        <v>45562</v>
      </c>
      <c r="F259" t="s">
        <v>19</v>
      </c>
      <c r="G259">
        <v>6</v>
      </c>
      <c r="H259">
        <v>3151.3</v>
      </c>
      <c r="I259">
        <v>18907.8</v>
      </c>
      <c r="J259" t="s">
        <v>20</v>
      </c>
    </row>
    <row r="260" spans="1:10" x14ac:dyDescent="0.3">
      <c r="A260">
        <v>2258</v>
      </c>
      <c r="B260" t="s">
        <v>48</v>
      </c>
      <c r="C260" t="s">
        <v>31</v>
      </c>
      <c r="D260" s="1">
        <v>45269</v>
      </c>
      <c r="E260" s="1">
        <v>45277</v>
      </c>
      <c r="F260" t="s">
        <v>19</v>
      </c>
      <c r="G260">
        <v>6</v>
      </c>
      <c r="H260">
        <v>2720.41</v>
      </c>
      <c r="I260">
        <v>16322.46</v>
      </c>
      <c r="J260" t="s">
        <v>13</v>
      </c>
    </row>
    <row r="261" spans="1:10" x14ac:dyDescent="0.3">
      <c r="A261">
        <v>2259</v>
      </c>
      <c r="B261" t="s">
        <v>47</v>
      </c>
      <c r="C261" t="s">
        <v>22</v>
      </c>
      <c r="D261" s="1">
        <v>45517</v>
      </c>
      <c r="E261" s="1">
        <v>45520</v>
      </c>
      <c r="F261" t="s">
        <v>12</v>
      </c>
      <c r="G261">
        <v>8</v>
      </c>
      <c r="H261">
        <v>1465.22</v>
      </c>
      <c r="I261">
        <v>11721.76</v>
      </c>
      <c r="J261" t="s">
        <v>13</v>
      </c>
    </row>
    <row r="262" spans="1:10" x14ac:dyDescent="0.3">
      <c r="A262">
        <v>2260</v>
      </c>
      <c r="B262" t="s">
        <v>40</v>
      </c>
      <c r="C262" t="s">
        <v>31</v>
      </c>
      <c r="D262" s="1">
        <v>45348</v>
      </c>
      <c r="E262" s="1">
        <v>45363</v>
      </c>
      <c r="F262" t="s">
        <v>36</v>
      </c>
      <c r="G262">
        <v>7</v>
      </c>
      <c r="H262">
        <v>1466.87</v>
      </c>
      <c r="I262">
        <v>10268.09</v>
      </c>
      <c r="J262" t="s">
        <v>13</v>
      </c>
    </row>
    <row r="263" spans="1:10" x14ac:dyDescent="0.3">
      <c r="A263">
        <v>2261</v>
      </c>
      <c r="B263" t="s">
        <v>47</v>
      </c>
      <c r="C263" t="s">
        <v>18</v>
      </c>
      <c r="D263" s="1">
        <v>45202</v>
      </c>
      <c r="E263" s="1">
        <v>45207</v>
      </c>
      <c r="F263" t="s">
        <v>32</v>
      </c>
      <c r="G263">
        <v>3</v>
      </c>
      <c r="H263">
        <v>2641.85</v>
      </c>
      <c r="I263">
        <v>7925.55</v>
      </c>
      <c r="J263" t="s">
        <v>20</v>
      </c>
    </row>
    <row r="264" spans="1:10" x14ac:dyDescent="0.3">
      <c r="A264">
        <v>2262</v>
      </c>
      <c r="B264" t="s">
        <v>41</v>
      </c>
      <c r="C264" t="s">
        <v>31</v>
      </c>
      <c r="D264" s="1">
        <v>45580</v>
      </c>
      <c r="E264" s="1">
        <v>45582</v>
      </c>
      <c r="F264" t="s">
        <v>26</v>
      </c>
      <c r="G264">
        <v>7</v>
      </c>
      <c r="H264">
        <v>2675.59</v>
      </c>
      <c r="I264">
        <v>18729.13</v>
      </c>
      <c r="J264" t="s">
        <v>13</v>
      </c>
    </row>
    <row r="265" spans="1:10" x14ac:dyDescent="0.3">
      <c r="A265">
        <v>2263</v>
      </c>
      <c r="B265" t="s">
        <v>29</v>
      </c>
      <c r="C265" t="s">
        <v>18</v>
      </c>
      <c r="D265" s="1">
        <v>45284</v>
      </c>
      <c r="E265" s="1">
        <v>45286</v>
      </c>
      <c r="F265" t="s">
        <v>26</v>
      </c>
      <c r="G265">
        <v>5</v>
      </c>
      <c r="H265">
        <v>2626</v>
      </c>
      <c r="I265">
        <v>13130</v>
      </c>
      <c r="J265" t="s">
        <v>20</v>
      </c>
    </row>
    <row r="266" spans="1:10" x14ac:dyDescent="0.3">
      <c r="A266">
        <v>2264</v>
      </c>
      <c r="B266" t="s">
        <v>43</v>
      </c>
      <c r="C266" t="s">
        <v>18</v>
      </c>
      <c r="D266" s="1">
        <v>44578</v>
      </c>
      <c r="E266" s="1">
        <v>44593</v>
      </c>
      <c r="F266" t="s">
        <v>26</v>
      </c>
      <c r="G266">
        <v>7</v>
      </c>
      <c r="H266">
        <v>929.49</v>
      </c>
      <c r="I266">
        <v>6506.43</v>
      </c>
      <c r="J266" t="s">
        <v>20</v>
      </c>
    </row>
    <row r="267" spans="1:10" x14ac:dyDescent="0.3">
      <c r="A267">
        <v>2265</v>
      </c>
      <c r="B267" t="s">
        <v>24</v>
      </c>
      <c r="C267" t="s">
        <v>31</v>
      </c>
      <c r="D267" s="1">
        <v>45387</v>
      </c>
      <c r="E267" s="1">
        <v>45394</v>
      </c>
      <c r="F267" t="s">
        <v>26</v>
      </c>
      <c r="G267">
        <v>7</v>
      </c>
      <c r="H267">
        <v>540.44000000000005</v>
      </c>
      <c r="I267">
        <v>3783.08</v>
      </c>
      <c r="J267" t="s">
        <v>13</v>
      </c>
    </row>
    <row r="268" spans="1:10" x14ac:dyDescent="0.3">
      <c r="A268">
        <v>2266</v>
      </c>
      <c r="B268" t="s">
        <v>46</v>
      </c>
      <c r="C268" t="s">
        <v>18</v>
      </c>
      <c r="D268" s="1">
        <v>45153</v>
      </c>
      <c r="E268" s="1">
        <v>45156</v>
      </c>
      <c r="F268" t="s">
        <v>16</v>
      </c>
      <c r="G268">
        <v>8</v>
      </c>
      <c r="H268">
        <v>3892.7</v>
      </c>
      <c r="I268">
        <v>31141.599999999999</v>
      </c>
      <c r="J268" t="s">
        <v>20</v>
      </c>
    </row>
    <row r="269" spans="1:10" x14ac:dyDescent="0.3">
      <c r="A269">
        <v>2267</v>
      </c>
      <c r="B269" t="s">
        <v>42</v>
      </c>
      <c r="C269" t="s">
        <v>15</v>
      </c>
      <c r="D269" s="1">
        <v>44805</v>
      </c>
      <c r="E269" s="1">
        <v>44809</v>
      </c>
      <c r="F269" t="s">
        <v>26</v>
      </c>
      <c r="G269">
        <v>7</v>
      </c>
      <c r="H269">
        <v>2054.0300000000002</v>
      </c>
      <c r="I269">
        <v>14378.21</v>
      </c>
      <c r="J269" t="s">
        <v>20</v>
      </c>
    </row>
    <row r="270" spans="1:10" x14ac:dyDescent="0.3">
      <c r="A270">
        <v>2268</v>
      </c>
      <c r="B270" t="s">
        <v>30</v>
      </c>
      <c r="C270" t="s">
        <v>31</v>
      </c>
      <c r="D270" s="1">
        <v>44857</v>
      </c>
      <c r="E270" s="1">
        <v>44862</v>
      </c>
      <c r="F270" t="s">
        <v>36</v>
      </c>
      <c r="G270">
        <v>7</v>
      </c>
      <c r="H270">
        <v>2650.37</v>
      </c>
      <c r="I270">
        <v>18552.59</v>
      </c>
      <c r="J270" t="s">
        <v>13</v>
      </c>
    </row>
    <row r="271" spans="1:10" x14ac:dyDescent="0.3">
      <c r="A271">
        <v>2269</v>
      </c>
      <c r="B271" t="s">
        <v>40</v>
      </c>
      <c r="C271" t="s">
        <v>22</v>
      </c>
      <c r="D271" s="1">
        <v>45244</v>
      </c>
      <c r="E271" s="1">
        <v>45258</v>
      </c>
      <c r="F271" t="s">
        <v>16</v>
      </c>
      <c r="G271">
        <v>8</v>
      </c>
      <c r="H271">
        <v>1000.02</v>
      </c>
      <c r="I271">
        <v>8000.16</v>
      </c>
      <c r="J271" t="s">
        <v>13</v>
      </c>
    </row>
    <row r="272" spans="1:10" x14ac:dyDescent="0.3">
      <c r="A272">
        <v>2270</v>
      </c>
      <c r="B272" t="s">
        <v>47</v>
      </c>
      <c r="C272" t="s">
        <v>18</v>
      </c>
      <c r="D272" s="1">
        <v>45214</v>
      </c>
      <c r="E272" s="1">
        <v>45218</v>
      </c>
      <c r="F272" t="s">
        <v>16</v>
      </c>
      <c r="G272">
        <v>5</v>
      </c>
      <c r="H272">
        <v>3090.51</v>
      </c>
      <c r="I272">
        <v>15452.55</v>
      </c>
      <c r="J272" t="s">
        <v>20</v>
      </c>
    </row>
    <row r="273" spans="1:10" x14ac:dyDescent="0.3">
      <c r="A273">
        <v>2271</v>
      </c>
      <c r="B273" t="s">
        <v>48</v>
      </c>
      <c r="C273" t="s">
        <v>18</v>
      </c>
      <c r="D273" s="1">
        <v>45175</v>
      </c>
      <c r="E273" s="1">
        <v>45184</v>
      </c>
      <c r="F273" t="s">
        <v>32</v>
      </c>
      <c r="G273">
        <v>1</v>
      </c>
      <c r="H273">
        <v>2031.28</v>
      </c>
      <c r="I273">
        <v>2031.28</v>
      </c>
      <c r="J273" t="s">
        <v>13</v>
      </c>
    </row>
    <row r="274" spans="1:10" x14ac:dyDescent="0.3">
      <c r="A274">
        <v>2272</v>
      </c>
      <c r="B274" t="s">
        <v>39</v>
      </c>
      <c r="C274" t="s">
        <v>18</v>
      </c>
      <c r="D274" s="1">
        <v>45192</v>
      </c>
      <c r="E274" s="1">
        <v>45206</v>
      </c>
      <c r="F274" t="s">
        <v>28</v>
      </c>
      <c r="G274">
        <v>1</v>
      </c>
      <c r="H274">
        <v>3105.48</v>
      </c>
      <c r="I274">
        <v>3105.48</v>
      </c>
      <c r="J274" t="s">
        <v>20</v>
      </c>
    </row>
    <row r="275" spans="1:10" x14ac:dyDescent="0.3">
      <c r="A275">
        <v>2273</v>
      </c>
      <c r="B275" t="s">
        <v>10</v>
      </c>
      <c r="C275" t="s">
        <v>18</v>
      </c>
      <c r="D275" s="1">
        <v>45028</v>
      </c>
      <c r="E275" s="1">
        <v>45041</v>
      </c>
      <c r="F275" t="s">
        <v>26</v>
      </c>
      <c r="G275">
        <v>8</v>
      </c>
      <c r="H275">
        <v>1101.4100000000001</v>
      </c>
      <c r="I275">
        <v>8811.2800000000007</v>
      </c>
      <c r="J275" t="s">
        <v>20</v>
      </c>
    </row>
    <row r="276" spans="1:10" x14ac:dyDescent="0.3">
      <c r="A276">
        <v>2274</v>
      </c>
      <c r="B276" t="s">
        <v>37</v>
      </c>
      <c r="C276" t="s">
        <v>15</v>
      </c>
      <c r="D276" s="1">
        <v>45058</v>
      </c>
      <c r="E276" s="1">
        <v>45060</v>
      </c>
      <c r="F276" t="s">
        <v>36</v>
      </c>
      <c r="G276">
        <v>2</v>
      </c>
      <c r="H276">
        <v>1196.69</v>
      </c>
      <c r="I276">
        <v>2393.38</v>
      </c>
      <c r="J276" t="s">
        <v>20</v>
      </c>
    </row>
    <row r="277" spans="1:10" x14ac:dyDescent="0.3">
      <c r="A277">
        <v>2275</v>
      </c>
      <c r="B277" t="s">
        <v>47</v>
      </c>
      <c r="C277" t="s">
        <v>25</v>
      </c>
      <c r="D277" s="1">
        <v>44872</v>
      </c>
      <c r="E277" s="1">
        <v>44880</v>
      </c>
      <c r="F277" t="s">
        <v>28</v>
      </c>
      <c r="G277">
        <v>4</v>
      </c>
      <c r="H277">
        <v>2228.77</v>
      </c>
      <c r="I277">
        <v>8915.08</v>
      </c>
      <c r="J277" t="s">
        <v>20</v>
      </c>
    </row>
    <row r="278" spans="1:10" x14ac:dyDescent="0.3">
      <c r="A278">
        <v>2276</v>
      </c>
      <c r="B278" t="s">
        <v>24</v>
      </c>
      <c r="C278" t="s">
        <v>15</v>
      </c>
      <c r="D278" s="1">
        <v>44689</v>
      </c>
      <c r="E278" s="1">
        <v>44702</v>
      </c>
      <c r="F278" t="s">
        <v>19</v>
      </c>
      <c r="G278">
        <v>4</v>
      </c>
      <c r="H278">
        <v>2936.17</v>
      </c>
      <c r="I278">
        <v>11744.68</v>
      </c>
      <c r="J278" t="s">
        <v>20</v>
      </c>
    </row>
    <row r="279" spans="1:10" x14ac:dyDescent="0.3">
      <c r="A279">
        <v>2277</v>
      </c>
      <c r="B279" t="s">
        <v>35</v>
      </c>
      <c r="C279" t="s">
        <v>25</v>
      </c>
      <c r="D279" s="1">
        <v>45204</v>
      </c>
      <c r="E279" s="1">
        <v>45208</v>
      </c>
      <c r="F279" t="s">
        <v>16</v>
      </c>
      <c r="G279">
        <v>6</v>
      </c>
      <c r="H279">
        <v>2867.48</v>
      </c>
      <c r="I279">
        <v>17204.88</v>
      </c>
      <c r="J279" t="s">
        <v>20</v>
      </c>
    </row>
    <row r="280" spans="1:10" x14ac:dyDescent="0.3">
      <c r="A280">
        <v>2278</v>
      </c>
      <c r="B280" t="s">
        <v>42</v>
      </c>
      <c r="C280" t="s">
        <v>25</v>
      </c>
      <c r="D280" s="1">
        <v>44955</v>
      </c>
      <c r="E280" s="1">
        <v>44960</v>
      </c>
      <c r="F280" t="s">
        <v>12</v>
      </c>
      <c r="G280">
        <v>5</v>
      </c>
      <c r="H280">
        <v>1356.88</v>
      </c>
      <c r="I280">
        <v>6784.4</v>
      </c>
      <c r="J280" t="s">
        <v>20</v>
      </c>
    </row>
    <row r="281" spans="1:10" x14ac:dyDescent="0.3">
      <c r="A281">
        <v>2279</v>
      </c>
      <c r="B281" t="s">
        <v>44</v>
      </c>
      <c r="C281" t="s">
        <v>31</v>
      </c>
      <c r="D281" s="1">
        <v>44986</v>
      </c>
      <c r="E281" s="1">
        <v>44999</v>
      </c>
      <c r="F281" t="s">
        <v>28</v>
      </c>
      <c r="G281">
        <v>8</v>
      </c>
      <c r="H281">
        <v>1790.09</v>
      </c>
      <c r="I281">
        <v>14320.72</v>
      </c>
      <c r="J281" t="s">
        <v>20</v>
      </c>
    </row>
    <row r="282" spans="1:10" x14ac:dyDescent="0.3">
      <c r="A282">
        <v>2280</v>
      </c>
      <c r="B282" t="s">
        <v>30</v>
      </c>
      <c r="C282" t="s">
        <v>15</v>
      </c>
      <c r="D282" s="1">
        <v>45122</v>
      </c>
      <c r="E282" s="1">
        <v>45128</v>
      </c>
      <c r="F282" t="s">
        <v>26</v>
      </c>
      <c r="G282">
        <v>7</v>
      </c>
      <c r="H282">
        <v>4510.07</v>
      </c>
      <c r="I282">
        <v>31570.49</v>
      </c>
      <c r="J282" t="s">
        <v>20</v>
      </c>
    </row>
    <row r="283" spans="1:10" x14ac:dyDescent="0.3">
      <c r="A283">
        <v>2281</v>
      </c>
      <c r="B283" t="s">
        <v>46</v>
      </c>
      <c r="C283" t="s">
        <v>22</v>
      </c>
      <c r="D283" s="1">
        <v>45156</v>
      </c>
      <c r="E283" s="1">
        <v>45158</v>
      </c>
      <c r="F283" t="s">
        <v>12</v>
      </c>
      <c r="G283">
        <v>2</v>
      </c>
      <c r="H283">
        <v>1927.91</v>
      </c>
      <c r="I283">
        <v>3855.82</v>
      </c>
      <c r="J283" t="s">
        <v>20</v>
      </c>
    </row>
    <row r="284" spans="1:10" x14ac:dyDescent="0.3">
      <c r="A284">
        <v>2282</v>
      </c>
      <c r="B284" t="s">
        <v>10</v>
      </c>
      <c r="C284" t="s">
        <v>31</v>
      </c>
      <c r="D284" s="1">
        <v>45543</v>
      </c>
      <c r="E284" s="1">
        <v>45548</v>
      </c>
      <c r="F284" t="s">
        <v>19</v>
      </c>
      <c r="G284">
        <v>5</v>
      </c>
      <c r="H284">
        <v>4685.21</v>
      </c>
      <c r="I284">
        <v>23426.05</v>
      </c>
      <c r="J284" t="s">
        <v>20</v>
      </c>
    </row>
    <row r="285" spans="1:10" x14ac:dyDescent="0.3">
      <c r="A285">
        <v>2283</v>
      </c>
      <c r="B285" t="s">
        <v>37</v>
      </c>
      <c r="C285" t="s">
        <v>11</v>
      </c>
      <c r="D285" s="1">
        <v>45052</v>
      </c>
      <c r="E285" s="1">
        <v>45057</v>
      </c>
      <c r="F285" t="s">
        <v>26</v>
      </c>
      <c r="G285">
        <v>4</v>
      </c>
      <c r="H285">
        <v>3298.34</v>
      </c>
      <c r="I285">
        <v>13193.36</v>
      </c>
      <c r="J285" t="s">
        <v>13</v>
      </c>
    </row>
    <row r="286" spans="1:10" x14ac:dyDescent="0.3">
      <c r="A286">
        <v>2284</v>
      </c>
      <c r="B286" t="s">
        <v>23</v>
      </c>
      <c r="C286" t="s">
        <v>25</v>
      </c>
      <c r="D286" s="1">
        <v>45238</v>
      </c>
      <c r="E286" s="1">
        <v>45251</v>
      </c>
      <c r="F286" t="s">
        <v>16</v>
      </c>
      <c r="G286">
        <v>2</v>
      </c>
      <c r="H286">
        <v>3501.6</v>
      </c>
      <c r="I286">
        <v>7003.2</v>
      </c>
      <c r="J286" t="s">
        <v>13</v>
      </c>
    </row>
    <row r="287" spans="1:10" x14ac:dyDescent="0.3">
      <c r="A287">
        <v>2285</v>
      </c>
      <c r="B287" t="s">
        <v>21</v>
      </c>
      <c r="C287" t="s">
        <v>18</v>
      </c>
      <c r="D287" s="1">
        <v>44885</v>
      </c>
      <c r="E287" s="1">
        <v>44893</v>
      </c>
      <c r="F287" t="s">
        <v>28</v>
      </c>
      <c r="G287">
        <v>8</v>
      </c>
      <c r="H287">
        <v>2544.0100000000002</v>
      </c>
      <c r="I287">
        <v>20352.080000000002</v>
      </c>
      <c r="J287" t="s">
        <v>13</v>
      </c>
    </row>
    <row r="288" spans="1:10" x14ac:dyDescent="0.3">
      <c r="A288">
        <v>2286</v>
      </c>
      <c r="B288" t="s">
        <v>44</v>
      </c>
      <c r="C288" t="s">
        <v>31</v>
      </c>
      <c r="D288" s="1">
        <v>45219</v>
      </c>
      <c r="E288" s="1">
        <v>45225</v>
      </c>
      <c r="F288" t="s">
        <v>28</v>
      </c>
      <c r="G288">
        <v>1</v>
      </c>
      <c r="H288">
        <v>4567.3</v>
      </c>
      <c r="I288">
        <v>4567.3</v>
      </c>
      <c r="J288" t="s">
        <v>13</v>
      </c>
    </row>
    <row r="289" spans="1:10" x14ac:dyDescent="0.3">
      <c r="A289">
        <v>2287</v>
      </c>
      <c r="B289" t="s">
        <v>10</v>
      </c>
      <c r="C289" t="s">
        <v>18</v>
      </c>
      <c r="D289" s="1">
        <v>45037</v>
      </c>
      <c r="E289" s="1">
        <v>45047</v>
      </c>
      <c r="F289" t="s">
        <v>28</v>
      </c>
      <c r="G289">
        <v>1</v>
      </c>
      <c r="H289">
        <v>4592.18</v>
      </c>
      <c r="I289">
        <v>4592.18</v>
      </c>
      <c r="J289" t="s">
        <v>13</v>
      </c>
    </row>
    <row r="290" spans="1:10" x14ac:dyDescent="0.3">
      <c r="A290">
        <v>2288</v>
      </c>
      <c r="B290" t="s">
        <v>39</v>
      </c>
      <c r="C290" t="s">
        <v>22</v>
      </c>
      <c r="D290" s="1">
        <v>44636</v>
      </c>
      <c r="E290" s="1">
        <v>44651</v>
      </c>
      <c r="F290" t="s">
        <v>16</v>
      </c>
      <c r="G290">
        <v>8</v>
      </c>
      <c r="H290">
        <v>1175.6600000000001</v>
      </c>
      <c r="I290">
        <v>9405.2800000000007</v>
      </c>
      <c r="J290" t="s">
        <v>20</v>
      </c>
    </row>
    <row r="291" spans="1:10" x14ac:dyDescent="0.3">
      <c r="A291">
        <v>2289</v>
      </c>
      <c r="B291" t="s">
        <v>40</v>
      </c>
      <c r="C291" t="s">
        <v>11</v>
      </c>
      <c r="D291" s="1">
        <v>45173</v>
      </c>
      <c r="E291" s="1">
        <v>45184</v>
      </c>
      <c r="F291" t="s">
        <v>36</v>
      </c>
      <c r="G291">
        <v>2</v>
      </c>
      <c r="H291">
        <v>4663.74</v>
      </c>
      <c r="I291">
        <v>9327.48</v>
      </c>
      <c r="J291" t="s">
        <v>20</v>
      </c>
    </row>
    <row r="292" spans="1:10" x14ac:dyDescent="0.3">
      <c r="A292">
        <v>2290</v>
      </c>
      <c r="B292" t="s">
        <v>43</v>
      </c>
      <c r="C292" t="s">
        <v>25</v>
      </c>
      <c r="D292" s="1">
        <v>45635</v>
      </c>
      <c r="E292" s="1">
        <v>45644</v>
      </c>
      <c r="F292" t="s">
        <v>19</v>
      </c>
      <c r="G292">
        <v>8</v>
      </c>
      <c r="H292">
        <v>1582.33</v>
      </c>
      <c r="I292">
        <v>12658.64</v>
      </c>
      <c r="J292" t="s">
        <v>13</v>
      </c>
    </row>
    <row r="293" spans="1:10" x14ac:dyDescent="0.3">
      <c r="A293">
        <v>2291</v>
      </c>
      <c r="B293" t="s">
        <v>47</v>
      </c>
      <c r="C293" t="s">
        <v>22</v>
      </c>
      <c r="D293" s="1">
        <v>45501</v>
      </c>
      <c r="E293" s="1">
        <v>45513</v>
      </c>
      <c r="F293" t="s">
        <v>12</v>
      </c>
      <c r="G293">
        <v>3</v>
      </c>
      <c r="H293">
        <v>366.2</v>
      </c>
      <c r="I293">
        <v>1098.5999999999999</v>
      </c>
      <c r="J293" t="s">
        <v>20</v>
      </c>
    </row>
    <row r="294" spans="1:10" x14ac:dyDescent="0.3">
      <c r="A294">
        <v>2292</v>
      </c>
      <c r="B294" t="s">
        <v>43</v>
      </c>
      <c r="C294" t="s">
        <v>18</v>
      </c>
      <c r="D294" s="1">
        <v>44957</v>
      </c>
      <c r="E294" s="1">
        <v>44961</v>
      </c>
      <c r="F294" t="s">
        <v>36</v>
      </c>
      <c r="G294">
        <v>7</v>
      </c>
      <c r="H294">
        <v>4186.8500000000004</v>
      </c>
      <c r="I294">
        <v>29307.95</v>
      </c>
      <c r="J294" t="s">
        <v>20</v>
      </c>
    </row>
    <row r="295" spans="1:10" x14ac:dyDescent="0.3">
      <c r="A295">
        <v>2293</v>
      </c>
      <c r="B295" t="s">
        <v>49</v>
      </c>
      <c r="C295" t="s">
        <v>25</v>
      </c>
      <c r="D295" s="1">
        <v>44757</v>
      </c>
      <c r="E295" s="1">
        <v>44761</v>
      </c>
      <c r="F295" t="s">
        <v>19</v>
      </c>
      <c r="G295">
        <v>8</v>
      </c>
      <c r="H295">
        <v>1820.93</v>
      </c>
      <c r="I295">
        <v>14567.44</v>
      </c>
      <c r="J295" t="s">
        <v>13</v>
      </c>
    </row>
    <row r="296" spans="1:10" x14ac:dyDescent="0.3">
      <c r="A296">
        <v>2294</v>
      </c>
      <c r="B296" t="s">
        <v>21</v>
      </c>
      <c r="C296" t="s">
        <v>31</v>
      </c>
      <c r="D296" s="1">
        <v>45347</v>
      </c>
      <c r="E296" s="1">
        <v>45352</v>
      </c>
      <c r="F296" t="s">
        <v>16</v>
      </c>
      <c r="G296">
        <v>5</v>
      </c>
      <c r="H296">
        <v>4783.96</v>
      </c>
      <c r="I296">
        <v>23919.8</v>
      </c>
      <c r="J296" t="s">
        <v>20</v>
      </c>
    </row>
    <row r="297" spans="1:10" x14ac:dyDescent="0.3">
      <c r="A297">
        <v>2295</v>
      </c>
      <c r="B297" t="s">
        <v>27</v>
      </c>
      <c r="C297" t="s">
        <v>15</v>
      </c>
      <c r="D297" s="1">
        <v>44585</v>
      </c>
      <c r="E297" s="1">
        <v>44591</v>
      </c>
      <c r="F297" t="s">
        <v>28</v>
      </c>
      <c r="G297">
        <v>6</v>
      </c>
      <c r="H297">
        <v>3556.01</v>
      </c>
      <c r="I297">
        <v>21336.06</v>
      </c>
      <c r="J297" t="s">
        <v>13</v>
      </c>
    </row>
    <row r="298" spans="1:10" x14ac:dyDescent="0.3">
      <c r="A298">
        <v>2296</v>
      </c>
      <c r="B298" t="s">
        <v>14</v>
      </c>
      <c r="C298" t="s">
        <v>11</v>
      </c>
      <c r="D298" s="1">
        <v>45515</v>
      </c>
      <c r="E298" s="1">
        <v>45521</v>
      </c>
      <c r="F298" t="s">
        <v>19</v>
      </c>
      <c r="G298">
        <v>7</v>
      </c>
      <c r="H298">
        <v>3524.55</v>
      </c>
      <c r="I298">
        <v>24671.85</v>
      </c>
      <c r="J298" t="s">
        <v>20</v>
      </c>
    </row>
    <row r="299" spans="1:10" x14ac:dyDescent="0.3">
      <c r="A299">
        <v>2297</v>
      </c>
      <c r="B299" t="s">
        <v>48</v>
      </c>
      <c r="C299" t="s">
        <v>11</v>
      </c>
      <c r="D299" s="1">
        <v>45166</v>
      </c>
      <c r="E299" s="1">
        <v>45173</v>
      </c>
      <c r="F299" t="s">
        <v>36</v>
      </c>
      <c r="G299">
        <v>4</v>
      </c>
      <c r="H299">
        <v>1329.9</v>
      </c>
      <c r="I299">
        <v>5319.6</v>
      </c>
      <c r="J299" t="s">
        <v>13</v>
      </c>
    </row>
    <row r="300" spans="1:10" x14ac:dyDescent="0.3">
      <c r="A300">
        <v>2298</v>
      </c>
      <c r="B300" t="s">
        <v>41</v>
      </c>
      <c r="C300" t="s">
        <v>22</v>
      </c>
      <c r="D300" s="1">
        <v>45493</v>
      </c>
      <c r="E300" s="1">
        <v>45506</v>
      </c>
      <c r="F300" t="s">
        <v>36</v>
      </c>
      <c r="G300">
        <v>6</v>
      </c>
      <c r="H300">
        <v>2254.4699999999998</v>
      </c>
      <c r="I300">
        <v>13526.82</v>
      </c>
      <c r="J300" t="s">
        <v>20</v>
      </c>
    </row>
    <row r="301" spans="1:10" x14ac:dyDescent="0.3">
      <c r="A301">
        <v>2299</v>
      </c>
      <c r="B301" t="s">
        <v>44</v>
      </c>
      <c r="C301" t="s">
        <v>18</v>
      </c>
      <c r="D301" s="1">
        <v>45009</v>
      </c>
      <c r="E301" s="1">
        <v>45023</v>
      </c>
      <c r="F301" t="s">
        <v>19</v>
      </c>
      <c r="G301">
        <v>2</v>
      </c>
      <c r="H301">
        <v>2769.88</v>
      </c>
      <c r="I301">
        <v>5539.76</v>
      </c>
      <c r="J301" t="s">
        <v>20</v>
      </c>
    </row>
    <row r="302" spans="1:10" x14ac:dyDescent="0.3">
      <c r="A302">
        <v>2300</v>
      </c>
      <c r="B302" t="s">
        <v>49</v>
      </c>
      <c r="C302" t="s">
        <v>18</v>
      </c>
      <c r="D302" s="1">
        <v>44791</v>
      </c>
      <c r="E302" s="1">
        <v>44793</v>
      </c>
      <c r="F302" t="s">
        <v>32</v>
      </c>
      <c r="G302">
        <v>4</v>
      </c>
      <c r="H302">
        <v>2991.7</v>
      </c>
      <c r="I302">
        <v>11966.8</v>
      </c>
      <c r="J302" t="s">
        <v>13</v>
      </c>
    </row>
    <row r="303" spans="1:10" x14ac:dyDescent="0.3">
      <c r="A303">
        <v>2301</v>
      </c>
      <c r="B303" t="s">
        <v>45</v>
      </c>
      <c r="C303" t="s">
        <v>31</v>
      </c>
      <c r="D303" s="1">
        <v>45627</v>
      </c>
      <c r="E303" s="1">
        <v>45636</v>
      </c>
      <c r="F303" t="s">
        <v>26</v>
      </c>
      <c r="G303">
        <v>4</v>
      </c>
      <c r="H303">
        <v>3669.51</v>
      </c>
      <c r="I303">
        <v>14678.04</v>
      </c>
      <c r="J303" t="s">
        <v>20</v>
      </c>
    </row>
    <row r="304" spans="1:10" x14ac:dyDescent="0.3">
      <c r="A304">
        <v>2302</v>
      </c>
      <c r="B304" t="s">
        <v>49</v>
      </c>
      <c r="C304" t="s">
        <v>18</v>
      </c>
      <c r="D304" s="1">
        <v>45474</v>
      </c>
      <c r="E304" s="1">
        <v>45488</v>
      </c>
      <c r="F304" t="s">
        <v>26</v>
      </c>
      <c r="G304">
        <v>8</v>
      </c>
      <c r="H304">
        <v>920.14</v>
      </c>
      <c r="I304">
        <v>7361.12</v>
      </c>
      <c r="J304" t="s">
        <v>20</v>
      </c>
    </row>
    <row r="305" spans="1:10" x14ac:dyDescent="0.3">
      <c r="A305">
        <v>2303</v>
      </c>
      <c r="B305" t="s">
        <v>38</v>
      </c>
      <c r="C305" t="s">
        <v>18</v>
      </c>
      <c r="D305" s="1">
        <v>44680</v>
      </c>
      <c r="E305" s="1">
        <v>44690</v>
      </c>
      <c r="F305" t="s">
        <v>16</v>
      </c>
      <c r="G305">
        <v>5</v>
      </c>
      <c r="H305">
        <v>3699.42</v>
      </c>
      <c r="I305">
        <v>18497.099999999999</v>
      </c>
      <c r="J305" t="s">
        <v>20</v>
      </c>
    </row>
    <row r="306" spans="1:10" x14ac:dyDescent="0.3">
      <c r="A306">
        <v>2304</v>
      </c>
      <c r="B306" t="s">
        <v>33</v>
      </c>
      <c r="C306" t="s">
        <v>11</v>
      </c>
      <c r="D306" s="1">
        <v>45008</v>
      </c>
      <c r="E306" s="1">
        <v>45019</v>
      </c>
      <c r="F306" t="s">
        <v>26</v>
      </c>
      <c r="G306">
        <v>1</v>
      </c>
      <c r="H306">
        <v>2291.38</v>
      </c>
      <c r="I306">
        <v>2291.38</v>
      </c>
      <c r="J306" t="s">
        <v>13</v>
      </c>
    </row>
    <row r="307" spans="1:10" x14ac:dyDescent="0.3">
      <c r="A307">
        <v>2305</v>
      </c>
      <c r="B307" t="s">
        <v>30</v>
      </c>
      <c r="C307" t="s">
        <v>11</v>
      </c>
      <c r="D307" s="1">
        <v>44703</v>
      </c>
      <c r="E307" s="1">
        <v>44712</v>
      </c>
      <c r="F307" t="s">
        <v>26</v>
      </c>
      <c r="G307">
        <v>5</v>
      </c>
      <c r="H307">
        <v>2221.67</v>
      </c>
      <c r="I307">
        <v>11108.35</v>
      </c>
      <c r="J307" t="s">
        <v>13</v>
      </c>
    </row>
    <row r="308" spans="1:10" x14ac:dyDescent="0.3">
      <c r="A308">
        <v>2306</v>
      </c>
      <c r="B308" t="s">
        <v>44</v>
      </c>
      <c r="C308" t="s">
        <v>15</v>
      </c>
      <c r="D308" s="1">
        <v>45422</v>
      </c>
      <c r="E308" s="1">
        <v>45429</v>
      </c>
      <c r="F308" t="s">
        <v>16</v>
      </c>
      <c r="G308">
        <v>8</v>
      </c>
      <c r="H308">
        <v>4387.22</v>
      </c>
      <c r="I308">
        <v>35097.760000000002</v>
      </c>
      <c r="J308" t="s">
        <v>20</v>
      </c>
    </row>
    <row r="309" spans="1:10" x14ac:dyDescent="0.3">
      <c r="A309">
        <v>2307</v>
      </c>
      <c r="B309" t="s">
        <v>34</v>
      </c>
      <c r="C309" t="s">
        <v>11</v>
      </c>
      <c r="D309" s="1">
        <v>44834</v>
      </c>
      <c r="E309" s="1">
        <v>44846</v>
      </c>
      <c r="F309" t="s">
        <v>32</v>
      </c>
      <c r="G309">
        <v>6</v>
      </c>
      <c r="H309">
        <v>857.58</v>
      </c>
      <c r="I309">
        <v>5145.4799999999996</v>
      </c>
      <c r="J309" t="s">
        <v>20</v>
      </c>
    </row>
    <row r="310" spans="1:10" x14ac:dyDescent="0.3">
      <c r="A310">
        <v>2308</v>
      </c>
      <c r="B310" t="s">
        <v>35</v>
      </c>
      <c r="C310" t="s">
        <v>22</v>
      </c>
      <c r="D310" s="1">
        <v>45018</v>
      </c>
      <c r="E310" s="1">
        <v>45033</v>
      </c>
      <c r="F310" t="s">
        <v>26</v>
      </c>
      <c r="G310">
        <v>1</v>
      </c>
      <c r="H310">
        <v>4898.91</v>
      </c>
      <c r="I310">
        <v>4898.91</v>
      </c>
      <c r="J310" t="s">
        <v>20</v>
      </c>
    </row>
    <row r="311" spans="1:10" x14ac:dyDescent="0.3">
      <c r="A311">
        <v>2309</v>
      </c>
      <c r="B311" t="s">
        <v>14</v>
      </c>
      <c r="C311" t="s">
        <v>15</v>
      </c>
      <c r="D311" s="1">
        <v>45430</v>
      </c>
      <c r="E311" s="1">
        <v>45440</v>
      </c>
      <c r="F311" t="s">
        <v>16</v>
      </c>
      <c r="G311">
        <v>4</v>
      </c>
      <c r="H311">
        <v>1463.31</v>
      </c>
      <c r="I311">
        <v>5853.24</v>
      </c>
      <c r="J311" t="s">
        <v>20</v>
      </c>
    </row>
    <row r="312" spans="1:10" x14ac:dyDescent="0.3">
      <c r="A312">
        <v>2310</v>
      </c>
      <c r="B312" t="s">
        <v>37</v>
      </c>
      <c r="C312" t="s">
        <v>31</v>
      </c>
      <c r="D312" s="1">
        <v>44948</v>
      </c>
      <c r="E312" s="1">
        <v>44961</v>
      </c>
      <c r="F312" t="s">
        <v>32</v>
      </c>
      <c r="G312">
        <v>2</v>
      </c>
      <c r="H312">
        <v>451.42</v>
      </c>
      <c r="I312">
        <v>902.84</v>
      </c>
      <c r="J312" t="s">
        <v>20</v>
      </c>
    </row>
    <row r="313" spans="1:10" x14ac:dyDescent="0.3">
      <c r="A313">
        <v>2311</v>
      </c>
      <c r="B313" t="s">
        <v>42</v>
      </c>
      <c r="C313" t="s">
        <v>11</v>
      </c>
      <c r="D313" s="1">
        <v>45054</v>
      </c>
      <c r="E313" s="1">
        <v>45059</v>
      </c>
      <c r="F313" t="s">
        <v>26</v>
      </c>
      <c r="G313">
        <v>2</v>
      </c>
      <c r="H313">
        <v>3091.54</v>
      </c>
      <c r="I313">
        <v>6183.08</v>
      </c>
      <c r="J313" t="s">
        <v>20</v>
      </c>
    </row>
    <row r="314" spans="1:10" x14ac:dyDescent="0.3">
      <c r="A314">
        <v>2312</v>
      </c>
      <c r="B314" t="s">
        <v>42</v>
      </c>
      <c r="C314" t="s">
        <v>15</v>
      </c>
      <c r="D314" s="1">
        <v>44661</v>
      </c>
      <c r="E314" s="1">
        <v>44666</v>
      </c>
      <c r="F314" t="s">
        <v>28</v>
      </c>
      <c r="G314">
        <v>1</v>
      </c>
      <c r="H314">
        <v>2190.65</v>
      </c>
      <c r="I314">
        <v>2190.65</v>
      </c>
      <c r="J314" t="s">
        <v>13</v>
      </c>
    </row>
    <row r="315" spans="1:10" x14ac:dyDescent="0.3">
      <c r="A315">
        <v>2313</v>
      </c>
      <c r="B315" t="s">
        <v>30</v>
      </c>
      <c r="C315" t="s">
        <v>22</v>
      </c>
      <c r="D315" s="1">
        <v>44677</v>
      </c>
      <c r="E315" s="1">
        <v>44681</v>
      </c>
      <c r="F315" t="s">
        <v>36</v>
      </c>
      <c r="G315">
        <v>5</v>
      </c>
      <c r="H315">
        <v>1400.56</v>
      </c>
      <c r="I315">
        <v>7002.8</v>
      </c>
      <c r="J315" t="s">
        <v>20</v>
      </c>
    </row>
    <row r="316" spans="1:10" x14ac:dyDescent="0.3">
      <c r="A316">
        <v>2314</v>
      </c>
      <c r="B316" t="s">
        <v>27</v>
      </c>
      <c r="C316" t="s">
        <v>18</v>
      </c>
      <c r="D316" s="1">
        <v>45218</v>
      </c>
      <c r="E316" s="1">
        <v>45223</v>
      </c>
      <c r="F316" t="s">
        <v>12</v>
      </c>
      <c r="G316">
        <v>3</v>
      </c>
      <c r="H316">
        <v>4932.7700000000004</v>
      </c>
      <c r="I316">
        <v>14798.31</v>
      </c>
      <c r="J316" t="s">
        <v>13</v>
      </c>
    </row>
    <row r="317" spans="1:10" x14ac:dyDescent="0.3">
      <c r="A317">
        <v>2315</v>
      </c>
      <c r="B317" t="s">
        <v>39</v>
      </c>
      <c r="C317" t="s">
        <v>31</v>
      </c>
      <c r="D317" s="1">
        <v>45125</v>
      </c>
      <c r="E317" s="1">
        <v>45127</v>
      </c>
      <c r="F317" t="s">
        <v>36</v>
      </c>
      <c r="G317">
        <v>3</v>
      </c>
      <c r="H317">
        <v>3242.17</v>
      </c>
      <c r="I317">
        <v>9726.51</v>
      </c>
      <c r="J317" t="s">
        <v>20</v>
      </c>
    </row>
    <row r="318" spans="1:10" x14ac:dyDescent="0.3">
      <c r="A318">
        <v>2316</v>
      </c>
      <c r="B318" t="s">
        <v>30</v>
      </c>
      <c r="C318" t="s">
        <v>25</v>
      </c>
      <c r="D318" s="1">
        <v>44658</v>
      </c>
      <c r="E318" s="1">
        <v>44665</v>
      </c>
      <c r="F318" t="s">
        <v>28</v>
      </c>
      <c r="G318">
        <v>7</v>
      </c>
      <c r="H318">
        <v>3993.28</v>
      </c>
      <c r="I318">
        <v>27952.959999999999</v>
      </c>
      <c r="J318" t="s">
        <v>20</v>
      </c>
    </row>
    <row r="319" spans="1:10" x14ac:dyDescent="0.3">
      <c r="A319">
        <v>2317</v>
      </c>
      <c r="B319" t="s">
        <v>48</v>
      </c>
      <c r="C319" t="s">
        <v>25</v>
      </c>
      <c r="D319" s="1">
        <v>45398</v>
      </c>
      <c r="E319" s="1">
        <v>45402</v>
      </c>
      <c r="F319" t="s">
        <v>12</v>
      </c>
      <c r="G319">
        <v>7</v>
      </c>
      <c r="H319">
        <v>1164.23</v>
      </c>
      <c r="I319">
        <v>8149.61</v>
      </c>
      <c r="J319" t="s">
        <v>20</v>
      </c>
    </row>
    <row r="320" spans="1:10" x14ac:dyDescent="0.3">
      <c r="A320">
        <v>2318</v>
      </c>
      <c r="B320" t="s">
        <v>17</v>
      </c>
      <c r="C320" t="s">
        <v>22</v>
      </c>
      <c r="D320" s="1">
        <v>45177</v>
      </c>
      <c r="E320" s="1">
        <v>45192</v>
      </c>
      <c r="F320" t="s">
        <v>28</v>
      </c>
      <c r="G320">
        <v>3</v>
      </c>
      <c r="H320">
        <v>4087.15</v>
      </c>
      <c r="I320">
        <v>12261.45</v>
      </c>
      <c r="J320" t="s">
        <v>13</v>
      </c>
    </row>
    <row r="321" spans="1:10" x14ac:dyDescent="0.3">
      <c r="A321">
        <v>2319</v>
      </c>
      <c r="B321" t="s">
        <v>30</v>
      </c>
      <c r="C321" t="s">
        <v>25</v>
      </c>
      <c r="D321" s="1">
        <v>45415</v>
      </c>
      <c r="E321" s="1">
        <v>45425</v>
      </c>
      <c r="F321" t="s">
        <v>36</v>
      </c>
      <c r="G321">
        <v>3</v>
      </c>
      <c r="H321">
        <v>2125.5700000000002</v>
      </c>
      <c r="I321">
        <v>6376.71</v>
      </c>
      <c r="J321" t="s">
        <v>20</v>
      </c>
    </row>
    <row r="322" spans="1:10" x14ac:dyDescent="0.3">
      <c r="A322">
        <v>2320</v>
      </c>
      <c r="B322" t="s">
        <v>29</v>
      </c>
      <c r="C322" t="s">
        <v>31</v>
      </c>
      <c r="D322" s="1">
        <v>44723</v>
      </c>
      <c r="E322" s="1">
        <v>44732</v>
      </c>
      <c r="F322" t="s">
        <v>32</v>
      </c>
      <c r="G322">
        <v>6</v>
      </c>
      <c r="H322">
        <v>734.58</v>
      </c>
      <c r="I322">
        <v>4407.4799999999996</v>
      </c>
      <c r="J322" t="s">
        <v>13</v>
      </c>
    </row>
    <row r="323" spans="1:10" x14ac:dyDescent="0.3">
      <c r="A323">
        <v>2321</v>
      </c>
      <c r="B323" t="s">
        <v>40</v>
      </c>
      <c r="C323" t="s">
        <v>31</v>
      </c>
      <c r="D323" s="1">
        <v>45334</v>
      </c>
      <c r="E323" s="1">
        <v>45346</v>
      </c>
      <c r="F323" t="s">
        <v>36</v>
      </c>
      <c r="G323">
        <v>1</v>
      </c>
      <c r="H323">
        <v>4406.0200000000004</v>
      </c>
      <c r="I323">
        <v>4406.0200000000004</v>
      </c>
      <c r="J323" t="s">
        <v>13</v>
      </c>
    </row>
    <row r="324" spans="1:10" x14ac:dyDescent="0.3">
      <c r="A324">
        <v>2322</v>
      </c>
      <c r="B324" t="s">
        <v>44</v>
      </c>
      <c r="C324" t="s">
        <v>18</v>
      </c>
      <c r="D324" s="1">
        <v>45006</v>
      </c>
      <c r="E324" s="1">
        <v>45015</v>
      </c>
      <c r="F324" t="s">
        <v>19</v>
      </c>
      <c r="G324">
        <v>6</v>
      </c>
      <c r="H324">
        <v>1724.98</v>
      </c>
      <c r="I324">
        <v>10349.879999999999</v>
      </c>
      <c r="J324" t="s">
        <v>13</v>
      </c>
    </row>
    <row r="325" spans="1:10" x14ac:dyDescent="0.3">
      <c r="A325">
        <v>2323</v>
      </c>
      <c r="B325" t="s">
        <v>29</v>
      </c>
      <c r="C325" t="s">
        <v>22</v>
      </c>
      <c r="D325" s="1">
        <v>44802</v>
      </c>
      <c r="E325" s="1">
        <v>44815</v>
      </c>
      <c r="F325" t="s">
        <v>32</v>
      </c>
      <c r="G325">
        <v>8</v>
      </c>
      <c r="H325">
        <v>4597.87</v>
      </c>
      <c r="I325">
        <v>36782.959999999999</v>
      </c>
      <c r="J325" t="s">
        <v>13</v>
      </c>
    </row>
    <row r="326" spans="1:10" x14ac:dyDescent="0.3">
      <c r="A326">
        <v>2324</v>
      </c>
      <c r="B326" t="s">
        <v>34</v>
      </c>
      <c r="C326" t="s">
        <v>22</v>
      </c>
      <c r="D326" s="1">
        <v>45220</v>
      </c>
      <c r="E326" s="1">
        <v>45234</v>
      </c>
      <c r="F326" t="s">
        <v>12</v>
      </c>
      <c r="G326">
        <v>7</v>
      </c>
      <c r="H326">
        <v>2491.38</v>
      </c>
      <c r="I326">
        <v>17439.66</v>
      </c>
      <c r="J326" t="s">
        <v>20</v>
      </c>
    </row>
    <row r="327" spans="1:10" x14ac:dyDescent="0.3">
      <c r="A327">
        <v>2325</v>
      </c>
      <c r="B327" t="s">
        <v>43</v>
      </c>
      <c r="C327" t="s">
        <v>31</v>
      </c>
      <c r="D327" s="1">
        <v>45298</v>
      </c>
      <c r="E327" s="1">
        <v>45308</v>
      </c>
      <c r="F327" t="s">
        <v>16</v>
      </c>
      <c r="G327">
        <v>8</v>
      </c>
      <c r="H327">
        <v>763.46</v>
      </c>
      <c r="I327">
        <v>6107.68</v>
      </c>
      <c r="J327" t="s">
        <v>20</v>
      </c>
    </row>
    <row r="328" spans="1:10" x14ac:dyDescent="0.3">
      <c r="A328">
        <v>2326</v>
      </c>
      <c r="B328" t="s">
        <v>44</v>
      </c>
      <c r="C328" t="s">
        <v>31</v>
      </c>
      <c r="D328" s="1">
        <v>44978</v>
      </c>
      <c r="E328" s="1">
        <v>44985</v>
      </c>
      <c r="F328" t="s">
        <v>12</v>
      </c>
      <c r="G328">
        <v>7</v>
      </c>
      <c r="H328">
        <v>514.86</v>
      </c>
      <c r="I328">
        <v>3604.02</v>
      </c>
      <c r="J328" t="s">
        <v>13</v>
      </c>
    </row>
    <row r="329" spans="1:10" x14ac:dyDescent="0.3">
      <c r="A329">
        <v>2327</v>
      </c>
      <c r="B329" t="s">
        <v>24</v>
      </c>
      <c r="C329" t="s">
        <v>22</v>
      </c>
      <c r="D329" s="1">
        <v>44595</v>
      </c>
      <c r="E329" s="1">
        <v>44601</v>
      </c>
      <c r="F329" t="s">
        <v>36</v>
      </c>
      <c r="G329">
        <v>7</v>
      </c>
      <c r="H329">
        <v>1687.4</v>
      </c>
      <c r="I329">
        <v>11811.8</v>
      </c>
      <c r="J329" t="s">
        <v>13</v>
      </c>
    </row>
    <row r="330" spans="1:10" x14ac:dyDescent="0.3">
      <c r="A330">
        <v>2328</v>
      </c>
      <c r="B330" t="s">
        <v>47</v>
      </c>
      <c r="C330" t="s">
        <v>22</v>
      </c>
      <c r="D330" s="1">
        <v>45339</v>
      </c>
      <c r="E330" s="1">
        <v>45350</v>
      </c>
      <c r="F330" t="s">
        <v>32</v>
      </c>
      <c r="G330">
        <v>4</v>
      </c>
      <c r="H330">
        <v>2646.72</v>
      </c>
      <c r="I330">
        <v>10586.88</v>
      </c>
      <c r="J330" t="s">
        <v>20</v>
      </c>
    </row>
    <row r="331" spans="1:10" x14ac:dyDescent="0.3">
      <c r="A331">
        <v>2329</v>
      </c>
      <c r="B331" t="s">
        <v>33</v>
      </c>
      <c r="C331" t="s">
        <v>25</v>
      </c>
      <c r="D331" s="1">
        <v>45566</v>
      </c>
      <c r="E331" s="1">
        <v>45575</v>
      </c>
      <c r="F331" t="s">
        <v>19</v>
      </c>
      <c r="G331">
        <v>6</v>
      </c>
      <c r="H331">
        <v>1095.55</v>
      </c>
      <c r="I331">
        <v>6573.3</v>
      </c>
      <c r="J331" t="s">
        <v>20</v>
      </c>
    </row>
    <row r="332" spans="1:10" x14ac:dyDescent="0.3">
      <c r="A332">
        <v>2330</v>
      </c>
      <c r="B332" t="s">
        <v>45</v>
      </c>
      <c r="C332" t="s">
        <v>18</v>
      </c>
      <c r="D332" s="1">
        <v>44682</v>
      </c>
      <c r="E332" s="1">
        <v>44692</v>
      </c>
      <c r="F332" t="s">
        <v>26</v>
      </c>
      <c r="G332">
        <v>2</v>
      </c>
      <c r="H332">
        <v>4742.38</v>
      </c>
      <c r="I332">
        <v>9484.76</v>
      </c>
      <c r="J332" t="s">
        <v>13</v>
      </c>
    </row>
    <row r="333" spans="1:10" x14ac:dyDescent="0.3">
      <c r="A333">
        <v>2331</v>
      </c>
      <c r="B333" t="s">
        <v>44</v>
      </c>
      <c r="C333" t="s">
        <v>11</v>
      </c>
      <c r="D333" s="1">
        <v>45406</v>
      </c>
      <c r="E333" s="1">
        <v>45410</v>
      </c>
      <c r="F333" t="s">
        <v>32</v>
      </c>
      <c r="G333">
        <v>4</v>
      </c>
      <c r="H333">
        <v>619.45000000000005</v>
      </c>
      <c r="I333">
        <v>2477.8000000000002</v>
      </c>
      <c r="J333" t="s">
        <v>13</v>
      </c>
    </row>
    <row r="334" spans="1:10" x14ac:dyDescent="0.3">
      <c r="A334">
        <v>2332</v>
      </c>
      <c r="B334" t="s">
        <v>21</v>
      </c>
      <c r="C334" t="s">
        <v>22</v>
      </c>
      <c r="D334" s="1">
        <v>45597</v>
      </c>
      <c r="E334" s="1">
        <v>45606</v>
      </c>
      <c r="F334" t="s">
        <v>12</v>
      </c>
      <c r="G334">
        <v>1</v>
      </c>
      <c r="H334">
        <v>3203.83</v>
      </c>
      <c r="I334">
        <v>3203.83</v>
      </c>
      <c r="J334" t="s">
        <v>20</v>
      </c>
    </row>
    <row r="335" spans="1:10" x14ac:dyDescent="0.3">
      <c r="A335">
        <v>2333</v>
      </c>
      <c r="B335" t="s">
        <v>14</v>
      </c>
      <c r="C335" t="s">
        <v>25</v>
      </c>
      <c r="D335" s="1">
        <v>44594</v>
      </c>
      <c r="E335" s="1">
        <v>44596</v>
      </c>
      <c r="F335" t="s">
        <v>36</v>
      </c>
      <c r="G335">
        <v>7</v>
      </c>
      <c r="H335">
        <v>355.7</v>
      </c>
      <c r="I335">
        <v>2489.9</v>
      </c>
      <c r="J335" t="s">
        <v>20</v>
      </c>
    </row>
    <row r="336" spans="1:10" x14ac:dyDescent="0.3">
      <c r="A336">
        <v>2334</v>
      </c>
      <c r="B336" t="s">
        <v>30</v>
      </c>
      <c r="C336" t="s">
        <v>31</v>
      </c>
      <c r="D336" s="1">
        <v>44597</v>
      </c>
      <c r="E336" s="1">
        <v>44607</v>
      </c>
      <c r="F336" t="s">
        <v>32</v>
      </c>
      <c r="G336">
        <v>7</v>
      </c>
      <c r="H336">
        <v>4088.99</v>
      </c>
      <c r="I336">
        <v>28622.93</v>
      </c>
      <c r="J336" t="s">
        <v>13</v>
      </c>
    </row>
    <row r="337" spans="1:10" x14ac:dyDescent="0.3">
      <c r="A337">
        <v>2335</v>
      </c>
      <c r="B337" t="s">
        <v>23</v>
      </c>
      <c r="C337" t="s">
        <v>11</v>
      </c>
      <c r="D337" s="1">
        <v>45635</v>
      </c>
      <c r="E337" s="1">
        <v>45639</v>
      </c>
      <c r="F337" t="s">
        <v>19</v>
      </c>
      <c r="G337">
        <v>4</v>
      </c>
      <c r="H337">
        <v>3212.97</v>
      </c>
      <c r="I337">
        <v>12851.88</v>
      </c>
      <c r="J337" t="s">
        <v>20</v>
      </c>
    </row>
    <row r="338" spans="1:10" x14ac:dyDescent="0.3">
      <c r="A338">
        <v>2336</v>
      </c>
      <c r="B338" t="s">
        <v>46</v>
      </c>
      <c r="C338" t="s">
        <v>31</v>
      </c>
      <c r="D338" s="1">
        <v>45374</v>
      </c>
      <c r="E338" s="1">
        <v>45377</v>
      </c>
      <c r="F338" t="s">
        <v>12</v>
      </c>
      <c r="G338">
        <v>7</v>
      </c>
      <c r="H338">
        <v>2457.29</v>
      </c>
      <c r="I338">
        <v>17201.03</v>
      </c>
      <c r="J338" t="s">
        <v>13</v>
      </c>
    </row>
    <row r="339" spans="1:10" x14ac:dyDescent="0.3">
      <c r="A339">
        <v>2337</v>
      </c>
      <c r="B339" t="s">
        <v>48</v>
      </c>
      <c r="C339" t="s">
        <v>22</v>
      </c>
      <c r="D339" s="1">
        <v>45176</v>
      </c>
      <c r="E339" s="1">
        <v>45188</v>
      </c>
      <c r="F339" t="s">
        <v>32</v>
      </c>
      <c r="G339">
        <v>2</v>
      </c>
      <c r="H339">
        <v>3372.56</v>
      </c>
      <c r="I339">
        <v>6745.12</v>
      </c>
      <c r="J339" t="s">
        <v>13</v>
      </c>
    </row>
    <row r="340" spans="1:10" x14ac:dyDescent="0.3">
      <c r="A340">
        <v>2338</v>
      </c>
      <c r="B340" t="s">
        <v>49</v>
      </c>
      <c r="C340" t="s">
        <v>25</v>
      </c>
      <c r="D340" s="1">
        <v>45338</v>
      </c>
      <c r="E340" s="1">
        <v>45346</v>
      </c>
      <c r="F340" t="s">
        <v>36</v>
      </c>
      <c r="G340">
        <v>8</v>
      </c>
      <c r="H340">
        <v>563.74</v>
      </c>
      <c r="I340">
        <v>4509.92</v>
      </c>
      <c r="J340" t="s">
        <v>13</v>
      </c>
    </row>
    <row r="341" spans="1:10" x14ac:dyDescent="0.3">
      <c r="A341">
        <v>2339</v>
      </c>
      <c r="B341" t="s">
        <v>48</v>
      </c>
      <c r="C341" t="s">
        <v>22</v>
      </c>
      <c r="D341" s="1">
        <v>44731</v>
      </c>
      <c r="E341" s="1">
        <v>44740</v>
      </c>
      <c r="F341" t="s">
        <v>32</v>
      </c>
      <c r="G341">
        <v>7</v>
      </c>
      <c r="H341">
        <v>3331.06</v>
      </c>
      <c r="I341">
        <v>23317.42</v>
      </c>
      <c r="J341" t="s">
        <v>20</v>
      </c>
    </row>
    <row r="342" spans="1:10" x14ac:dyDescent="0.3">
      <c r="A342">
        <v>2340</v>
      </c>
      <c r="B342" t="s">
        <v>27</v>
      </c>
      <c r="C342" t="s">
        <v>11</v>
      </c>
      <c r="D342" s="1">
        <v>45643</v>
      </c>
      <c r="E342" s="1">
        <v>45645</v>
      </c>
      <c r="F342" t="s">
        <v>19</v>
      </c>
      <c r="G342">
        <v>4</v>
      </c>
      <c r="H342">
        <v>4535.9799999999996</v>
      </c>
      <c r="I342">
        <v>18143.919999999998</v>
      </c>
      <c r="J342" t="s">
        <v>20</v>
      </c>
    </row>
    <row r="343" spans="1:10" x14ac:dyDescent="0.3">
      <c r="A343">
        <v>2341</v>
      </c>
      <c r="B343" t="s">
        <v>33</v>
      </c>
      <c r="C343" t="s">
        <v>11</v>
      </c>
      <c r="D343" s="1">
        <v>44714</v>
      </c>
      <c r="E343" s="1">
        <v>44726</v>
      </c>
      <c r="F343" t="s">
        <v>12</v>
      </c>
      <c r="G343">
        <v>1</v>
      </c>
      <c r="H343">
        <v>1142.97</v>
      </c>
      <c r="I343">
        <v>1142.97</v>
      </c>
      <c r="J343" t="s">
        <v>20</v>
      </c>
    </row>
    <row r="344" spans="1:10" x14ac:dyDescent="0.3">
      <c r="A344">
        <v>2342</v>
      </c>
      <c r="B344" t="s">
        <v>21</v>
      </c>
      <c r="C344" t="s">
        <v>22</v>
      </c>
      <c r="D344" s="1">
        <v>44857</v>
      </c>
      <c r="E344" s="1">
        <v>44871</v>
      </c>
      <c r="F344" t="s">
        <v>32</v>
      </c>
      <c r="G344">
        <v>7</v>
      </c>
      <c r="H344">
        <v>4665.71</v>
      </c>
      <c r="I344">
        <v>32659.97</v>
      </c>
      <c r="J344" t="s">
        <v>20</v>
      </c>
    </row>
    <row r="345" spans="1:10" x14ac:dyDescent="0.3">
      <c r="A345">
        <v>2343</v>
      </c>
      <c r="B345" t="s">
        <v>45</v>
      </c>
      <c r="C345" t="s">
        <v>18</v>
      </c>
      <c r="D345" s="1">
        <v>45054</v>
      </c>
      <c r="E345" s="1">
        <v>45065</v>
      </c>
      <c r="F345" t="s">
        <v>32</v>
      </c>
      <c r="G345">
        <v>7</v>
      </c>
      <c r="H345">
        <v>3482.06</v>
      </c>
      <c r="I345">
        <v>24374.42</v>
      </c>
      <c r="J345" t="s">
        <v>20</v>
      </c>
    </row>
    <row r="346" spans="1:10" x14ac:dyDescent="0.3">
      <c r="A346">
        <v>2344</v>
      </c>
      <c r="B346" t="s">
        <v>34</v>
      </c>
      <c r="C346" t="s">
        <v>15</v>
      </c>
      <c r="D346" s="1">
        <v>44848</v>
      </c>
      <c r="E346" s="1">
        <v>44862</v>
      </c>
      <c r="F346" t="s">
        <v>28</v>
      </c>
      <c r="G346">
        <v>2</v>
      </c>
      <c r="H346">
        <v>2653.73</v>
      </c>
      <c r="I346">
        <v>5307.46</v>
      </c>
      <c r="J346" t="s">
        <v>20</v>
      </c>
    </row>
    <row r="347" spans="1:10" x14ac:dyDescent="0.3">
      <c r="A347">
        <v>2345</v>
      </c>
      <c r="B347" t="s">
        <v>40</v>
      </c>
      <c r="C347" t="s">
        <v>11</v>
      </c>
      <c r="D347" s="1">
        <v>45457</v>
      </c>
      <c r="E347" s="1">
        <v>45462</v>
      </c>
      <c r="F347" t="s">
        <v>32</v>
      </c>
      <c r="G347">
        <v>2</v>
      </c>
      <c r="H347">
        <v>1900.79</v>
      </c>
      <c r="I347">
        <v>3801.58</v>
      </c>
      <c r="J347" t="s">
        <v>20</v>
      </c>
    </row>
    <row r="348" spans="1:10" x14ac:dyDescent="0.3">
      <c r="A348">
        <v>2346</v>
      </c>
      <c r="B348" t="s">
        <v>44</v>
      </c>
      <c r="C348" t="s">
        <v>31</v>
      </c>
      <c r="D348" s="1">
        <v>44622</v>
      </c>
      <c r="E348" s="1">
        <v>44634</v>
      </c>
      <c r="F348" t="s">
        <v>12</v>
      </c>
      <c r="G348">
        <v>8</v>
      </c>
      <c r="H348">
        <v>2605.84</v>
      </c>
      <c r="I348">
        <v>20846.72</v>
      </c>
      <c r="J348" t="s">
        <v>20</v>
      </c>
    </row>
    <row r="349" spans="1:10" x14ac:dyDescent="0.3">
      <c r="A349">
        <v>2347</v>
      </c>
      <c r="B349" t="s">
        <v>30</v>
      </c>
      <c r="C349" t="s">
        <v>25</v>
      </c>
      <c r="D349" s="1">
        <v>45446</v>
      </c>
      <c r="E349" s="1">
        <v>45450</v>
      </c>
      <c r="F349" t="s">
        <v>28</v>
      </c>
      <c r="G349">
        <v>7</v>
      </c>
      <c r="H349">
        <v>702.76</v>
      </c>
      <c r="I349">
        <v>4919.32</v>
      </c>
      <c r="J349" t="s">
        <v>20</v>
      </c>
    </row>
    <row r="350" spans="1:10" x14ac:dyDescent="0.3">
      <c r="A350">
        <v>2348</v>
      </c>
      <c r="B350" t="s">
        <v>17</v>
      </c>
      <c r="C350" t="s">
        <v>15</v>
      </c>
      <c r="D350" s="1">
        <v>44712</v>
      </c>
      <c r="E350" s="1">
        <v>44715</v>
      </c>
      <c r="F350" t="s">
        <v>12</v>
      </c>
      <c r="G350">
        <v>3</v>
      </c>
      <c r="H350">
        <v>2086</v>
      </c>
      <c r="I350">
        <v>6258</v>
      </c>
      <c r="J350" t="s">
        <v>13</v>
      </c>
    </row>
    <row r="351" spans="1:10" x14ac:dyDescent="0.3">
      <c r="A351">
        <v>2349</v>
      </c>
      <c r="B351" t="s">
        <v>24</v>
      </c>
      <c r="C351" t="s">
        <v>25</v>
      </c>
      <c r="D351" s="1">
        <v>45210</v>
      </c>
      <c r="E351" s="1">
        <v>45217</v>
      </c>
      <c r="F351" t="s">
        <v>26</v>
      </c>
      <c r="G351">
        <v>2</v>
      </c>
      <c r="H351">
        <v>324.42</v>
      </c>
      <c r="I351">
        <v>648.84</v>
      </c>
      <c r="J351" t="s">
        <v>20</v>
      </c>
    </row>
    <row r="352" spans="1:10" x14ac:dyDescent="0.3">
      <c r="A352">
        <v>2350</v>
      </c>
      <c r="B352" t="s">
        <v>38</v>
      </c>
      <c r="C352" t="s">
        <v>31</v>
      </c>
      <c r="D352" s="1">
        <v>45114</v>
      </c>
      <c r="E352" s="1">
        <v>45117</v>
      </c>
      <c r="F352" t="s">
        <v>19</v>
      </c>
      <c r="G352">
        <v>2</v>
      </c>
      <c r="H352">
        <v>1180.74</v>
      </c>
      <c r="I352">
        <v>2361.48</v>
      </c>
      <c r="J352" t="s">
        <v>20</v>
      </c>
    </row>
    <row r="353" spans="1:10" x14ac:dyDescent="0.3">
      <c r="A353">
        <v>2351</v>
      </c>
      <c r="B353" t="s">
        <v>30</v>
      </c>
      <c r="C353" t="s">
        <v>18</v>
      </c>
      <c r="D353" s="1">
        <v>45611</v>
      </c>
      <c r="E353" s="1">
        <v>45619</v>
      </c>
      <c r="F353" t="s">
        <v>26</v>
      </c>
      <c r="G353">
        <v>1</v>
      </c>
      <c r="H353">
        <v>721.21</v>
      </c>
      <c r="I353">
        <v>721.21</v>
      </c>
      <c r="J353" t="s">
        <v>13</v>
      </c>
    </row>
    <row r="354" spans="1:10" x14ac:dyDescent="0.3">
      <c r="A354">
        <v>2352</v>
      </c>
      <c r="B354" t="s">
        <v>42</v>
      </c>
      <c r="C354" t="s">
        <v>18</v>
      </c>
      <c r="D354" s="1">
        <v>45226</v>
      </c>
      <c r="E354" s="1">
        <v>45241</v>
      </c>
      <c r="F354" t="s">
        <v>16</v>
      </c>
      <c r="G354">
        <v>1</v>
      </c>
      <c r="H354">
        <v>1671.68</v>
      </c>
      <c r="I354">
        <v>1671.68</v>
      </c>
      <c r="J354" t="s">
        <v>20</v>
      </c>
    </row>
    <row r="355" spans="1:10" x14ac:dyDescent="0.3">
      <c r="A355">
        <v>2353</v>
      </c>
      <c r="B355" t="s">
        <v>44</v>
      </c>
      <c r="C355" t="s">
        <v>11</v>
      </c>
      <c r="D355" s="1">
        <v>45059</v>
      </c>
      <c r="E355" s="1">
        <v>45070</v>
      </c>
      <c r="F355" t="s">
        <v>36</v>
      </c>
      <c r="G355">
        <v>3</v>
      </c>
      <c r="H355">
        <v>3520.99</v>
      </c>
      <c r="I355">
        <v>10562.97</v>
      </c>
      <c r="J355" t="s">
        <v>13</v>
      </c>
    </row>
    <row r="356" spans="1:10" x14ac:dyDescent="0.3">
      <c r="A356">
        <v>2354</v>
      </c>
      <c r="B356" t="s">
        <v>37</v>
      </c>
      <c r="C356" t="s">
        <v>31</v>
      </c>
      <c r="D356" s="1">
        <v>45178</v>
      </c>
      <c r="E356" s="1">
        <v>45184</v>
      </c>
      <c r="F356" t="s">
        <v>16</v>
      </c>
      <c r="G356">
        <v>3</v>
      </c>
      <c r="H356">
        <v>597.36</v>
      </c>
      <c r="I356">
        <v>1792.08</v>
      </c>
      <c r="J356" t="s">
        <v>20</v>
      </c>
    </row>
    <row r="357" spans="1:10" x14ac:dyDescent="0.3">
      <c r="A357">
        <v>2355</v>
      </c>
      <c r="B357" t="s">
        <v>33</v>
      </c>
      <c r="C357" t="s">
        <v>25</v>
      </c>
      <c r="D357" s="1">
        <v>45175</v>
      </c>
      <c r="E357" s="1">
        <v>45184</v>
      </c>
      <c r="F357" t="s">
        <v>32</v>
      </c>
      <c r="G357">
        <v>2</v>
      </c>
      <c r="H357">
        <v>1997.29</v>
      </c>
      <c r="I357">
        <v>3994.58</v>
      </c>
      <c r="J357" t="s">
        <v>13</v>
      </c>
    </row>
    <row r="358" spans="1:10" x14ac:dyDescent="0.3">
      <c r="A358">
        <v>2356</v>
      </c>
      <c r="B358" t="s">
        <v>24</v>
      </c>
      <c r="C358" t="s">
        <v>15</v>
      </c>
      <c r="D358" s="1">
        <v>45577</v>
      </c>
      <c r="E358" s="1">
        <v>45588</v>
      </c>
      <c r="F358" t="s">
        <v>36</v>
      </c>
      <c r="G358">
        <v>4</v>
      </c>
      <c r="H358">
        <v>2451.9499999999998</v>
      </c>
      <c r="I358">
        <v>9807.7999999999993</v>
      </c>
      <c r="J358" t="s">
        <v>13</v>
      </c>
    </row>
    <row r="359" spans="1:10" x14ac:dyDescent="0.3">
      <c r="A359">
        <v>2357</v>
      </c>
      <c r="B359" t="s">
        <v>43</v>
      </c>
      <c r="C359" t="s">
        <v>11</v>
      </c>
      <c r="D359" s="1">
        <v>45372</v>
      </c>
      <c r="E359" s="1">
        <v>45379</v>
      </c>
      <c r="F359" t="s">
        <v>32</v>
      </c>
      <c r="G359">
        <v>7</v>
      </c>
      <c r="H359">
        <v>4079.16</v>
      </c>
      <c r="I359">
        <v>28554.12</v>
      </c>
      <c r="J359" t="s">
        <v>20</v>
      </c>
    </row>
    <row r="360" spans="1:10" x14ac:dyDescent="0.3">
      <c r="A360">
        <v>2358</v>
      </c>
      <c r="B360" t="s">
        <v>38</v>
      </c>
      <c r="C360" t="s">
        <v>31</v>
      </c>
      <c r="D360" s="1">
        <v>45443</v>
      </c>
      <c r="E360" s="1">
        <v>45458</v>
      </c>
      <c r="F360" t="s">
        <v>32</v>
      </c>
      <c r="G360">
        <v>3</v>
      </c>
      <c r="H360">
        <v>1712.05</v>
      </c>
      <c r="I360">
        <v>5136.1499999999996</v>
      </c>
      <c r="J360" t="s">
        <v>13</v>
      </c>
    </row>
    <row r="361" spans="1:10" x14ac:dyDescent="0.3">
      <c r="A361">
        <v>2359</v>
      </c>
      <c r="B361" t="s">
        <v>41</v>
      </c>
      <c r="C361" t="s">
        <v>31</v>
      </c>
      <c r="D361" s="1">
        <v>44925</v>
      </c>
      <c r="E361" s="1">
        <v>44933</v>
      </c>
      <c r="F361" t="s">
        <v>12</v>
      </c>
      <c r="G361">
        <v>5</v>
      </c>
      <c r="H361">
        <v>3753.91</v>
      </c>
      <c r="I361">
        <v>18769.55</v>
      </c>
      <c r="J361" t="s">
        <v>20</v>
      </c>
    </row>
    <row r="362" spans="1:10" x14ac:dyDescent="0.3">
      <c r="A362">
        <v>2360</v>
      </c>
      <c r="B362" t="s">
        <v>27</v>
      </c>
      <c r="C362" t="s">
        <v>22</v>
      </c>
      <c r="D362" s="1">
        <v>45229</v>
      </c>
      <c r="E362" s="1">
        <v>45237</v>
      </c>
      <c r="F362" t="s">
        <v>12</v>
      </c>
      <c r="G362">
        <v>7</v>
      </c>
      <c r="H362">
        <v>2015.57</v>
      </c>
      <c r="I362">
        <v>14108.99</v>
      </c>
      <c r="J362" t="s">
        <v>13</v>
      </c>
    </row>
    <row r="363" spans="1:10" x14ac:dyDescent="0.3">
      <c r="A363">
        <v>2361</v>
      </c>
      <c r="B363" t="s">
        <v>27</v>
      </c>
      <c r="C363" t="s">
        <v>18</v>
      </c>
      <c r="D363" s="1">
        <v>44930</v>
      </c>
      <c r="E363" s="1">
        <v>44942</v>
      </c>
      <c r="F363" t="s">
        <v>32</v>
      </c>
      <c r="G363">
        <v>1</v>
      </c>
      <c r="H363">
        <v>4779.12</v>
      </c>
      <c r="I363">
        <v>4779.12</v>
      </c>
      <c r="J363" t="s">
        <v>20</v>
      </c>
    </row>
    <row r="364" spans="1:10" x14ac:dyDescent="0.3">
      <c r="A364">
        <v>2362</v>
      </c>
      <c r="B364" t="s">
        <v>48</v>
      </c>
      <c r="C364" t="s">
        <v>22</v>
      </c>
      <c r="D364" s="1">
        <v>45459</v>
      </c>
      <c r="E364" s="1">
        <v>45473</v>
      </c>
      <c r="F364" t="s">
        <v>12</v>
      </c>
      <c r="G364">
        <v>2</v>
      </c>
      <c r="H364">
        <v>4149.1400000000003</v>
      </c>
      <c r="I364">
        <v>8298.2800000000007</v>
      </c>
      <c r="J364" t="s">
        <v>20</v>
      </c>
    </row>
    <row r="365" spans="1:10" x14ac:dyDescent="0.3">
      <c r="A365">
        <v>2363</v>
      </c>
      <c r="B365" t="s">
        <v>14</v>
      </c>
      <c r="C365" t="s">
        <v>25</v>
      </c>
      <c r="D365" s="1">
        <v>44847</v>
      </c>
      <c r="E365" s="1">
        <v>44859</v>
      </c>
      <c r="F365" t="s">
        <v>12</v>
      </c>
      <c r="G365">
        <v>4</v>
      </c>
      <c r="H365">
        <v>1487.6</v>
      </c>
      <c r="I365">
        <v>5950.4</v>
      </c>
      <c r="J365" t="s">
        <v>13</v>
      </c>
    </row>
    <row r="366" spans="1:10" x14ac:dyDescent="0.3">
      <c r="A366">
        <v>2364</v>
      </c>
      <c r="B366" t="s">
        <v>48</v>
      </c>
      <c r="C366" t="s">
        <v>25</v>
      </c>
      <c r="D366" s="1">
        <v>45334</v>
      </c>
      <c r="E366" s="1">
        <v>45337</v>
      </c>
      <c r="F366" t="s">
        <v>16</v>
      </c>
      <c r="G366">
        <v>8</v>
      </c>
      <c r="H366">
        <v>3036.55</v>
      </c>
      <c r="I366">
        <v>24292.400000000001</v>
      </c>
      <c r="J366" t="s">
        <v>20</v>
      </c>
    </row>
    <row r="367" spans="1:10" x14ac:dyDescent="0.3">
      <c r="A367">
        <v>2365</v>
      </c>
      <c r="B367" t="s">
        <v>30</v>
      </c>
      <c r="C367" t="s">
        <v>11</v>
      </c>
      <c r="D367" s="1">
        <v>45298</v>
      </c>
      <c r="E367" s="1">
        <v>45311</v>
      </c>
      <c r="F367" t="s">
        <v>32</v>
      </c>
      <c r="G367">
        <v>2</v>
      </c>
      <c r="H367">
        <v>814.04</v>
      </c>
      <c r="I367">
        <v>1628.08</v>
      </c>
      <c r="J367" t="s">
        <v>13</v>
      </c>
    </row>
    <row r="368" spans="1:10" x14ac:dyDescent="0.3">
      <c r="A368">
        <v>2366</v>
      </c>
      <c r="B368" t="s">
        <v>14</v>
      </c>
      <c r="C368" t="s">
        <v>15</v>
      </c>
      <c r="D368" s="1">
        <v>45289</v>
      </c>
      <c r="E368" s="1">
        <v>45293</v>
      </c>
      <c r="F368" t="s">
        <v>28</v>
      </c>
      <c r="G368">
        <v>1</v>
      </c>
      <c r="H368">
        <v>2947.14</v>
      </c>
      <c r="I368">
        <v>2947.14</v>
      </c>
      <c r="J368" t="s">
        <v>20</v>
      </c>
    </row>
    <row r="369" spans="1:10" x14ac:dyDescent="0.3">
      <c r="A369">
        <v>2367</v>
      </c>
      <c r="B369" t="s">
        <v>44</v>
      </c>
      <c r="C369" t="s">
        <v>31</v>
      </c>
      <c r="D369" s="1">
        <v>45443</v>
      </c>
      <c r="E369" s="1">
        <v>45446</v>
      </c>
      <c r="F369" t="s">
        <v>26</v>
      </c>
      <c r="G369">
        <v>2</v>
      </c>
      <c r="H369">
        <v>1516.07</v>
      </c>
      <c r="I369">
        <v>3032.14</v>
      </c>
      <c r="J369" t="s">
        <v>13</v>
      </c>
    </row>
    <row r="370" spans="1:10" x14ac:dyDescent="0.3">
      <c r="A370">
        <v>2368</v>
      </c>
      <c r="B370" t="s">
        <v>38</v>
      </c>
      <c r="C370" t="s">
        <v>31</v>
      </c>
      <c r="D370" s="1">
        <v>45363</v>
      </c>
      <c r="E370" s="1">
        <v>45372</v>
      </c>
      <c r="F370" t="s">
        <v>32</v>
      </c>
      <c r="G370">
        <v>3</v>
      </c>
      <c r="H370">
        <v>1921.35</v>
      </c>
      <c r="I370">
        <v>5764.05</v>
      </c>
      <c r="J370" t="s">
        <v>13</v>
      </c>
    </row>
    <row r="371" spans="1:10" x14ac:dyDescent="0.3">
      <c r="A371">
        <v>2369</v>
      </c>
      <c r="B371" t="s">
        <v>41</v>
      </c>
      <c r="C371" t="s">
        <v>11</v>
      </c>
      <c r="D371" s="1">
        <v>45167</v>
      </c>
      <c r="E371" s="1">
        <v>45175</v>
      </c>
      <c r="F371" t="s">
        <v>26</v>
      </c>
      <c r="G371">
        <v>2</v>
      </c>
      <c r="H371">
        <v>4207.1899999999996</v>
      </c>
      <c r="I371">
        <v>8414.3799999999992</v>
      </c>
      <c r="J371" t="s">
        <v>13</v>
      </c>
    </row>
    <row r="372" spans="1:10" x14ac:dyDescent="0.3">
      <c r="A372">
        <v>2370</v>
      </c>
      <c r="B372" t="s">
        <v>46</v>
      </c>
      <c r="C372" t="s">
        <v>31</v>
      </c>
      <c r="D372" s="1">
        <v>45264</v>
      </c>
      <c r="E372" s="1">
        <v>45273</v>
      </c>
      <c r="F372" t="s">
        <v>32</v>
      </c>
      <c r="G372">
        <v>4</v>
      </c>
      <c r="H372">
        <v>2749.24</v>
      </c>
      <c r="I372">
        <v>10996.96</v>
      </c>
      <c r="J372" t="s">
        <v>20</v>
      </c>
    </row>
    <row r="373" spans="1:10" x14ac:dyDescent="0.3">
      <c r="A373">
        <v>2371</v>
      </c>
      <c r="B373" t="s">
        <v>41</v>
      </c>
      <c r="C373" t="s">
        <v>11</v>
      </c>
      <c r="D373" s="1">
        <v>45459</v>
      </c>
      <c r="E373" s="1">
        <v>45472</v>
      </c>
      <c r="F373" t="s">
        <v>28</v>
      </c>
      <c r="G373">
        <v>8</v>
      </c>
      <c r="H373">
        <v>1798.87</v>
      </c>
      <c r="I373">
        <v>14390.96</v>
      </c>
      <c r="J373" t="s">
        <v>20</v>
      </c>
    </row>
    <row r="374" spans="1:10" x14ac:dyDescent="0.3">
      <c r="A374">
        <v>2372</v>
      </c>
      <c r="B374" t="s">
        <v>40</v>
      </c>
      <c r="C374" t="s">
        <v>15</v>
      </c>
      <c r="D374" s="1">
        <v>44797</v>
      </c>
      <c r="E374" s="1">
        <v>44799</v>
      </c>
      <c r="F374" t="s">
        <v>32</v>
      </c>
      <c r="G374">
        <v>6</v>
      </c>
      <c r="H374">
        <v>3345.46</v>
      </c>
      <c r="I374">
        <v>20072.759999999998</v>
      </c>
      <c r="J374" t="s">
        <v>13</v>
      </c>
    </row>
    <row r="375" spans="1:10" x14ac:dyDescent="0.3">
      <c r="A375">
        <v>2373</v>
      </c>
      <c r="B375" t="s">
        <v>24</v>
      </c>
      <c r="C375" t="s">
        <v>22</v>
      </c>
      <c r="D375" s="1">
        <v>45618</v>
      </c>
      <c r="E375" s="1">
        <v>45622</v>
      </c>
      <c r="F375" t="s">
        <v>36</v>
      </c>
      <c r="G375">
        <v>3</v>
      </c>
      <c r="H375">
        <v>1855.65</v>
      </c>
      <c r="I375">
        <v>5566.95</v>
      </c>
      <c r="J375" t="s">
        <v>20</v>
      </c>
    </row>
    <row r="376" spans="1:10" x14ac:dyDescent="0.3">
      <c r="A376">
        <v>2374</v>
      </c>
      <c r="B376" t="s">
        <v>38</v>
      </c>
      <c r="C376" t="s">
        <v>22</v>
      </c>
      <c r="D376" s="1">
        <v>45391</v>
      </c>
      <c r="E376" s="1">
        <v>45403</v>
      </c>
      <c r="F376" t="s">
        <v>19</v>
      </c>
      <c r="G376">
        <v>3</v>
      </c>
      <c r="H376">
        <v>3310.25</v>
      </c>
      <c r="I376">
        <v>9930.75</v>
      </c>
      <c r="J376" t="s">
        <v>20</v>
      </c>
    </row>
    <row r="377" spans="1:10" x14ac:dyDescent="0.3">
      <c r="A377">
        <v>2375</v>
      </c>
      <c r="B377" t="s">
        <v>34</v>
      </c>
      <c r="C377" t="s">
        <v>11</v>
      </c>
      <c r="D377" s="1">
        <v>44966</v>
      </c>
      <c r="E377" s="1">
        <v>44975</v>
      </c>
      <c r="F377" t="s">
        <v>36</v>
      </c>
      <c r="G377">
        <v>7</v>
      </c>
      <c r="H377">
        <v>2127.5300000000002</v>
      </c>
      <c r="I377">
        <v>14892.71</v>
      </c>
      <c r="J377" t="s">
        <v>13</v>
      </c>
    </row>
    <row r="378" spans="1:10" x14ac:dyDescent="0.3">
      <c r="A378">
        <v>2376</v>
      </c>
      <c r="B378" t="s">
        <v>29</v>
      </c>
      <c r="C378" t="s">
        <v>31</v>
      </c>
      <c r="D378" s="1">
        <v>44690</v>
      </c>
      <c r="E378" s="1">
        <v>44701</v>
      </c>
      <c r="F378" t="s">
        <v>26</v>
      </c>
      <c r="G378">
        <v>3</v>
      </c>
      <c r="H378">
        <v>2019.23</v>
      </c>
      <c r="I378">
        <v>6057.69</v>
      </c>
      <c r="J378" t="s">
        <v>13</v>
      </c>
    </row>
    <row r="379" spans="1:10" x14ac:dyDescent="0.3">
      <c r="A379">
        <v>2377</v>
      </c>
      <c r="B379" t="s">
        <v>38</v>
      </c>
      <c r="C379" t="s">
        <v>11</v>
      </c>
      <c r="D379" s="1">
        <v>45099</v>
      </c>
      <c r="E379" s="1">
        <v>45111</v>
      </c>
      <c r="F379" t="s">
        <v>32</v>
      </c>
      <c r="G379">
        <v>8</v>
      </c>
      <c r="H379">
        <v>2780.26</v>
      </c>
      <c r="I379">
        <v>22242.080000000002</v>
      </c>
      <c r="J379" t="s">
        <v>20</v>
      </c>
    </row>
    <row r="380" spans="1:10" x14ac:dyDescent="0.3">
      <c r="A380">
        <v>2378</v>
      </c>
      <c r="B380" t="s">
        <v>42</v>
      </c>
      <c r="C380" t="s">
        <v>25</v>
      </c>
      <c r="D380" s="1">
        <v>45365</v>
      </c>
      <c r="E380" s="1">
        <v>45376</v>
      </c>
      <c r="F380" t="s">
        <v>26</v>
      </c>
      <c r="G380">
        <v>6</v>
      </c>
      <c r="H380">
        <v>1954.33</v>
      </c>
      <c r="I380">
        <v>11725.98</v>
      </c>
      <c r="J380" t="s">
        <v>20</v>
      </c>
    </row>
    <row r="381" spans="1:10" x14ac:dyDescent="0.3">
      <c r="A381">
        <v>2379</v>
      </c>
      <c r="B381" t="s">
        <v>42</v>
      </c>
      <c r="C381" t="s">
        <v>22</v>
      </c>
      <c r="D381" s="1">
        <v>45171</v>
      </c>
      <c r="E381" s="1">
        <v>45182</v>
      </c>
      <c r="F381" t="s">
        <v>36</v>
      </c>
      <c r="G381">
        <v>2</v>
      </c>
      <c r="H381">
        <v>3458.92</v>
      </c>
      <c r="I381">
        <v>6917.84</v>
      </c>
      <c r="J381" t="s">
        <v>20</v>
      </c>
    </row>
    <row r="382" spans="1:10" x14ac:dyDescent="0.3">
      <c r="A382">
        <v>2380</v>
      </c>
      <c r="B382" t="s">
        <v>23</v>
      </c>
      <c r="C382" t="s">
        <v>22</v>
      </c>
      <c r="D382" s="1">
        <v>45187</v>
      </c>
      <c r="E382" s="1">
        <v>45190</v>
      </c>
      <c r="F382" t="s">
        <v>19</v>
      </c>
      <c r="G382">
        <v>6</v>
      </c>
      <c r="H382">
        <v>3559.15</v>
      </c>
      <c r="I382">
        <v>21354.9</v>
      </c>
      <c r="J382" t="s">
        <v>20</v>
      </c>
    </row>
    <row r="383" spans="1:10" x14ac:dyDescent="0.3">
      <c r="A383">
        <v>2381</v>
      </c>
      <c r="B383" t="s">
        <v>39</v>
      </c>
      <c r="C383" t="s">
        <v>18</v>
      </c>
      <c r="D383" s="1">
        <v>44844</v>
      </c>
      <c r="E383" s="1">
        <v>44855</v>
      </c>
      <c r="F383" t="s">
        <v>16</v>
      </c>
      <c r="G383">
        <v>7</v>
      </c>
      <c r="H383">
        <v>1173.04</v>
      </c>
      <c r="I383">
        <v>8211.2800000000007</v>
      </c>
      <c r="J383" t="s">
        <v>13</v>
      </c>
    </row>
    <row r="384" spans="1:10" x14ac:dyDescent="0.3">
      <c r="A384">
        <v>2382</v>
      </c>
      <c r="B384" t="s">
        <v>30</v>
      </c>
      <c r="C384" t="s">
        <v>22</v>
      </c>
      <c r="D384" s="1">
        <v>45564</v>
      </c>
      <c r="E384" s="1">
        <v>45570</v>
      </c>
      <c r="F384" t="s">
        <v>19</v>
      </c>
      <c r="G384">
        <v>3</v>
      </c>
      <c r="H384">
        <v>1778.53</v>
      </c>
      <c r="I384">
        <v>5335.59</v>
      </c>
      <c r="J384" t="s">
        <v>20</v>
      </c>
    </row>
    <row r="385" spans="1:10" x14ac:dyDescent="0.3">
      <c r="A385">
        <v>2383</v>
      </c>
      <c r="B385" t="s">
        <v>42</v>
      </c>
      <c r="C385" t="s">
        <v>11</v>
      </c>
      <c r="D385" s="1">
        <v>45297</v>
      </c>
      <c r="E385" s="1">
        <v>45299</v>
      </c>
      <c r="F385" t="s">
        <v>16</v>
      </c>
      <c r="G385">
        <v>3</v>
      </c>
      <c r="H385">
        <v>1217.0999999999999</v>
      </c>
      <c r="I385">
        <v>3651.3</v>
      </c>
      <c r="J385" t="s">
        <v>20</v>
      </c>
    </row>
    <row r="386" spans="1:10" x14ac:dyDescent="0.3">
      <c r="A386">
        <v>2384</v>
      </c>
      <c r="B386" t="s">
        <v>30</v>
      </c>
      <c r="C386" t="s">
        <v>18</v>
      </c>
      <c r="D386" s="1">
        <v>45575</v>
      </c>
      <c r="E386" s="1">
        <v>45583</v>
      </c>
      <c r="F386" t="s">
        <v>28</v>
      </c>
      <c r="G386">
        <v>8</v>
      </c>
      <c r="H386">
        <v>2253.46</v>
      </c>
      <c r="I386">
        <v>18027.68</v>
      </c>
      <c r="J386" t="s">
        <v>20</v>
      </c>
    </row>
    <row r="387" spans="1:10" x14ac:dyDescent="0.3">
      <c r="A387">
        <v>2385</v>
      </c>
      <c r="B387" t="s">
        <v>41</v>
      </c>
      <c r="C387" t="s">
        <v>22</v>
      </c>
      <c r="D387" s="1">
        <v>44731</v>
      </c>
      <c r="E387" s="1">
        <v>44742</v>
      </c>
      <c r="F387" t="s">
        <v>26</v>
      </c>
      <c r="G387">
        <v>4</v>
      </c>
      <c r="H387">
        <v>1672.82</v>
      </c>
      <c r="I387">
        <v>6691.28</v>
      </c>
      <c r="J387" t="s">
        <v>20</v>
      </c>
    </row>
    <row r="388" spans="1:10" x14ac:dyDescent="0.3">
      <c r="A388">
        <v>2386</v>
      </c>
      <c r="B388" t="s">
        <v>17</v>
      </c>
      <c r="C388" t="s">
        <v>18</v>
      </c>
      <c r="D388" s="1">
        <v>45153</v>
      </c>
      <c r="E388" s="1">
        <v>45157</v>
      </c>
      <c r="F388" t="s">
        <v>32</v>
      </c>
      <c r="G388">
        <v>8</v>
      </c>
      <c r="H388">
        <v>2958.56</v>
      </c>
      <c r="I388">
        <v>23668.48</v>
      </c>
      <c r="J388" t="s">
        <v>20</v>
      </c>
    </row>
    <row r="389" spans="1:10" x14ac:dyDescent="0.3">
      <c r="A389">
        <v>2387</v>
      </c>
      <c r="B389" t="s">
        <v>30</v>
      </c>
      <c r="C389" t="s">
        <v>18</v>
      </c>
      <c r="D389" s="1">
        <v>44793</v>
      </c>
      <c r="E389" s="1">
        <v>44804</v>
      </c>
      <c r="F389" t="s">
        <v>26</v>
      </c>
      <c r="G389">
        <v>5</v>
      </c>
      <c r="H389">
        <v>3943.03</v>
      </c>
      <c r="I389">
        <v>19715.150000000001</v>
      </c>
      <c r="J389" t="s">
        <v>20</v>
      </c>
    </row>
    <row r="390" spans="1:10" x14ac:dyDescent="0.3">
      <c r="A390">
        <v>2388</v>
      </c>
      <c r="B390" t="s">
        <v>30</v>
      </c>
      <c r="C390" t="s">
        <v>11</v>
      </c>
      <c r="D390" s="1">
        <v>45465</v>
      </c>
      <c r="E390" s="1">
        <v>45475</v>
      </c>
      <c r="F390" t="s">
        <v>19</v>
      </c>
      <c r="G390">
        <v>7</v>
      </c>
      <c r="H390">
        <v>781.36</v>
      </c>
      <c r="I390">
        <v>5469.52</v>
      </c>
      <c r="J390" t="s">
        <v>13</v>
      </c>
    </row>
    <row r="391" spans="1:10" x14ac:dyDescent="0.3">
      <c r="A391">
        <v>2389</v>
      </c>
      <c r="B391" t="s">
        <v>43</v>
      </c>
      <c r="C391" t="s">
        <v>11</v>
      </c>
      <c r="D391" s="1">
        <v>45483</v>
      </c>
      <c r="E391" s="1">
        <v>45489</v>
      </c>
      <c r="F391" t="s">
        <v>12</v>
      </c>
      <c r="G391">
        <v>2</v>
      </c>
      <c r="H391">
        <v>2363.63</v>
      </c>
      <c r="I391">
        <v>4727.26</v>
      </c>
      <c r="J391" t="s">
        <v>13</v>
      </c>
    </row>
    <row r="392" spans="1:10" x14ac:dyDescent="0.3">
      <c r="A392">
        <v>2390</v>
      </c>
      <c r="B392" t="s">
        <v>44</v>
      </c>
      <c r="C392" t="s">
        <v>22</v>
      </c>
      <c r="D392" s="1">
        <v>44991</v>
      </c>
      <c r="E392" s="1">
        <v>45005</v>
      </c>
      <c r="F392" t="s">
        <v>28</v>
      </c>
      <c r="G392">
        <v>6</v>
      </c>
      <c r="H392">
        <v>4346.93</v>
      </c>
      <c r="I392">
        <v>26081.58</v>
      </c>
      <c r="J392" t="s">
        <v>20</v>
      </c>
    </row>
    <row r="393" spans="1:10" x14ac:dyDescent="0.3">
      <c r="A393">
        <v>2391</v>
      </c>
      <c r="B393" t="s">
        <v>45</v>
      </c>
      <c r="C393" t="s">
        <v>18</v>
      </c>
      <c r="D393" s="1">
        <v>44847</v>
      </c>
      <c r="E393" s="1">
        <v>44861</v>
      </c>
      <c r="F393" t="s">
        <v>19</v>
      </c>
      <c r="G393">
        <v>4</v>
      </c>
      <c r="H393">
        <v>4085.57</v>
      </c>
      <c r="I393">
        <v>16342.28</v>
      </c>
      <c r="J393" t="s">
        <v>20</v>
      </c>
    </row>
    <row r="394" spans="1:10" x14ac:dyDescent="0.3">
      <c r="A394">
        <v>2392</v>
      </c>
      <c r="B394" t="s">
        <v>30</v>
      </c>
      <c r="C394" t="s">
        <v>31</v>
      </c>
      <c r="D394" s="1">
        <v>44906</v>
      </c>
      <c r="E394" s="1">
        <v>44913</v>
      </c>
      <c r="F394" t="s">
        <v>28</v>
      </c>
      <c r="G394">
        <v>5</v>
      </c>
      <c r="H394">
        <v>1659.87</v>
      </c>
      <c r="I394">
        <v>8299.35</v>
      </c>
      <c r="J394" t="s">
        <v>20</v>
      </c>
    </row>
    <row r="395" spans="1:10" x14ac:dyDescent="0.3">
      <c r="A395">
        <v>2393</v>
      </c>
      <c r="B395" t="s">
        <v>35</v>
      </c>
      <c r="C395" t="s">
        <v>15</v>
      </c>
      <c r="D395" s="1">
        <v>44757</v>
      </c>
      <c r="E395" s="1">
        <v>44761</v>
      </c>
      <c r="F395" t="s">
        <v>32</v>
      </c>
      <c r="G395">
        <v>7</v>
      </c>
      <c r="H395">
        <v>4618.21</v>
      </c>
      <c r="I395">
        <v>32327.47</v>
      </c>
      <c r="J395" t="s">
        <v>20</v>
      </c>
    </row>
    <row r="396" spans="1:10" x14ac:dyDescent="0.3">
      <c r="A396">
        <v>2394</v>
      </c>
      <c r="B396" t="s">
        <v>10</v>
      </c>
      <c r="C396" t="s">
        <v>22</v>
      </c>
      <c r="D396" s="1">
        <v>44833</v>
      </c>
      <c r="E396" s="1">
        <v>44838</v>
      </c>
      <c r="F396" t="s">
        <v>19</v>
      </c>
      <c r="G396">
        <v>6</v>
      </c>
      <c r="H396">
        <v>4193.8599999999997</v>
      </c>
      <c r="I396">
        <v>25163.16</v>
      </c>
      <c r="J396" t="s">
        <v>20</v>
      </c>
    </row>
    <row r="397" spans="1:10" x14ac:dyDescent="0.3">
      <c r="A397">
        <v>2395</v>
      </c>
      <c r="B397" t="s">
        <v>41</v>
      </c>
      <c r="C397" t="s">
        <v>22</v>
      </c>
      <c r="D397" s="1">
        <v>45112</v>
      </c>
      <c r="E397" s="1">
        <v>45124</v>
      </c>
      <c r="F397" t="s">
        <v>16</v>
      </c>
      <c r="G397">
        <v>7</v>
      </c>
      <c r="H397">
        <v>2424.36</v>
      </c>
      <c r="I397">
        <v>16970.52</v>
      </c>
      <c r="J397" t="s">
        <v>13</v>
      </c>
    </row>
    <row r="398" spans="1:10" x14ac:dyDescent="0.3">
      <c r="A398">
        <v>2396</v>
      </c>
      <c r="B398" t="s">
        <v>34</v>
      </c>
      <c r="C398" t="s">
        <v>18</v>
      </c>
      <c r="D398" s="1">
        <v>45131</v>
      </c>
      <c r="E398" s="1">
        <v>45144</v>
      </c>
      <c r="F398" t="s">
        <v>12</v>
      </c>
      <c r="G398">
        <v>8</v>
      </c>
      <c r="H398">
        <v>4766.1899999999996</v>
      </c>
      <c r="I398">
        <v>38129.519999999997</v>
      </c>
      <c r="J398" t="s">
        <v>20</v>
      </c>
    </row>
    <row r="399" spans="1:10" x14ac:dyDescent="0.3">
      <c r="A399">
        <v>2397</v>
      </c>
      <c r="B399" t="s">
        <v>27</v>
      </c>
      <c r="C399" t="s">
        <v>11</v>
      </c>
      <c r="D399" s="1">
        <v>44752</v>
      </c>
      <c r="E399" s="1">
        <v>44765</v>
      </c>
      <c r="F399" t="s">
        <v>16</v>
      </c>
      <c r="G399">
        <v>6</v>
      </c>
      <c r="H399">
        <v>4295.5</v>
      </c>
      <c r="I399">
        <v>25773</v>
      </c>
      <c r="J399" t="s">
        <v>20</v>
      </c>
    </row>
    <row r="400" spans="1:10" x14ac:dyDescent="0.3">
      <c r="A400">
        <v>2398</v>
      </c>
      <c r="B400" t="s">
        <v>29</v>
      </c>
      <c r="C400" t="s">
        <v>25</v>
      </c>
      <c r="D400" s="1">
        <v>44995</v>
      </c>
      <c r="E400" s="1">
        <v>45004</v>
      </c>
      <c r="F400" t="s">
        <v>12</v>
      </c>
      <c r="G400">
        <v>6</v>
      </c>
      <c r="H400">
        <v>4193.22</v>
      </c>
      <c r="I400">
        <v>25159.32</v>
      </c>
      <c r="J400" t="s">
        <v>20</v>
      </c>
    </row>
    <row r="401" spans="1:10" x14ac:dyDescent="0.3">
      <c r="A401">
        <v>2399</v>
      </c>
      <c r="B401" t="s">
        <v>30</v>
      </c>
      <c r="C401" t="s">
        <v>18</v>
      </c>
      <c r="D401" s="1">
        <v>44829</v>
      </c>
      <c r="E401" s="1">
        <v>44840</v>
      </c>
      <c r="F401" t="s">
        <v>32</v>
      </c>
      <c r="G401">
        <v>8</v>
      </c>
      <c r="H401">
        <v>4005.03</v>
      </c>
      <c r="I401">
        <v>32040.240000000002</v>
      </c>
      <c r="J401" t="s">
        <v>13</v>
      </c>
    </row>
    <row r="402" spans="1:10" x14ac:dyDescent="0.3">
      <c r="A402">
        <v>2400</v>
      </c>
      <c r="B402" t="s">
        <v>40</v>
      </c>
      <c r="C402" t="s">
        <v>11</v>
      </c>
      <c r="D402" s="1">
        <v>45503</v>
      </c>
      <c r="E402" s="1">
        <v>45505</v>
      </c>
      <c r="F402" t="s">
        <v>26</v>
      </c>
      <c r="G402">
        <v>3</v>
      </c>
      <c r="H402">
        <v>2374.04</v>
      </c>
      <c r="I402">
        <v>7122.12</v>
      </c>
      <c r="J402" t="s">
        <v>13</v>
      </c>
    </row>
    <row r="403" spans="1:10" x14ac:dyDescent="0.3">
      <c r="A403">
        <v>2401</v>
      </c>
      <c r="B403" t="s">
        <v>39</v>
      </c>
      <c r="C403" t="s">
        <v>22</v>
      </c>
      <c r="D403" s="1">
        <v>44832</v>
      </c>
      <c r="E403" s="1">
        <v>44844</v>
      </c>
      <c r="F403" t="s">
        <v>12</v>
      </c>
      <c r="G403">
        <v>3</v>
      </c>
      <c r="H403">
        <v>4409.79</v>
      </c>
      <c r="I403">
        <v>13229.37</v>
      </c>
      <c r="J403" t="s">
        <v>20</v>
      </c>
    </row>
    <row r="404" spans="1:10" x14ac:dyDescent="0.3">
      <c r="A404">
        <v>2402</v>
      </c>
      <c r="B404" t="s">
        <v>49</v>
      </c>
      <c r="C404" t="s">
        <v>15</v>
      </c>
      <c r="D404" s="1">
        <v>45300</v>
      </c>
      <c r="E404" s="1">
        <v>45306</v>
      </c>
      <c r="F404" t="s">
        <v>26</v>
      </c>
      <c r="G404">
        <v>6</v>
      </c>
      <c r="H404">
        <v>3423.19</v>
      </c>
      <c r="I404">
        <v>20539.14</v>
      </c>
      <c r="J404" t="s">
        <v>13</v>
      </c>
    </row>
    <row r="405" spans="1:10" x14ac:dyDescent="0.3">
      <c r="A405">
        <v>2403</v>
      </c>
      <c r="B405" t="s">
        <v>40</v>
      </c>
      <c r="C405" t="s">
        <v>25</v>
      </c>
      <c r="D405" s="1">
        <v>45187</v>
      </c>
      <c r="E405" s="1">
        <v>45200</v>
      </c>
      <c r="F405" t="s">
        <v>28</v>
      </c>
      <c r="G405">
        <v>4</v>
      </c>
      <c r="H405">
        <v>2317.39</v>
      </c>
      <c r="I405">
        <v>9269.56</v>
      </c>
      <c r="J405" t="s">
        <v>13</v>
      </c>
    </row>
    <row r="406" spans="1:10" x14ac:dyDescent="0.3">
      <c r="A406">
        <v>2404</v>
      </c>
      <c r="B406" t="s">
        <v>48</v>
      </c>
      <c r="C406" t="s">
        <v>11</v>
      </c>
      <c r="D406" s="1">
        <v>44564</v>
      </c>
      <c r="E406" s="1">
        <v>44569</v>
      </c>
      <c r="F406" t="s">
        <v>16</v>
      </c>
      <c r="G406">
        <v>2</v>
      </c>
      <c r="H406">
        <v>923.69</v>
      </c>
      <c r="I406">
        <v>1847.38</v>
      </c>
      <c r="J406" t="s">
        <v>13</v>
      </c>
    </row>
    <row r="407" spans="1:10" x14ac:dyDescent="0.3">
      <c r="A407">
        <v>2405</v>
      </c>
      <c r="B407" t="s">
        <v>35</v>
      </c>
      <c r="C407" t="s">
        <v>15</v>
      </c>
      <c r="D407" s="1">
        <v>45473</v>
      </c>
      <c r="E407" s="1">
        <v>45475</v>
      </c>
      <c r="F407" t="s">
        <v>26</v>
      </c>
      <c r="G407">
        <v>6</v>
      </c>
      <c r="H407">
        <v>4140.41</v>
      </c>
      <c r="I407">
        <v>24842.46</v>
      </c>
      <c r="J407" t="s">
        <v>20</v>
      </c>
    </row>
    <row r="408" spans="1:10" x14ac:dyDescent="0.3">
      <c r="A408">
        <v>2406</v>
      </c>
      <c r="B408" t="s">
        <v>48</v>
      </c>
      <c r="C408" t="s">
        <v>22</v>
      </c>
      <c r="D408" s="1">
        <v>45540</v>
      </c>
      <c r="E408" s="1">
        <v>45543</v>
      </c>
      <c r="F408" t="s">
        <v>19</v>
      </c>
      <c r="G408">
        <v>7</v>
      </c>
      <c r="H408">
        <v>719.86</v>
      </c>
      <c r="I408">
        <v>5039.0200000000004</v>
      </c>
      <c r="J408" t="s">
        <v>13</v>
      </c>
    </row>
    <row r="409" spans="1:10" x14ac:dyDescent="0.3">
      <c r="A409">
        <v>2407</v>
      </c>
      <c r="B409" t="s">
        <v>23</v>
      </c>
      <c r="C409" t="s">
        <v>31</v>
      </c>
      <c r="D409" s="1">
        <v>45314</v>
      </c>
      <c r="E409" s="1">
        <v>45320</v>
      </c>
      <c r="F409" t="s">
        <v>19</v>
      </c>
      <c r="G409">
        <v>7</v>
      </c>
      <c r="H409">
        <v>3935.26</v>
      </c>
      <c r="I409">
        <v>27546.82</v>
      </c>
      <c r="J409" t="s">
        <v>13</v>
      </c>
    </row>
    <row r="410" spans="1:10" x14ac:dyDescent="0.3">
      <c r="A410">
        <v>2408</v>
      </c>
      <c r="B410" t="s">
        <v>10</v>
      </c>
      <c r="C410" t="s">
        <v>15</v>
      </c>
      <c r="D410" s="1">
        <v>44854</v>
      </c>
      <c r="E410" s="1">
        <v>44857</v>
      </c>
      <c r="F410" t="s">
        <v>36</v>
      </c>
      <c r="G410">
        <v>1</v>
      </c>
      <c r="H410">
        <v>3168.5</v>
      </c>
      <c r="I410">
        <v>3168.5</v>
      </c>
      <c r="J410" t="s">
        <v>13</v>
      </c>
    </row>
    <row r="411" spans="1:10" x14ac:dyDescent="0.3">
      <c r="A411">
        <v>2409</v>
      </c>
      <c r="B411" t="s">
        <v>38</v>
      </c>
      <c r="C411" t="s">
        <v>31</v>
      </c>
      <c r="D411" s="1">
        <v>44998</v>
      </c>
      <c r="E411" s="1">
        <v>45010</v>
      </c>
      <c r="F411" t="s">
        <v>28</v>
      </c>
      <c r="G411">
        <v>3</v>
      </c>
      <c r="H411">
        <v>4623.5</v>
      </c>
      <c r="I411">
        <v>13870.5</v>
      </c>
      <c r="J411" t="s">
        <v>20</v>
      </c>
    </row>
    <row r="412" spans="1:10" x14ac:dyDescent="0.3">
      <c r="A412">
        <v>2410</v>
      </c>
      <c r="B412" t="s">
        <v>29</v>
      </c>
      <c r="C412" t="s">
        <v>11</v>
      </c>
      <c r="D412" s="1">
        <v>44767</v>
      </c>
      <c r="E412" s="1">
        <v>44771</v>
      </c>
      <c r="F412" t="s">
        <v>32</v>
      </c>
      <c r="G412">
        <v>2</v>
      </c>
      <c r="H412">
        <v>3071</v>
      </c>
      <c r="I412">
        <v>6142</v>
      </c>
      <c r="J412" t="s">
        <v>20</v>
      </c>
    </row>
    <row r="413" spans="1:10" x14ac:dyDescent="0.3">
      <c r="A413">
        <v>2411</v>
      </c>
      <c r="B413" t="s">
        <v>46</v>
      </c>
      <c r="C413" t="s">
        <v>25</v>
      </c>
      <c r="D413" s="1">
        <v>45206</v>
      </c>
      <c r="E413" s="1">
        <v>45220</v>
      </c>
      <c r="F413" t="s">
        <v>19</v>
      </c>
      <c r="G413">
        <v>4</v>
      </c>
      <c r="H413">
        <v>1601.75</v>
      </c>
      <c r="I413">
        <v>6407</v>
      </c>
      <c r="J413" t="s">
        <v>13</v>
      </c>
    </row>
    <row r="414" spans="1:10" x14ac:dyDescent="0.3">
      <c r="A414">
        <v>2412</v>
      </c>
      <c r="B414" t="s">
        <v>17</v>
      </c>
      <c r="C414" t="s">
        <v>18</v>
      </c>
      <c r="D414" s="1">
        <v>45145</v>
      </c>
      <c r="E414" s="1">
        <v>45159</v>
      </c>
      <c r="F414" t="s">
        <v>28</v>
      </c>
      <c r="G414">
        <v>1</v>
      </c>
      <c r="H414">
        <v>4285.09</v>
      </c>
      <c r="I414">
        <v>4285.09</v>
      </c>
      <c r="J414" t="s">
        <v>20</v>
      </c>
    </row>
    <row r="415" spans="1:10" x14ac:dyDescent="0.3">
      <c r="A415">
        <v>2413</v>
      </c>
      <c r="B415" t="s">
        <v>29</v>
      </c>
      <c r="C415" t="s">
        <v>18</v>
      </c>
      <c r="D415" s="1">
        <v>45605</v>
      </c>
      <c r="E415" s="1">
        <v>45610</v>
      </c>
      <c r="F415" t="s">
        <v>28</v>
      </c>
      <c r="G415">
        <v>7</v>
      </c>
      <c r="H415">
        <v>1689.05</v>
      </c>
      <c r="I415">
        <v>11823.35</v>
      </c>
      <c r="J415" t="s">
        <v>13</v>
      </c>
    </row>
    <row r="416" spans="1:10" x14ac:dyDescent="0.3">
      <c r="A416">
        <v>2414</v>
      </c>
      <c r="B416" t="s">
        <v>17</v>
      </c>
      <c r="C416" t="s">
        <v>25</v>
      </c>
      <c r="D416" s="1">
        <v>45352</v>
      </c>
      <c r="E416" s="1">
        <v>45355</v>
      </c>
      <c r="F416" t="s">
        <v>19</v>
      </c>
      <c r="G416">
        <v>8</v>
      </c>
      <c r="H416">
        <v>3298.99</v>
      </c>
      <c r="I416">
        <v>26391.919999999998</v>
      </c>
      <c r="J416" t="s">
        <v>13</v>
      </c>
    </row>
    <row r="417" spans="1:10" x14ac:dyDescent="0.3">
      <c r="A417">
        <v>2415</v>
      </c>
      <c r="B417" t="s">
        <v>35</v>
      </c>
      <c r="C417" t="s">
        <v>11</v>
      </c>
      <c r="D417" s="1">
        <v>45301</v>
      </c>
      <c r="E417" s="1">
        <v>45308</v>
      </c>
      <c r="F417" t="s">
        <v>19</v>
      </c>
      <c r="G417">
        <v>7</v>
      </c>
      <c r="H417">
        <v>4345.83</v>
      </c>
      <c r="I417">
        <v>30420.81</v>
      </c>
      <c r="J417" t="s">
        <v>20</v>
      </c>
    </row>
    <row r="418" spans="1:10" x14ac:dyDescent="0.3">
      <c r="A418">
        <v>2416</v>
      </c>
      <c r="B418" t="s">
        <v>46</v>
      </c>
      <c r="C418" t="s">
        <v>18</v>
      </c>
      <c r="D418" s="1">
        <v>44915</v>
      </c>
      <c r="E418" s="1">
        <v>44929</v>
      </c>
      <c r="F418" t="s">
        <v>16</v>
      </c>
      <c r="G418">
        <v>2</v>
      </c>
      <c r="H418">
        <v>378.44</v>
      </c>
      <c r="I418">
        <v>756.88</v>
      </c>
      <c r="J418" t="s">
        <v>13</v>
      </c>
    </row>
    <row r="419" spans="1:10" x14ac:dyDescent="0.3">
      <c r="A419">
        <v>2417</v>
      </c>
      <c r="B419" t="s">
        <v>21</v>
      </c>
      <c r="C419" t="s">
        <v>31</v>
      </c>
      <c r="D419" s="1">
        <v>45003</v>
      </c>
      <c r="E419" s="1">
        <v>45005</v>
      </c>
      <c r="F419" t="s">
        <v>26</v>
      </c>
      <c r="G419">
        <v>7</v>
      </c>
      <c r="H419">
        <v>2681.07</v>
      </c>
      <c r="I419">
        <v>18767.490000000002</v>
      </c>
      <c r="J419" t="s">
        <v>20</v>
      </c>
    </row>
    <row r="420" spans="1:10" x14ac:dyDescent="0.3">
      <c r="A420">
        <v>2418</v>
      </c>
      <c r="B420" t="s">
        <v>39</v>
      </c>
      <c r="C420" t="s">
        <v>15</v>
      </c>
      <c r="D420" s="1">
        <v>45385</v>
      </c>
      <c r="E420" s="1">
        <v>45388</v>
      </c>
      <c r="F420" t="s">
        <v>28</v>
      </c>
      <c r="G420">
        <v>3</v>
      </c>
      <c r="H420">
        <v>1604.1</v>
      </c>
      <c r="I420">
        <v>4812.3</v>
      </c>
      <c r="J420" t="s">
        <v>20</v>
      </c>
    </row>
    <row r="421" spans="1:10" x14ac:dyDescent="0.3">
      <c r="A421">
        <v>2419</v>
      </c>
      <c r="B421" t="s">
        <v>49</v>
      </c>
      <c r="C421" t="s">
        <v>18</v>
      </c>
      <c r="D421" s="1">
        <v>44978</v>
      </c>
      <c r="E421" s="1">
        <v>44992</v>
      </c>
      <c r="F421" t="s">
        <v>19</v>
      </c>
      <c r="G421">
        <v>6</v>
      </c>
      <c r="H421">
        <v>2136.44</v>
      </c>
      <c r="I421">
        <v>12818.64</v>
      </c>
      <c r="J421" t="s">
        <v>13</v>
      </c>
    </row>
    <row r="422" spans="1:10" x14ac:dyDescent="0.3">
      <c r="A422">
        <v>2420</v>
      </c>
      <c r="B422" t="s">
        <v>43</v>
      </c>
      <c r="C422" t="s">
        <v>15</v>
      </c>
      <c r="D422" s="1">
        <v>45457</v>
      </c>
      <c r="E422" s="1">
        <v>45470</v>
      </c>
      <c r="F422" t="s">
        <v>32</v>
      </c>
      <c r="G422">
        <v>4</v>
      </c>
      <c r="H422">
        <v>572.16</v>
      </c>
      <c r="I422">
        <v>2288.64</v>
      </c>
      <c r="J422" t="s">
        <v>13</v>
      </c>
    </row>
    <row r="423" spans="1:10" x14ac:dyDescent="0.3">
      <c r="A423">
        <v>2421</v>
      </c>
      <c r="B423" t="s">
        <v>39</v>
      </c>
      <c r="C423" t="s">
        <v>11</v>
      </c>
      <c r="D423" s="1">
        <v>45490</v>
      </c>
      <c r="E423" s="1">
        <v>45501</v>
      </c>
      <c r="F423" t="s">
        <v>36</v>
      </c>
      <c r="G423">
        <v>1</v>
      </c>
      <c r="H423">
        <v>1753.66</v>
      </c>
      <c r="I423">
        <v>1753.66</v>
      </c>
      <c r="J423" t="s">
        <v>13</v>
      </c>
    </row>
    <row r="424" spans="1:10" x14ac:dyDescent="0.3">
      <c r="A424">
        <v>2422</v>
      </c>
      <c r="B424" t="s">
        <v>23</v>
      </c>
      <c r="C424" t="s">
        <v>11</v>
      </c>
      <c r="D424" s="1">
        <v>44843</v>
      </c>
      <c r="E424" s="1">
        <v>44856</v>
      </c>
      <c r="F424" t="s">
        <v>26</v>
      </c>
      <c r="G424">
        <v>3</v>
      </c>
      <c r="H424">
        <v>2633.14</v>
      </c>
      <c r="I424">
        <v>7899.42</v>
      </c>
      <c r="J424" t="s">
        <v>20</v>
      </c>
    </row>
    <row r="425" spans="1:10" x14ac:dyDescent="0.3">
      <c r="A425">
        <v>2423</v>
      </c>
      <c r="B425" t="s">
        <v>35</v>
      </c>
      <c r="C425" t="s">
        <v>18</v>
      </c>
      <c r="D425" s="1">
        <v>45092</v>
      </c>
      <c r="E425" s="1">
        <v>45096</v>
      </c>
      <c r="F425" t="s">
        <v>12</v>
      </c>
      <c r="G425">
        <v>3</v>
      </c>
      <c r="H425">
        <v>3823.95</v>
      </c>
      <c r="I425">
        <v>11471.85</v>
      </c>
      <c r="J425" t="s">
        <v>20</v>
      </c>
    </row>
    <row r="426" spans="1:10" x14ac:dyDescent="0.3">
      <c r="A426">
        <v>2424</v>
      </c>
      <c r="B426" t="s">
        <v>24</v>
      </c>
      <c r="C426" t="s">
        <v>11</v>
      </c>
      <c r="D426" s="1">
        <v>44622</v>
      </c>
      <c r="E426" s="1">
        <v>44629</v>
      </c>
      <c r="F426" t="s">
        <v>32</v>
      </c>
      <c r="G426">
        <v>7</v>
      </c>
      <c r="H426">
        <v>1578.31</v>
      </c>
      <c r="I426">
        <v>11048.17</v>
      </c>
      <c r="J426" t="s">
        <v>13</v>
      </c>
    </row>
    <row r="427" spans="1:10" x14ac:dyDescent="0.3">
      <c r="A427">
        <v>2425</v>
      </c>
      <c r="B427" t="s">
        <v>33</v>
      </c>
      <c r="C427" t="s">
        <v>15</v>
      </c>
      <c r="D427" s="1">
        <v>44719</v>
      </c>
      <c r="E427" s="1">
        <v>44728</v>
      </c>
      <c r="F427" t="s">
        <v>16</v>
      </c>
      <c r="G427">
        <v>6</v>
      </c>
      <c r="H427">
        <v>560.55999999999995</v>
      </c>
      <c r="I427">
        <v>3363.36</v>
      </c>
      <c r="J427" t="s">
        <v>13</v>
      </c>
    </row>
    <row r="428" spans="1:10" x14ac:dyDescent="0.3">
      <c r="A428">
        <v>2426</v>
      </c>
      <c r="B428" t="s">
        <v>46</v>
      </c>
      <c r="C428" t="s">
        <v>22</v>
      </c>
      <c r="D428" s="1">
        <v>45084</v>
      </c>
      <c r="E428" s="1">
        <v>45098</v>
      </c>
      <c r="F428" t="s">
        <v>26</v>
      </c>
      <c r="G428">
        <v>2</v>
      </c>
      <c r="H428">
        <v>1373.5</v>
      </c>
      <c r="I428">
        <v>2747</v>
      </c>
      <c r="J428" t="s">
        <v>13</v>
      </c>
    </row>
    <row r="429" spans="1:10" x14ac:dyDescent="0.3">
      <c r="A429">
        <v>2427</v>
      </c>
      <c r="B429" t="s">
        <v>40</v>
      </c>
      <c r="C429" t="s">
        <v>11</v>
      </c>
      <c r="D429" s="1">
        <v>45062</v>
      </c>
      <c r="E429" s="1">
        <v>45064</v>
      </c>
      <c r="F429" t="s">
        <v>16</v>
      </c>
      <c r="G429">
        <v>6</v>
      </c>
      <c r="H429">
        <v>2100</v>
      </c>
      <c r="I429">
        <v>12600</v>
      </c>
      <c r="J429" t="s">
        <v>13</v>
      </c>
    </row>
    <row r="430" spans="1:10" x14ac:dyDescent="0.3">
      <c r="A430">
        <v>2428</v>
      </c>
      <c r="B430" t="s">
        <v>45</v>
      </c>
      <c r="C430" t="s">
        <v>11</v>
      </c>
      <c r="D430" s="1">
        <v>45420</v>
      </c>
      <c r="E430" s="1">
        <v>45425</v>
      </c>
      <c r="F430" t="s">
        <v>12</v>
      </c>
      <c r="G430">
        <v>4</v>
      </c>
      <c r="H430">
        <v>2256.41</v>
      </c>
      <c r="I430">
        <v>9025.64</v>
      </c>
      <c r="J430" t="s">
        <v>20</v>
      </c>
    </row>
    <row r="431" spans="1:10" x14ac:dyDescent="0.3">
      <c r="A431">
        <v>2429</v>
      </c>
      <c r="B431" t="s">
        <v>33</v>
      </c>
      <c r="C431" t="s">
        <v>11</v>
      </c>
      <c r="D431" s="1">
        <v>45325</v>
      </c>
      <c r="E431" s="1">
        <v>45328</v>
      </c>
      <c r="F431" t="s">
        <v>36</v>
      </c>
      <c r="G431">
        <v>1</v>
      </c>
      <c r="H431">
        <v>1142.92</v>
      </c>
      <c r="I431">
        <v>1142.92</v>
      </c>
      <c r="J431" t="s">
        <v>13</v>
      </c>
    </row>
    <row r="432" spans="1:10" x14ac:dyDescent="0.3">
      <c r="A432">
        <v>2430</v>
      </c>
      <c r="B432" t="s">
        <v>34</v>
      </c>
      <c r="C432" t="s">
        <v>11</v>
      </c>
      <c r="D432" s="1">
        <v>45514</v>
      </c>
      <c r="E432" s="1">
        <v>45529</v>
      </c>
      <c r="F432" t="s">
        <v>12</v>
      </c>
      <c r="G432">
        <v>5</v>
      </c>
      <c r="H432">
        <v>1838.31</v>
      </c>
      <c r="I432">
        <v>9191.5499999999993</v>
      </c>
      <c r="J432" t="s">
        <v>20</v>
      </c>
    </row>
    <row r="433" spans="1:10" x14ac:dyDescent="0.3">
      <c r="A433">
        <v>2431</v>
      </c>
      <c r="B433" t="s">
        <v>21</v>
      </c>
      <c r="C433" t="s">
        <v>31</v>
      </c>
      <c r="D433" s="1">
        <v>44972</v>
      </c>
      <c r="E433" s="1">
        <v>44978</v>
      </c>
      <c r="F433" t="s">
        <v>36</v>
      </c>
      <c r="G433">
        <v>5</v>
      </c>
      <c r="H433">
        <v>3776.01</v>
      </c>
      <c r="I433">
        <v>18880.05</v>
      </c>
      <c r="J433" t="s">
        <v>13</v>
      </c>
    </row>
    <row r="434" spans="1:10" x14ac:dyDescent="0.3">
      <c r="A434">
        <v>2432</v>
      </c>
      <c r="B434" t="s">
        <v>38</v>
      </c>
      <c r="C434" t="s">
        <v>31</v>
      </c>
      <c r="D434" s="1">
        <v>45572</v>
      </c>
      <c r="E434" s="1">
        <v>45586</v>
      </c>
      <c r="F434" t="s">
        <v>32</v>
      </c>
      <c r="G434">
        <v>4</v>
      </c>
      <c r="H434">
        <v>3742.58</v>
      </c>
      <c r="I434">
        <v>14970.32</v>
      </c>
      <c r="J434" t="s">
        <v>13</v>
      </c>
    </row>
    <row r="435" spans="1:10" x14ac:dyDescent="0.3">
      <c r="A435">
        <v>2433</v>
      </c>
      <c r="B435" t="s">
        <v>37</v>
      </c>
      <c r="C435" t="s">
        <v>11</v>
      </c>
      <c r="D435" s="1">
        <v>45401</v>
      </c>
      <c r="E435" s="1">
        <v>45403</v>
      </c>
      <c r="F435" t="s">
        <v>19</v>
      </c>
      <c r="G435">
        <v>6</v>
      </c>
      <c r="H435">
        <v>3288.93</v>
      </c>
      <c r="I435">
        <v>19733.580000000002</v>
      </c>
      <c r="J435" t="s">
        <v>13</v>
      </c>
    </row>
    <row r="436" spans="1:10" x14ac:dyDescent="0.3">
      <c r="A436">
        <v>2434</v>
      </c>
      <c r="B436" t="s">
        <v>47</v>
      </c>
      <c r="C436" t="s">
        <v>11</v>
      </c>
      <c r="D436" s="1">
        <v>45332</v>
      </c>
      <c r="E436" s="1">
        <v>45347</v>
      </c>
      <c r="F436" t="s">
        <v>28</v>
      </c>
      <c r="G436">
        <v>5</v>
      </c>
      <c r="H436">
        <v>788.56</v>
      </c>
      <c r="I436">
        <v>3942.8</v>
      </c>
      <c r="J436" t="s">
        <v>13</v>
      </c>
    </row>
    <row r="437" spans="1:10" x14ac:dyDescent="0.3">
      <c r="A437">
        <v>2435</v>
      </c>
      <c r="B437" t="s">
        <v>39</v>
      </c>
      <c r="C437" t="s">
        <v>25</v>
      </c>
      <c r="D437" s="1">
        <v>44684</v>
      </c>
      <c r="E437" s="1">
        <v>44688</v>
      </c>
      <c r="F437" t="s">
        <v>28</v>
      </c>
      <c r="G437">
        <v>5</v>
      </c>
      <c r="H437">
        <v>737.23</v>
      </c>
      <c r="I437">
        <v>3686.15</v>
      </c>
      <c r="J437" t="s">
        <v>13</v>
      </c>
    </row>
    <row r="438" spans="1:10" x14ac:dyDescent="0.3">
      <c r="A438">
        <v>2436</v>
      </c>
      <c r="B438" t="s">
        <v>35</v>
      </c>
      <c r="C438" t="s">
        <v>25</v>
      </c>
      <c r="D438" s="1">
        <v>45324</v>
      </c>
      <c r="E438" s="1">
        <v>45333</v>
      </c>
      <c r="F438" t="s">
        <v>28</v>
      </c>
      <c r="G438">
        <v>2</v>
      </c>
      <c r="H438">
        <v>3029.62</v>
      </c>
      <c r="I438">
        <v>6059.24</v>
      </c>
      <c r="J438" t="s">
        <v>13</v>
      </c>
    </row>
    <row r="439" spans="1:10" x14ac:dyDescent="0.3">
      <c r="A439">
        <v>2437</v>
      </c>
      <c r="B439" t="s">
        <v>10</v>
      </c>
      <c r="C439" t="s">
        <v>25</v>
      </c>
      <c r="D439" s="1">
        <v>44715</v>
      </c>
      <c r="E439" s="1">
        <v>44726</v>
      </c>
      <c r="F439" t="s">
        <v>36</v>
      </c>
      <c r="G439">
        <v>1</v>
      </c>
      <c r="H439">
        <v>2344.42</v>
      </c>
      <c r="I439">
        <v>2344.42</v>
      </c>
      <c r="J439" t="s">
        <v>13</v>
      </c>
    </row>
    <row r="440" spans="1:10" x14ac:dyDescent="0.3">
      <c r="A440">
        <v>2438</v>
      </c>
      <c r="B440" t="s">
        <v>17</v>
      </c>
      <c r="C440" t="s">
        <v>31</v>
      </c>
      <c r="D440" s="1">
        <v>45096</v>
      </c>
      <c r="E440" s="1">
        <v>45111</v>
      </c>
      <c r="F440" t="s">
        <v>12</v>
      </c>
      <c r="G440">
        <v>7</v>
      </c>
      <c r="H440">
        <v>3593.41</v>
      </c>
      <c r="I440">
        <v>25153.87</v>
      </c>
      <c r="J440" t="s">
        <v>20</v>
      </c>
    </row>
    <row r="441" spans="1:10" x14ac:dyDescent="0.3">
      <c r="A441">
        <v>2439</v>
      </c>
      <c r="B441" t="s">
        <v>47</v>
      </c>
      <c r="C441" t="s">
        <v>25</v>
      </c>
      <c r="D441" s="1">
        <v>45118</v>
      </c>
      <c r="E441" s="1">
        <v>45123</v>
      </c>
      <c r="F441" t="s">
        <v>26</v>
      </c>
      <c r="G441">
        <v>4</v>
      </c>
      <c r="H441">
        <v>939.73</v>
      </c>
      <c r="I441">
        <v>3758.92</v>
      </c>
      <c r="J441" t="s">
        <v>13</v>
      </c>
    </row>
    <row r="442" spans="1:10" x14ac:dyDescent="0.3">
      <c r="A442">
        <v>2440</v>
      </c>
      <c r="B442" t="s">
        <v>37</v>
      </c>
      <c r="C442" t="s">
        <v>11</v>
      </c>
      <c r="D442" s="1">
        <v>44898</v>
      </c>
      <c r="E442" s="1">
        <v>44907</v>
      </c>
      <c r="F442" t="s">
        <v>16</v>
      </c>
      <c r="G442">
        <v>6</v>
      </c>
      <c r="H442">
        <v>2210.61</v>
      </c>
      <c r="I442">
        <v>13263.66</v>
      </c>
      <c r="J442" t="s">
        <v>20</v>
      </c>
    </row>
    <row r="443" spans="1:10" x14ac:dyDescent="0.3">
      <c r="A443">
        <v>2441</v>
      </c>
      <c r="B443" t="s">
        <v>44</v>
      </c>
      <c r="C443" t="s">
        <v>22</v>
      </c>
      <c r="D443" s="1">
        <v>45487</v>
      </c>
      <c r="E443" s="1">
        <v>45493</v>
      </c>
      <c r="F443" t="s">
        <v>16</v>
      </c>
      <c r="G443">
        <v>5</v>
      </c>
      <c r="H443">
        <v>4306.67</v>
      </c>
      <c r="I443">
        <v>21533.35</v>
      </c>
      <c r="J443" t="s">
        <v>13</v>
      </c>
    </row>
    <row r="444" spans="1:10" x14ac:dyDescent="0.3">
      <c r="A444">
        <v>2442</v>
      </c>
      <c r="B444" t="s">
        <v>45</v>
      </c>
      <c r="C444" t="s">
        <v>15</v>
      </c>
      <c r="D444" s="1">
        <v>45185</v>
      </c>
      <c r="E444" s="1">
        <v>45200</v>
      </c>
      <c r="F444" t="s">
        <v>28</v>
      </c>
      <c r="G444">
        <v>1</v>
      </c>
      <c r="H444">
        <v>1310.5999999999999</v>
      </c>
      <c r="I444">
        <v>1310.5999999999999</v>
      </c>
      <c r="J444" t="s">
        <v>20</v>
      </c>
    </row>
    <row r="445" spans="1:10" x14ac:dyDescent="0.3">
      <c r="A445">
        <v>2443</v>
      </c>
      <c r="B445" t="s">
        <v>37</v>
      </c>
      <c r="C445" t="s">
        <v>11</v>
      </c>
      <c r="D445" s="1">
        <v>45070</v>
      </c>
      <c r="E445" s="1">
        <v>45077</v>
      </c>
      <c r="F445" t="s">
        <v>16</v>
      </c>
      <c r="G445">
        <v>1</v>
      </c>
      <c r="H445">
        <v>3482.76</v>
      </c>
      <c r="I445">
        <v>3482.76</v>
      </c>
      <c r="J445" t="s">
        <v>20</v>
      </c>
    </row>
    <row r="446" spans="1:10" x14ac:dyDescent="0.3">
      <c r="A446">
        <v>2444</v>
      </c>
      <c r="B446" t="s">
        <v>45</v>
      </c>
      <c r="C446" t="s">
        <v>11</v>
      </c>
      <c r="D446" s="1">
        <v>45390</v>
      </c>
      <c r="E446" s="1">
        <v>45405</v>
      </c>
      <c r="F446" t="s">
        <v>16</v>
      </c>
      <c r="G446">
        <v>4</v>
      </c>
      <c r="H446">
        <v>745.21</v>
      </c>
      <c r="I446">
        <v>2980.84</v>
      </c>
      <c r="J446" t="s">
        <v>13</v>
      </c>
    </row>
    <row r="447" spans="1:10" x14ac:dyDescent="0.3">
      <c r="A447">
        <v>2445</v>
      </c>
      <c r="B447" t="s">
        <v>37</v>
      </c>
      <c r="C447" t="s">
        <v>11</v>
      </c>
      <c r="D447" s="1">
        <v>44586</v>
      </c>
      <c r="E447" s="1">
        <v>44588</v>
      </c>
      <c r="F447" t="s">
        <v>32</v>
      </c>
      <c r="G447">
        <v>4</v>
      </c>
      <c r="H447">
        <v>914.36</v>
      </c>
      <c r="I447">
        <v>3657.44</v>
      </c>
      <c r="J447" t="s">
        <v>20</v>
      </c>
    </row>
    <row r="448" spans="1:10" x14ac:dyDescent="0.3">
      <c r="A448">
        <v>2446</v>
      </c>
      <c r="B448" t="s">
        <v>46</v>
      </c>
      <c r="C448" t="s">
        <v>15</v>
      </c>
      <c r="D448" s="1">
        <v>44734</v>
      </c>
      <c r="E448" s="1">
        <v>44745</v>
      </c>
      <c r="F448" t="s">
        <v>36</v>
      </c>
      <c r="G448">
        <v>5</v>
      </c>
      <c r="H448">
        <v>4611.91</v>
      </c>
      <c r="I448">
        <v>23059.55</v>
      </c>
      <c r="J448" t="s">
        <v>13</v>
      </c>
    </row>
    <row r="449" spans="1:10" x14ac:dyDescent="0.3">
      <c r="A449">
        <v>2447</v>
      </c>
      <c r="B449" t="s">
        <v>21</v>
      </c>
      <c r="C449" t="s">
        <v>11</v>
      </c>
      <c r="D449" s="1">
        <v>44966</v>
      </c>
      <c r="E449" s="1">
        <v>44978</v>
      </c>
      <c r="F449" t="s">
        <v>16</v>
      </c>
      <c r="G449">
        <v>3</v>
      </c>
      <c r="H449">
        <v>732.3</v>
      </c>
      <c r="I449">
        <v>2196.9</v>
      </c>
      <c r="J449" t="s">
        <v>20</v>
      </c>
    </row>
    <row r="450" spans="1:10" x14ac:dyDescent="0.3">
      <c r="A450">
        <v>2448</v>
      </c>
      <c r="B450" t="s">
        <v>23</v>
      </c>
      <c r="C450" t="s">
        <v>11</v>
      </c>
      <c r="D450" s="1">
        <v>45506</v>
      </c>
      <c r="E450" s="1">
        <v>45508</v>
      </c>
      <c r="F450" t="s">
        <v>19</v>
      </c>
      <c r="G450">
        <v>7</v>
      </c>
      <c r="H450">
        <v>4161.92</v>
      </c>
      <c r="I450">
        <v>29133.439999999999</v>
      </c>
      <c r="J450" t="s">
        <v>20</v>
      </c>
    </row>
    <row r="451" spans="1:10" x14ac:dyDescent="0.3">
      <c r="A451">
        <v>2449</v>
      </c>
      <c r="B451" t="s">
        <v>41</v>
      </c>
      <c r="C451" t="s">
        <v>11</v>
      </c>
      <c r="D451" s="1">
        <v>45345</v>
      </c>
      <c r="E451" s="1">
        <v>45357</v>
      </c>
      <c r="F451" t="s">
        <v>16</v>
      </c>
      <c r="G451">
        <v>3</v>
      </c>
      <c r="H451">
        <v>1963.53</v>
      </c>
      <c r="I451">
        <v>5890.59</v>
      </c>
      <c r="J451" t="s">
        <v>13</v>
      </c>
    </row>
    <row r="452" spans="1:10" x14ac:dyDescent="0.3">
      <c r="A452">
        <v>2450</v>
      </c>
      <c r="B452" t="s">
        <v>33</v>
      </c>
      <c r="C452" t="s">
        <v>31</v>
      </c>
      <c r="D452" s="1">
        <v>45475</v>
      </c>
      <c r="E452" s="1">
        <v>45479</v>
      </c>
      <c r="F452" t="s">
        <v>26</v>
      </c>
      <c r="G452">
        <v>4</v>
      </c>
      <c r="H452">
        <v>3342.21</v>
      </c>
      <c r="I452">
        <v>13368.84</v>
      </c>
      <c r="J452" t="s">
        <v>20</v>
      </c>
    </row>
    <row r="453" spans="1:10" x14ac:dyDescent="0.3">
      <c r="A453">
        <v>2451</v>
      </c>
      <c r="B453" t="s">
        <v>39</v>
      </c>
      <c r="C453" t="s">
        <v>18</v>
      </c>
      <c r="D453" s="1">
        <v>45543</v>
      </c>
      <c r="E453" s="1">
        <v>45545</v>
      </c>
      <c r="F453" t="s">
        <v>26</v>
      </c>
      <c r="G453">
        <v>5</v>
      </c>
      <c r="H453">
        <v>2100.17</v>
      </c>
      <c r="I453">
        <v>10500.85</v>
      </c>
      <c r="J453" t="s">
        <v>20</v>
      </c>
    </row>
    <row r="454" spans="1:10" x14ac:dyDescent="0.3">
      <c r="A454">
        <v>2452</v>
      </c>
      <c r="B454" t="s">
        <v>29</v>
      </c>
      <c r="C454" t="s">
        <v>15</v>
      </c>
      <c r="D454" s="1">
        <v>45638</v>
      </c>
      <c r="E454" s="1">
        <v>45643</v>
      </c>
      <c r="F454" t="s">
        <v>28</v>
      </c>
      <c r="G454">
        <v>1</v>
      </c>
      <c r="H454">
        <v>4950.2</v>
      </c>
      <c r="I454">
        <v>4950.2</v>
      </c>
      <c r="J454" t="s">
        <v>20</v>
      </c>
    </row>
    <row r="455" spans="1:10" x14ac:dyDescent="0.3">
      <c r="A455">
        <v>2453</v>
      </c>
      <c r="B455" t="s">
        <v>41</v>
      </c>
      <c r="C455" t="s">
        <v>18</v>
      </c>
      <c r="D455" s="1">
        <v>45554</v>
      </c>
      <c r="E455" s="1">
        <v>45561</v>
      </c>
      <c r="F455" t="s">
        <v>36</v>
      </c>
      <c r="G455">
        <v>6</v>
      </c>
      <c r="H455">
        <v>2125.39</v>
      </c>
      <c r="I455">
        <v>12752.34</v>
      </c>
      <c r="J455" t="s">
        <v>13</v>
      </c>
    </row>
    <row r="456" spans="1:10" x14ac:dyDescent="0.3">
      <c r="A456">
        <v>2454</v>
      </c>
      <c r="B456" t="s">
        <v>21</v>
      </c>
      <c r="C456" t="s">
        <v>31</v>
      </c>
      <c r="D456" s="1">
        <v>45010</v>
      </c>
      <c r="E456" s="1">
        <v>45012</v>
      </c>
      <c r="F456" t="s">
        <v>32</v>
      </c>
      <c r="G456">
        <v>5</v>
      </c>
      <c r="H456">
        <v>575.38</v>
      </c>
      <c r="I456">
        <v>2876.9</v>
      </c>
      <c r="J456" t="s">
        <v>20</v>
      </c>
    </row>
    <row r="457" spans="1:10" x14ac:dyDescent="0.3">
      <c r="A457">
        <v>2455</v>
      </c>
      <c r="B457" t="s">
        <v>35</v>
      </c>
      <c r="C457" t="s">
        <v>31</v>
      </c>
      <c r="D457" s="1">
        <v>45038</v>
      </c>
      <c r="E457" s="1">
        <v>45042</v>
      </c>
      <c r="F457" t="s">
        <v>26</v>
      </c>
      <c r="G457">
        <v>4</v>
      </c>
      <c r="H457">
        <v>3387.26</v>
      </c>
      <c r="I457">
        <v>13549.04</v>
      </c>
      <c r="J457" t="s">
        <v>20</v>
      </c>
    </row>
    <row r="458" spans="1:10" x14ac:dyDescent="0.3">
      <c r="A458">
        <v>2456</v>
      </c>
      <c r="B458" t="s">
        <v>30</v>
      </c>
      <c r="C458" t="s">
        <v>15</v>
      </c>
      <c r="D458" s="1">
        <v>44676</v>
      </c>
      <c r="E458" s="1">
        <v>44690</v>
      </c>
      <c r="F458" t="s">
        <v>19</v>
      </c>
      <c r="G458">
        <v>7</v>
      </c>
      <c r="H458">
        <v>1967.58</v>
      </c>
      <c r="I458">
        <v>13773.06</v>
      </c>
      <c r="J458" t="s">
        <v>13</v>
      </c>
    </row>
    <row r="459" spans="1:10" x14ac:dyDescent="0.3">
      <c r="A459">
        <v>2457</v>
      </c>
      <c r="B459" t="s">
        <v>45</v>
      </c>
      <c r="C459" t="s">
        <v>22</v>
      </c>
      <c r="D459" s="1">
        <v>45213</v>
      </c>
      <c r="E459" s="1">
        <v>45227</v>
      </c>
      <c r="F459" t="s">
        <v>28</v>
      </c>
      <c r="G459">
        <v>6</v>
      </c>
      <c r="H459">
        <v>4595.71</v>
      </c>
      <c r="I459">
        <v>27574.26</v>
      </c>
      <c r="J459" t="s">
        <v>13</v>
      </c>
    </row>
    <row r="460" spans="1:10" x14ac:dyDescent="0.3">
      <c r="A460">
        <v>2458</v>
      </c>
      <c r="B460" t="s">
        <v>48</v>
      </c>
      <c r="C460" t="s">
        <v>15</v>
      </c>
      <c r="D460" s="1">
        <v>45282</v>
      </c>
      <c r="E460" s="1">
        <v>45293</v>
      </c>
      <c r="F460" t="s">
        <v>36</v>
      </c>
      <c r="G460">
        <v>3</v>
      </c>
      <c r="H460">
        <v>2946.61</v>
      </c>
      <c r="I460">
        <v>8839.83</v>
      </c>
      <c r="J460" t="s">
        <v>13</v>
      </c>
    </row>
    <row r="461" spans="1:10" x14ac:dyDescent="0.3">
      <c r="A461">
        <v>2459</v>
      </c>
      <c r="B461" t="s">
        <v>41</v>
      </c>
      <c r="C461" t="s">
        <v>18</v>
      </c>
      <c r="D461" s="1">
        <v>45194</v>
      </c>
      <c r="E461" s="1">
        <v>45198</v>
      </c>
      <c r="F461" t="s">
        <v>16</v>
      </c>
      <c r="G461">
        <v>1</v>
      </c>
      <c r="H461">
        <v>724.21</v>
      </c>
      <c r="I461">
        <v>724.21</v>
      </c>
      <c r="J461" t="s">
        <v>13</v>
      </c>
    </row>
    <row r="462" spans="1:10" x14ac:dyDescent="0.3">
      <c r="A462">
        <v>2460</v>
      </c>
      <c r="B462" t="s">
        <v>42</v>
      </c>
      <c r="C462" t="s">
        <v>22</v>
      </c>
      <c r="D462" s="1">
        <v>44602</v>
      </c>
      <c r="E462" s="1">
        <v>44612</v>
      </c>
      <c r="F462" t="s">
        <v>16</v>
      </c>
      <c r="G462">
        <v>1</v>
      </c>
      <c r="H462">
        <v>1859.15</v>
      </c>
      <c r="I462">
        <v>1859.15</v>
      </c>
      <c r="J462" t="s">
        <v>13</v>
      </c>
    </row>
    <row r="463" spans="1:10" x14ac:dyDescent="0.3">
      <c r="A463">
        <v>2461</v>
      </c>
      <c r="B463" t="s">
        <v>37</v>
      </c>
      <c r="C463" t="s">
        <v>31</v>
      </c>
      <c r="D463" s="1">
        <v>44925</v>
      </c>
      <c r="E463" s="1">
        <v>44939</v>
      </c>
      <c r="F463" t="s">
        <v>32</v>
      </c>
      <c r="G463">
        <v>6</v>
      </c>
      <c r="H463">
        <v>579.91</v>
      </c>
      <c r="I463">
        <v>3479.46</v>
      </c>
      <c r="J463" t="s">
        <v>13</v>
      </c>
    </row>
    <row r="464" spans="1:10" x14ac:dyDescent="0.3">
      <c r="A464">
        <v>2462</v>
      </c>
      <c r="B464" t="s">
        <v>27</v>
      </c>
      <c r="C464" t="s">
        <v>15</v>
      </c>
      <c r="D464" s="1">
        <v>44852</v>
      </c>
      <c r="E464" s="1">
        <v>44866</v>
      </c>
      <c r="F464" t="s">
        <v>26</v>
      </c>
      <c r="G464">
        <v>6</v>
      </c>
      <c r="H464">
        <v>4814.63</v>
      </c>
      <c r="I464">
        <v>28887.78</v>
      </c>
      <c r="J464" t="s">
        <v>20</v>
      </c>
    </row>
    <row r="465" spans="1:10" x14ac:dyDescent="0.3">
      <c r="A465">
        <v>2463</v>
      </c>
      <c r="B465" t="s">
        <v>48</v>
      </c>
      <c r="C465" t="s">
        <v>15</v>
      </c>
      <c r="D465" s="1">
        <v>45372</v>
      </c>
      <c r="E465" s="1">
        <v>45383</v>
      </c>
      <c r="F465" t="s">
        <v>26</v>
      </c>
      <c r="G465">
        <v>6</v>
      </c>
      <c r="H465">
        <v>1718.3</v>
      </c>
      <c r="I465">
        <v>10309.799999999999</v>
      </c>
      <c r="J465" t="s">
        <v>13</v>
      </c>
    </row>
    <row r="466" spans="1:10" x14ac:dyDescent="0.3">
      <c r="A466">
        <v>2464</v>
      </c>
      <c r="B466" t="s">
        <v>45</v>
      </c>
      <c r="C466" t="s">
        <v>15</v>
      </c>
      <c r="D466" s="1">
        <v>45456</v>
      </c>
      <c r="E466" s="1">
        <v>45470</v>
      </c>
      <c r="F466" t="s">
        <v>28</v>
      </c>
      <c r="G466">
        <v>8</v>
      </c>
      <c r="H466">
        <v>3351.15</v>
      </c>
      <c r="I466">
        <v>26809.200000000001</v>
      </c>
      <c r="J466" t="s">
        <v>13</v>
      </c>
    </row>
    <row r="467" spans="1:10" x14ac:dyDescent="0.3">
      <c r="A467">
        <v>2465</v>
      </c>
      <c r="B467" t="s">
        <v>48</v>
      </c>
      <c r="C467" t="s">
        <v>18</v>
      </c>
      <c r="D467" s="1">
        <v>45292</v>
      </c>
      <c r="E467" s="1">
        <v>45297</v>
      </c>
      <c r="F467" t="s">
        <v>28</v>
      </c>
      <c r="G467">
        <v>3</v>
      </c>
      <c r="H467">
        <v>2078.41</v>
      </c>
      <c r="I467">
        <v>6235.23</v>
      </c>
      <c r="J467" t="s">
        <v>20</v>
      </c>
    </row>
    <row r="468" spans="1:10" x14ac:dyDescent="0.3">
      <c r="A468">
        <v>2466</v>
      </c>
      <c r="B468" t="s">
        <v>37</v>
      </c>
      <c r="C468" t="s">
        <v>22</v>
      </c>
      <c r="D468" s="1">
        <v>44565</v>
      </c>
      <c r="E468" s="1">
        <v>44578</v>
      </c>
      <c r="F468" t="s">
        <v>36</v>
      </c>
      <c r="G468">
        <v>7</v>
      </c>
      <c r="H468">
        <v>4298.5600000000004</v>
      </c>
      <c r="I468">
        <v>30089.919999999998</v>
      </c>
      <c r="J468" t="s">
        <v>13</v>
      </c>
    </row>
    <row r="469" spans="1:10" x14ac:dyDescent="0.3">
      <c r="A469">
        <v>2467</v>
      </c>
      <c r="B469" t="s">
        <v>45</v>
      </c>
      <c r="C469" t="s">
        <v>18</v>
      </c>
      <c r="D469" s="1">
        <v>45213</v>
      </c>
      <c r="E469" s="1">
        <v>45227</v>
      </c>
      <c r="F469" t="s">
        <v>36</v>
      </c>
      <c r="G469">
        <v>4</v>
      </c>
      <c r="H469">
        <v>3306.34</v>
      </c>
      <c r="I469">
        <v>13225.36</v>
      </c>
      <c r="J469" t="s">
        <v>13</v>
      </c>
    </row>
    <row r="470" spans="1:10" x14ac:dyDescent="0.3">
      <c r="A470">
        <v>2468</v>
      </c>
      <c r="B470" t="s">
        <v>41</v>
      </c>
      <c r="C470" t="s">
        <v>22</v>
      </c>
      <c r="D470" s="1">
        <v>45240</v>
      </c>
      <c r="E470" s="1">
        <v>45253</v>
      </c>
      <c r="F470" t="s">
        <v>26</v>
      </c>
      <c r="G470">
        <v>4</v>
      </c>
      <c r="H470">
        <v>1930.01</v>
      </c>
      <c r="I470">
        <v>7720.04</v>
      </c>
      <c r="J470" t="s">
        <v>20</v>
      </c>
    </row>
    <row r="471" spans="1:10" x14ac:dyDescent="0.3">
      <c r="A471">
        <v>2469</v>
      </c>
      <c r="B471" t="s">
        <v>45</v>
      </c>
      <c r="C471" t="s">
        <v>15</v>
      </c>
      <c r="D471" s="1">
        <v>44743</v>
      </c>
      <c r="E471" s="1">
        <v>44758</v>
      </c>
      <c r="F471" t="s">
        <v>28</v>
      </c>
      <c r="G471">
        <v>6</v>
      </c>
      <c r="H471">
        <v>2399.16</v>
      </c>
      <c r="I471">
        <v>14394.96</v>
      </c>
      <c r="J471" t="s">
        <v>20</v>
      </c>
    </row>
    <row r="472" spans="1:10" x14ac:dyDescent="0.3">
      <c r="A472">
        <v>2470</v>
      </c>
      <c r="B472" t="s">
        <v>29</v>
      </c>
      <c r="C472" t="s">
        <v>22</v>
      </c>
      <c r="D472" s="1">
        <v>44700</v>
      </c>
      <c r="E472" s="1">
        <v>44707</v>
      </c>
      <c r="F472" t="s">
        <v>12</v>
      </c>
      <c r="G472">
        <v>2</v>
      </c>
      <c r="H472">
        <v>3685.94</v>
      </c>
      <c r="I472">
        <v>7371.88</v>
      </c>
      <c r="J472" t="s">
        <v>13</v>
      </c>
    </row>
    <row r="473" spans="1:10" x14ac:dyDescent="0.3">
      <c r="A473">
        <v>2471</v>
      </c>
      <c r="B473" t="s">
        <v>34</v>
      </c>
      <c r="C473" t="s">
        <v>25</v>
      </c>
      <c r="D473" s="1">
        <v>45421</v>
      </c>
      <c r="E473" s="1">
        <v>45425</v>
      </c>
      <c r="F473" t="s">
        <v>16</v>
      </c>
      <c r="G473">
        <v>8</v>
      </c>
      <c r="H473">
        <v>4444.32</v>
      </c>
      <c r="I473">
        <v>35554.559999999998</v>
      </c>
      <c r="J473" t="s">
        <v>20</v>
      </c>
    </row>
    <row r="474" spans="1:10" x14ac:dyDescent="0.3">
      <c r="A474">
        <v>2472</v>
      </c>
      <c r="B474" t="s">
        <v>30</v>
      </c>
      <c r="C474" t="s">
        <v>25</v>
      </c>
      <c r="D474" s="1">
        <v>44769</v>
      </c>
      <c r="E474" s="1">
        <v>44784</v>
      </c>
      <c r="F474" t="s">
        <v>16</v>
      </c>
      <c r="G474">
        <v>4</v>
      </c>
      <c r="H474">
        <v>1064.49</v>
      </c>
      <c r="I474">
        <v>4257.96</v>
      </c>
      <c r="J474" t="s">
        <v>13</v>
      </c>
    </row>
    <row r="475" spans="1:10" x14ac:dyDescent="0.3">
      <c r="A475">
        <v>2473</v>
      </c>
      <c r="B475" t="s">
        <v>40</v>
      </c>
      <c r="C475" t="s">
        <v>31</v>
      </c>
      <c r="D475" s="1">
        <v>44603</v>
      </c>
      <c r="E475" s="1">
        <v>44610</v>
      </c>
      <c r="F475" t="s">
        <v>12</v>
      </c>
      <c r="G475">
        <v>2</v>
      </c>
      <c r="H475">
        <v>648.74</v>
      </c>
      <c r="I475">
        <v>1297.48</v>
      </c>
      <c r="J475" t="s">
        <v>13</v>
      </c>
    </row>
    <row r="476" spans="1:10" x14ac:dyDescent="0.3">
      <c r="A476">
        <v>2474</v>
      </c>
      <c r="B476" t="s">
        <v>34</v>
      </c>
      <c r="C476" t="s">
        <v>22</v>
      </c>
      <c r="D476" s="1">
        <v>44715</v>
      </c>
      <c r="E476" s="1">
        <v>44725</v>
      </c>
      <c r="F476" t="s">
        <v>26</v>
      </c>
      <c r="G476">
        <v>6</v>
      </c>
      <c r="H476">
        <v>3091.94</v>
      </c>
      <c r="I476">
        <v>18551.64</v>
      </c>
      <c r="J476" t="s">
        <v>20</v>
      </c>
    </row>
    <row r="477" spans="1:10" x14ac:dyDescent="0.3">
      <c r="A477">
        <v>2475</v>
      </c>
      <c r="B477" t="s">
        <v>48</v>
      </c>
      <c r="C477" t="s">
        <v>11</v>
      </c>
      <c r="D477" s="1">
        <v>45445</v>
      </c>
      <c r="E477" s="1">
        <v>45457</v>
      </c>
      <c r="F477" t="s">
        <v>19</v>
      </c>
      <c r="G477">
        <v>7</v>
      </c>
      <c r="H477">
        <v>1038.3900000000001</v>
      </c>
      <c r="I477">
        <v>7268.73</v>
      </c>
      <c r="J477" t="s">
        <v>13</v>
      </c>
    </row>
    <row r="478" spans="1:10" x14ac:dyDescent="0.3">
      <c r="A478">
        <v>2476</v>
      </c>
      <c r="B478" t="s">
        <v>47</v>
      </c>
      <c r="C478" t="s">
        <v>22</v>
      </c>
      <c r="D478" s="1">
        <v>44951</v>
      </c>
      <c r="E478" s="1">
        <v>44959</v>
      </c>
      <c r="F478" t="s">
        <v>28</v>
      </c>
      <c r="G478">
        <v>5</v>
      </c>
      <c r="H478">
        <v>3404.81</v>
      </c>
      <c r="I478">
        <v>17024.05</v>
      </c>
      <c r="J478" t="s">
        <v>20</v>
      </c>
    </row>
    <row r="479" spans="1:10" x14ac:dyDescent="0.3">
      <c r="A479">
        <v>2477</v>
      </c>
      <c r="B479" t="s">
        <v>17</v>
      </c>
      <c r="C479" t="s">
        <v>11</v>
      </c>
      <c r="D479" s="1">
        <v>44663</v>
      </c>
      <c r="E479" s="1">
        <v>44671</v>
      </c>
      <c r="F479" t="s">
        <v>36</v>
      </c>
      <c r="G479">
        <v>8</v>
      </c>
      <c r="H479">
        <v>1021.87</v>
      </c>
      <c r="I479">
        <v>8174.96</v>
      </c>
      <c r="J479" t="s">
        <v>20</v>
      </c>
    </row>
    <row r="480" spans="1:10" x14ac:dyDescent="0.3">
      <c r="A480">
        <v>2478</v>
      </c>
      <c r="B480" t="s">
        <v>21</v>
      </c>
      <c r="C480" t="s">
        <v>25</v>
      </c>
      <c r="D480" s="1">
        <v>44741</v>
      </c>
      <c r="E480" s="1">
        <v>44747</v>
      </c>
      <c r="F480" t="s">
        <v>32</v>
      </c>
      <c r="G480">
        <v>8</v>
      </c>
      <c r="H480">
        <v>1238.47</v>
      </c>
      <c r="I480">
        <v>9907.76</v>
      </c>
      <c r="J480" t="s">
        <v>13</v>
      </c>
    </row>
    <row r="481" spans="1:10" x14ac:dyDescent="0.3">
      <c r="A481">
        <v>2479</v>
      </c>
      <c r="B481" t="s">
        <v>29</v>
      </c>
      <c r="C481" t="s">
        <v>22</v>
      </c>
      <c r="D481" s="1">
        <v>45159</v>
      </c>
      <c r="E481" s="1">
        <v>45162</v>
      </c>
      <c r="F481" t="s">
        <v>16</v>
      </c>
      <c r="G481">
        <v>2</v>
      </c>
      <c r="H481">
        <v>1749.26</v>
      </c>
      <c r="I481">
        <v>3498.52</v>
      </c>
      <c r="J481" t="s">
        <v>20</v>
      </c>
    </row>
    <row r="482" spans="1:10" x14ac:dyDescent="0.3">
      <c r="A482">
        <v>2480</v>
      </c>
      <c r="B482" t="s">
        <v>41</v>
      </c>
      <c r="C482" t="s">
        <v>25</v>
      </c>
      <c r="D482" s="1">
        <v>45104</v>
      </c>
      <c r="E482" s="1">
        <v>45107</v>
      </c>
      <c r="F482" t="s">
        <v>28</v>
      </c>
      <c r="G482">
        <v>7</v>
      </c>
      <c r="H482">
        <v>1168.94</v>
      </c>
      <c r="I482">
        <v>8182.58</v>
      </c>
      <c r="J482" t="s">
        <v>20</v>
      </c>
    </row>
    <row r="483" spans="1:10" x14ac:dyDescent="0.3">
      <c r="A483">
        <v>2481</v>
      </c>
      <c r="B483" t="s">
        <v>46</v>
      </c>
      <c r="C483" t="s">
        <v>22</v>
      </c>
      <c r="D483" s="1">
        <v>45474</v>
      </c>
      <c r="E483" s="1">
        <v>45476</v>
      </c>
      <c r="F483" t="s">
        <v>12</v>
      </c>
      <c r="G483">
        <v>8</v>
      </c>
      <c r="H483">
        <v>2485.77</v>
      </c>
      <c r="I483">
        <v>19886.16</v>
      </c>
      <c r="J483" t="s">
        <v>13</v>
      </c>
    </row>
    <row r="484" spans="1:10" x14ac:dyDescent="0.3">
      <c r="A484">
        <v>2482</v>
      </c>
      <c r="B484" t="s">
        <v>33</v>
      </c>
      <c r="C484" t="s">
        <v>18</v>
      </c>
      <c r="D484" s="1">
        <v>44688</v>
      </c>
      <c r="E484" s="1">
        <v>44692</v>
      </c>
      <c r="F484" t="s">
        <v>32</v>
      </c>
      <c r="G484">
        <v>2</v>
      </c>
      <c r="H484">
        <v>702.82</v>
      </c>
      <c r="I484">
        <v>1405.64</v>
      </c>
      <c r="J484" t="s">
        <v>20</v>
      </c>
    </row>
    <row r="485" spans="1:10" x14ac:dyDescent="0.3">
      <c r="A485">
        <v>2483</v>
      </c>
      <c r="B485" t="s">
        <v>30</v>
      </c>
      <c r="C485" t="s">
        <v>25</v>
      </c>
      <c r="D485" s="1">
        <v>45027</v>
      </c>
      <c r="E485" s="1">
        <v>45037</v>
      </c>
      <c r="F485" t="s">
        <v>26</v>
      </c>
      <c r="G485">
        <v>7</v>
      </c>
      <c r="H485">
        <v>4146.5</v>
      </c>
      <c r="I485">
        <v>29025.5</v>
      </c>
      <c r="J485" t="s">
        <v>20</v>
      </c>
    </row>
    <row r="486" spans="1:10" x14ac:dyDescent="0.3">
      <c r="A486">
        <v>2484</v>
      </c>
      <c r="B486" t="s">
        <v>30</v>
      </c>
      <c r="C486" t="s">
        <v>15</v>
      </c>
      <c r="D486" s="1">
        <v>45534</v>
      </c>
      <c r="E486" s="1">
        <v>45545</v>
      </c>
      <c r="F486" t="s">
        <v>19</v>
      </c>
      <c r="G486">
        <v>8</v>
      </c>
      <c r="H486">
        <v>1704.6</v>
      </c>
      <c r="I486">
        <v>13636.8</v>
      </c>
      <c r="J486" t="s">
        <v>20</v>
      </c>
    </row>
    <row r="487" spans="1:10" x14ac:dyDescent="0.3">
      <c r="A487">
        <v>2485</v>
      </c>
      <c r="B487" t="s">
        <v>48</v>
      </c>
      <c r="C487" t="s">
        <v>11</v>
      </c>
      <c r="D487" s="1">
        <v>45590</v>
      </c>
      <c r="E487" s="1">
        <v>45601</v>
      </c>
      <c r="F487" t="s">
        <v>36</v>
      </c>
      <c r="G487">
        <v>3</v>
      </c>
      <c r="H487">
        <v>865.32</v>
      </c>
      <c r="I487">
        <v>2595.96</v>
      </c>
      <c r="J487" t="s">
        <v>20</v>
      </c>
    </row>
    <row r="488" spans="1:10" x14ac:dyDescent="0.3">
      <c r="A488">
        <v>2486</v>
      </c>
      <c r="B488" t="s">
        <v>45</v>
      </c>
      <c r="C488" t="s">
        <v>22</v>
      </c>
      <c r="D488" s="1">
        <v>44995</v>
      </c>
      <c r="E488" s="1">
        <v>45009</v>
      </c>
      <c r="F488" t="s">
        <v>19</v>
      </c>
      <c r="G488">
        <v>3</v>
      </c>
      <c r="H488">
        <v>500.58</v>
      </c>
      <c r="I488">
        <v>1501.74</v>
      </c>
      <c r="J488" t="s">
        <v>13</v>
      </c>
    </row>
    <row r="489" spans="1:10" x14ac:dyDescent="0.3">
      <c r="A489">
        <v>2487</v>
      </c>
      <c r="B489" t="s">
        <v>14</v>
      </c>
      <c r="C489" t="s">
        <v>25</v>
      </c>
      <c r="D489" s="1">
        <v>44975</v>
      </c>
      <c r="E489" s="1">
        <v>44990</v>
      </c>
      <c r="F489" t="s">
        <v>28</v>
      </c>
      <c r="G489">
        <v>3</v>
      </c>
      <c r="H489">
        <v>4220.3100000000004</v>
      </c>
      <c r="I489">
        <v>12660.93</v>
      </c>
      <c r="J489" t="s">
        <v>20</v>
      </c>
    </row>
    <row r="490" spans="1:10" x14ac:dyDescent="0.3">
      <c r="A490">
        <v>2488</v>
      </c>
      <c r="B490" t="s">
        <v>47</v>
      </c>
      <c r="C490" t="s">
        <v>15</v>
      </c>
      <c r="D490" s="1">
        <v>44699</v>
      </c>
      <c r="E490" s="1">
        <v>44702</v>
      </c>
      <c r="F490" t="s">
        <v>16</v>
      </c>
      <c r="G490">
        <v>7</v>
      </c>
      <c r="H490">
        <v>2894.65</v>
      </c>
      <c r="I490">
        <v>20262.55</v>
      </c>
      <c r="J490" t="s">
        <v>20</v>
      </c>
    </row>
    <row r="491" spans="1:10" x14ac:dyDescent="0.3">
      <c r="A491">
        <v>2489</v>
      </c>
      <c r="B491" t="s">
        <v>35</v>
      </c>
      <c r="C491" t="s">
        <v>25</v>
      </c>
      <c r="D491" s="1">
        <v>44587</v>
      </c>
      <c r="E491" s="1">
        <v>44601</v>
      </c>
      <c r="F491" t="s">
        <v>28</v>
      </c>
      <c r="G491">
        <v>7</v>
      </c>
      <c r="H491">
        <v>828.84</v>
      </c>
      <c r="I491">
        <v>5801.88</v>
      </c>
      <c r="J491" t="s">
        <v>13</v>
      </c>
    </row>
    <row r="492" spans="1:10" x14ac:dyDescent="0.3">
      <c r="A492">
        <v>2490</v>
      </c>
      <c r="B492" t="s">
        <v>37</v>
      </c>
      <c r="C492" t="s">
        <v>18</v>
      </c>
      <c r="D492" s="1">
        <v>44767</v>
      </c>
      <c r="E492" s="1">
        <v>44770</v>
      </c>
      <c r="F492" t="s">
        <v>36</v>
      </c>
      <c r="G492">
        <v>2</v>
      </c>
      <c r="H492">
        <v>3993</v>
      </c>
      <c r="I492">
        <v>7986</v>
      </c>
      <c r="J492" t="s">
        <v>20</v>
      </c>
    </row>
    <row r="493" spans="1:10" x14ac:dyDescent="0.3">
      <c r="A493">
        <v>2491</v>
      </c>
      <c r="B493" t="s">
        <v>39</v>
      </c>
      <c r="C493" t="s">
        <v>31</v>
      </c>
      <c r="D493" s="1">
        <v>45346</v>
      </c>
      <c r="E493" s="1">
        <v>45358</v>
      </c>
      <c r="F493" t="s">
        <v>16</v>
      </c>
      <c r="G493">
        <v>8</v>
      </c>
      <c r="H493">
        <v>476.09</v>
      </c>
      <c r="I493">
        <v>3808.72</v>
      </c>
      <c r="J493" t="s">
        <v>20</v>
      </c>
    </row>
    <row r="494" spans="1:10" x14ac:dyDescent="0.3">
      <c r="A494">
        <v>2492</v>
      </c>
      <c r="B494" t="s">
        <v>34</v>
      </c>
      <c r="C494" t="s">
        <v>22</v>
      </c>
      <c r="D494" s="1">
        <v>45384</v>
      </c>
      <c r="E494" s="1">
        <v>45386</v>
      </c>
      <c r="F494" t="s">
        <v>16</v>
      </c>
      <c r="G494">
        <v>6</v>
      </c>
      <c r="H494">
        <v>3545.41</v>
      </c>
      <c r="I494">
        <v>21272.46</v>
      </c>
      <c r="J494" t="s">
        <v>13</v>
      </c>
    </row>
    <row r="495" spans="1:10" x14ac:dyDescent="0.3">
      <c r="A495">
        <v>2493</v>
      </c>
      <c r="B495" t="s">
        <v>24</v>
      </c>
      <c r="C495" t="s">
        <v>25</v>
      </c>
      <c r="D495" s="1">
        <v>45112</v>
      </c>
      <c r="E495" s="1">
        <v>45119</v>
      </c>
      <c r="F495" t="s">
        <v>26</v>
      </c>
      <c r="G495">
        <v>6</v>
      </c>
      <c r="H495">
        <v>4141.71</v>
      </c>
      <c r="I495">
        <v>24850.26</v>
      </c>
      <c r="J495" t="s">
        <v>20</v>
      </c>
    </row>
    <row r="496" spans="1:10" x14ac:dyDescent="0.3">
      <c r="A496">
        <v>2494</v>
      </c>
      <c r="B496" t="s">
        <v>43</v>
      </c>
      <c r="C496" t="s">
        <v>31</v>
      </c>
      <c r="D496" s="1">
        <v>45568</v>
      </c>
      <c r="E496" s="1">
        <v>45583</v>
      </c>
      <c r="F496" t="s">
        <v>28</v>
      </c>
      <c r="G496">
        <v>2</v>
      </c>
      <c r="H496">
        <v>4870.7299999999996</v>
      </c>
      <c r="I496">
        <v>9741.4599999999991</v>
      </c>
      <c r="J496" t="s">
        <v>13</v>
      </c>
    </row>
    <row r="497" spans="1:10" x14ac:dyDescent="0.3">
      <c r="A497">
        <v>2495</v>
      </c>
      <c r="B497" t="s">
        <v>37</v>
      </c>
      <c r="C497" t="s">
        <v>31</v>
      </c>
      <c r="D497" s="1">
        <v>45469</v>
      </c>
      <c r="E497" s="1">
        <v>45483</v>
      </c>
      <c r="F497" t="s">
        <v>32</v>
      </c>
      <c r="G497">
        <v>6</v>
      </c>
      <c r="H497">
        <v>1566.27</v>
      </c>
      <c r="I497">
        <v>9397.6200000000008</v>
      </c>
      <c r="J497" t="s">
        <v>20</v>
      </c>
    </row>
    <row r="498" spans="1:10" x14ac:dyDescent="0.3">
      <c r="A498">
        <v>2496</v>
      </c>
      <c r="B498" t="s">
        <v>42</v>
      </c>
      <c r="C498" t="s">
        <v>15</v>
      </c>
      <c r="D498" s="1">
        <v>44744</v>
      </c>
      <c r="E498" s="1">
        <v>44749</v>
      </c>
      <c r="F498" t="s">
        <v>16</v>
      </c>
      <c r="G498">
        <v>4</v>
      </c>
      <c r="H498">
        <v>4593.13</v>
      </c>
      <c r="I498">
        <v>18372.52</v>
      </c>
      <c r="J498" t="s">
        <v>20</v>
      </c>
    </row>
    <row r="499" spans="1:10" x14ac:dyDescent="0.3">
      <c r="A499">
        <v>2497</v>
      </c>
      <c r="B499" t="s">
        <v>24</v>
      </c>
      <c r="C499" t="s">
        <v>25</v>
      </c>
      <c r="D499" s="1">
        <v>45619</v>
      </c>
      <c r="E499" s="1">
        <v>45634</v>
      </c>
      <c r="F499" t="s">
        <v>12</v>
      </c>
      <c r="G499">
        <v>1</v>
      </c>
      <c r="H499">
        <v>2721.77</v>
      </c>
      <c r="I499">
        <v>2721.77</v>
      </c>
      <c r="J499" t="s">
        <v>13</v>
      </c>
    </row>
    <row r="500" spans="1:10" x14ac:dyDescent="0.3">
      <c r="A500">
        <v>2498</v>
      </c>
      <c r="B500" t="s">
        <v>49</v>
      </c>
      <c r="C500" t="s">
        <v>31</v>
      </c>
      <c r="D500" s="1">
        <v>45599</v>
      </c>
      <c r="E500" s="1">
        <v>45607</v>
      </c>
      <c r="F500" t="s">
        <v>19</v>
      </c>
      <c r="G500">
        <v>1</v>
      </c>
      <c r="H500">
        <v>1116.57</v>
      </c>
      <c r="I500">
        <v>1116.57</v>
      </c>
      <c r="J500" t="s">
        <v>13</v>
      </c>
    </row>
    <row r="501" spans="1:10" x14ac:dyDescent="0.3">
      <c r="A501">
        <v>2499</v>
      </c>
      <c r="B501" t="s">
        <v>40</v>
      </c>
      <c r="C501" t="s">
        <v>22</v>
      </c>
      <c r="D501" s="1">
        <v>44629</v>
      </c>
      <c r="E501" s="1">
        <v>44638</v>
      </c>
      <c r="F501" t="s">
        <v>26</v>
      </c>
      <c r="G501">
        <v>6</v>
      </c>
      <c r="H501">
        <v>3611.78</v>
      </c>
      <c r="I501">
        <v>21670.68</v>
      </c>
      <c r="J5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594F-5474-46C1-99ED-8E1B3DFE6719}">
  <dimension ref="A1:P501"/>
  <sheetViews>
    <sheetView tabSelected="1" workbookViewId="0">
      <selection activeCell="F19" sqref="F19"/>
    </sheetView>
  </sheetViews>
  <sheetFormatPr defaultRowHeight="14.4" x14ac:dyDescent="0.3"/>
  <cols>
    <col min="1" max="1" width="10.44140625" customWidth="1"/>
    <col min="2" max="2" width="17" customWidth="1"/>
    <col min="3" max="3" width="18.109375" customWidth="1"/>
    <col min="4" max="4" width="12.5546875" customWidth="1"/>
    <col min="5" max="5" width="14.5546875" customWidth="1"/>
    <col min="7" max="7" width="11.88671875" customWidth="1"/>
    <col min="8" max="8" width="11.5546875" customWidth="1"/>
    <col min="9" max="9" width="15" customWidth="1"/>
    <col min="10" max="10" width="10.33203125" customWidth="1"/>
    <col min="16" max="16" width="17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</row>
    <row r="2" spans="1:16" x14ac:dyDescent="0.3">
      <c r="A2">
        <v>2000</v>
      </c>
      <c r="B2" t="s">
        <v>10</v>
      </c>
      <c r="C2" t="s">
        <v>11</v>
      </c>
      <c r="D2" s="1">
        <v>44613</v>
      </c>
      <c r="E2" s="1">
        <v>44626</v>
      </c>
      <c r="F2" t="s">
        <v>12</v>
      </c>
      <c r="G2">
        <v>4</v>
      </c>
      <c r="H2">
        <v>1349.09</v>
      </c>
      <c r="I2">
        <v>5396.36</v>
      </c>
      <c r="J2" t="s">
        <v>13</v>
      </c>
      <c r="K2">
        <f>YEAR(D2)</f>
        <v>2022</v>
      </c>
      <c r="L2">
        <f>MONTH(D2)</f>
        <v>2</v>
      </c>
      <c r="M2" t="str">
        <f>TEXT(D2,"MMMM")</f>
        <v>February</v>
      </c>
      <c r="N2">
        <f>WEEKDAY(D2,2)</f>
        <v>1</v>
      </c>
      <c r="O2">
        <f>DATEDIF(D2,E2,"D")</f>
        <v>13</v>
      </c>
      <c r="P2" s="1">
        <f ca="1">TODAY()-D2</f>
        <v>1560</v>
      </c>
    </row>
    <row r="3" spans="1:16" x14ac:dyDescent="0.3">
      <c r="A3">
        <v>2001</v>
      </c>
      <c r="B3" t="s">
        <v>14</v>
      </c>
      <c r="C3" t="s">
        <v>15</v>
      </c>
      <c r="D3" s="1">
        <v>44740</v>
      </c>
      <c r="E3" s="1">
        <v>44751</v>
      </c>
      <c r="F3" t="s">
        <v>16</v>
      </c>
      <c r="G3">
        <v>1</v>
      </c>
      <c r="H3">
        <v>440.05</v>
      </c>
      <c r="I3">
        <v>440.05</v>
      </c>
      <c r="J3" t="s">
        <v>13</v>
      </c>
      <c r="K3">
        <f t="shared" ref="K3:K66" si="0">YEAR(D3)</f>
        <v>2022</v>
      </c>
      <c r="L3">
        <f t="shared" ref="L3:L66" si="1">MONTH(D3)</f>
        <v>6</v>
      </c>
      <c r="M3" t="str">
        <f t="shared" ref="M3:M66" si="2">TEXT(D3,"MMMM")</f>
        <v>June</v>
      </c>
      <c r="N3">
        <f t="shared" ref="N3:N66" si="3">WEEKDAY(D3,2)</f>
        <v>2</v>
      </c>
      <c r="O3">
        <f t="shared" ref="O3:O66" si="4">DATEDIF(D3,E3,"D")</f>
        <v>11</v>
      </c>
      <c r="P3" s="1">
        <f t="shared" ref="P3:P66" ca="1" si="5">TODAY()-D3</f>
        <v>1433</v>
      </c>
    </row>
    <row r="4" spans="1:16" x14ac:dyDescent="0.3">
      <c r="A4">
        <v>2002</v>
      </c>
      <c r="B4" t="s">
        <v>17</v>
      </c>
      <c r="C4" t="s">
        <v>18</v>
      </c>
      <c r="D4" s="1">
        <v>44616</v>
      </c>
      <c r="E4" s="1">
        <v>44626</v>
      </c>
      <c r="F4" t="s">
        <v>19</v>
      </c>
      <c r="G4">
        <v>7</v>
      </c>
      <c r="H4">
        <v>1336.07</v>
      </c>
      <c r="I4">
        <v>9352.49</v>
      </c>
      <c r="J4" t="s">
        <v>20</v>
      </c>
      <c r="K4">
        <f t="shared" si="0"/>
        <v>2022</v>
      </c>
      <c r="L4">
        <f t="shared" si="1"/>
        <v>2</v>
      </c>
      <c r="M4" t="str">
        <f t="shared" si="2"/>
        <v>February</v>
      </c>
      <c r="N4">
        <f t="shared" si="3"/>
        <v>4</v>
      </c>
      <c r="O4">
        <f t="shared" si="4"/>
        <v>10</v>
      </c>
      <c r="P4" s="1">
        <f t="shared" ca="1" si="5"/>
        <v>1557</v>
      </c>
    </row>
    <row r="5" spans="1:16" x14ac:dyDescent="0.3">
      <c r="A5">
        <v>2003</v>
      </c>
      <c r="B5" t="s">
        <v>21</v>
      </c>
      <c r="C5" t="s">
        <v>22</v>
      </c>
      <c r="D5" s="1">
        <v>45427</v>
      </c>
      <c r="E5" s="1">
        <v>45434</v>
      </c>
      <c r="F5" t="s">
        <v>12</v>
      </c>
      <c r="G5">
        <v>3</v>
      </c>
      <c r="H5">
        <v>1311.97</v>
      </c>
      <c r="I5">
        <v>3935.91</v>
      </c>
      <c r="J5" t="s">
        <v>20</v>
      </c>
      <c r="K5">
        <f t="shared" si="0"/>
        <v>2024</v>
      </c>
      <c r="L5">
        <f t="shared" si="1"/>
        <v>5</v>
      </c>
      <c r="M5" t="str">
        <f t="shared" si="2"/>
        <v>May</v>
      </c>
      <c r="N5">
        <f t="shared" si="3"/>
        <v>3</v>
      </c>
      <c r="O5">
        <f t="shared" si="4"/>
        <v>7</v>
      </c>
      <c r="P5" s="1">
        <f t="shared" ca="1" si="5"/>
        <v>746</v>
      </c>
    </row>
    <row r="6" spans="1:16" x14ac:dyDescent="0.3">
      <c r="A6">
        <v>2004</v>
      </c>
      <c r="B6" t="s">
        <v>23</v>
      </c>
      <c r="C6" t="s">
        <v>11</v>
      </c>
      <c r="D6" s="1">
        <v>45340</v>
      </c>
      <c r="E6" s="1">
        <v>45343</v>
      </c>
      <c r="F6" t="s">
        <v>12</v>
      </c>
      <c r="G6">
        <v>6</v>
      </c>
      <c r="H6">
        <v>3137.51</v>
      </c>
      <c r="I6">
        <v>18825.060000000001</v>
      </c>
      <c r="J6" t="s">
        <v>13</v>
      </c>
      <c r="K6">
        <f t="shared" si="0"/>
        <v>2024</v>
      </c>
      <c r="L6">
        <f t="shared" si="1"/>
        <v>2</v>
      </c>
      <c r="M6" t="str">
        <f t="shared" si="2"/>
        <v>February</v>
      </c>
      <c r="N6">
        <f t="shared" si="3"/>
        <v>7</v>
      </c>
      <c r="O6">
        <f t="shared" si="4"/>
        <v>3</v>
      </c>
      <c r="P6" s="1">
        <f t="shared" ca="1" si="5"/>
        <v>833</v>
      </c>
    </row>
    <row r="7" spans="1:16" x14ac:dyDescent="0.3">
      <c r="A7">
        <v>2005</v>
      </c>
      <c r="B7" t="s">
        <v>24</v>
      </c>
      <c r="C7" t="s">
        <v>25</v>
      </c>
      <c r="D7" s="1">
        <v>44817</v>
      </c>
      <c r="E7" s="1">
        <v>44825</v>
      </c>
      <c r="F7" t="s">
        <v>26</v>
      </c>
      <c r="G7">
        <v>5</v>
      </c>
      <c r="H7">
        <v>4198.2</v>
      </c>
      <c r="I7">
        <v>20991</v>
      </c>
      <c r="J7" t="s">
        <v>20</v>
      </c>
      <c r="K7">
        <f t="shared" si="0"/>
        <v>2022</v>
      </c>
      <c r="L7">
        <f t="shared" si="1"/>
        <v>9</v>
      </c>
      <c r="M7" t="str">
        <f t="shared" si="2"/>
        <v>September</v>
      </c>
      <c r="N7">
        <f t="shared" si="3"/>
        <v>2</v>
      </c>
      <c r="O7">
        <f t="shared" si="4"/>
        <v>8</v>
      </c>
      <c r="P7" s="1">
        <f t="shared" ca="1" si="5"/>
        <v>1356</v>
      </c>
    </row>
    <row r="8" spans="1:16" x14ac:dyDescent="0.3">
      <c r="A8">
        <v>2006</v>
      </c>
      <c r="B8" t="s">
        <v>27</v>
      </c>
      <c r="C8" t="s">
        <v>22</v>
      </c>
      <c r="D8" s="1">
        <v>44704</v>
      </c>
      <c r="E8" s="1">
        <v>44706</v>
      </c>
      <c r="F8" t="s">
        <v>28</v>
      </c>
      <c r="G8">
        <v>4</v>
      </c>
      <c r="H8">
        <v>3933.42</v>
      </c>
      <c r="I8">
        <v>15733.68</v>
      </c>
      <c r="J8" t="s">
        <v>13</v>
      </c>
      <c r="K8">
        <f t="shared" si="0"/>
        <v>2022</v>
      </c>
      <c r="L8">
        <f t="shared" si="1"/>
        <v>5</v>
      </c>
      <c r="M8" t="str">
        <f t="shared" si="2"/>
        <v>May</v>
      </c>
      <c r="N8">
        <f t="shared" si="3"/>
        <v>1</v>
      </c>
      <c r="O8">
        <f t="shared" si="4"/>
        <v>2</v>
      </c>
      <c r="P8" s="1">
        <f t="shared" ca="1" si="5"/>
        <v>1469</v>
      </c>
    </row>
    <row r="9" spans="1:16" x14ac:dyDescent="0.3">
      <c r="A9">
        <v>2007</v>
      </c>
      <c r="B9" t="s">
        <v>17</v>
      </c>
      <c r="C9" t="s">
        <v>11</v>
      </c>
      <c r="D9" s="1">
        <v>45340</v>
      </c>
      <c r="E9" s="1">
        <v>45346</v>
      </c>
      <c r="F9" t="s">
        <v>16</v>
      </c>
      <c r="G9">
        <v>6</v>
      </c>
      <c r="H9">
        <v>1064.47</v>
      </c>
      <c r="I9">
        <v>6386.82</v>
      </c>
      <c r="J9" t="s">
        <v>20</v>
      </c>
      <c r="K9">
        <f t="shared" si="0"/>
        <v>2024</v>
      </c>
      <c r="L9">
        <f t="shared" si="1"/>
        <v>2</v>
      </c>
      <c r="M9" t="str">
        <f t="shared" si="2"/>
        <v>February</v>
      </c>
      <c r="N9">
        <f t="shared" si="3"/>
        <v>7</v>
      </c>
      <c r="O9">
        <f t="shared" si="4"/>
        <v>6</v>
      </c>
      <c r="P9" s="1">
        <f t="shared" ca="1" si="5"/>
        <v>833</v>
      </c>
    </row>
    <row r="10" spans="1:16" x14ac:dyDescent="0.3">
      <c r="A10">
        <v>2008</v>
      </c>
      <c r="B10" t="s">
        <v>29</v>
      </c>
      <c r="C10" t="s">
        <v>15</v>
      </c>
      <c r="D10" s="1">
        <v>45108</v>
      </c>
      <c r="E10" s="1">
        <v>45121</v>
      </c>
      <c r="F10" t="s">
        <v>28</v>
      </c>
      <c r="G10">
        <v>2</v>
      </c>
      <c r="H10">
        <v>3162.92</v>
      </c>
      <c r="I10">
        <v>6325.84</v>
      </c>
      <c r="J10" t="s">
        <v>13</v>
      </c>
      <c r="K10">
        <f t="shared" si="0"/>
        <v>2023</v>
      </c>
      <c r="L10">
        <f t="shared" si="1"/>
        <v>7</v>
      </c>
      <c r="M10" t="str">
        <f t="shared" si="2"/>
        <v>July</v>
      </c>
      <c r="N10">
        <f t="shared" si="3"/>
        <v>6</v>
      </c>
      <c r="O10">
        <f t="shared" si="4"/>
        <v>13</v>
      </c>
      <c r="P10" s="1">
        <f t="shared" ca="1" si="5"/>
        <v>1065</v>
      </c>
    </row>
    <row r="11" spans="1:16" x14ac:dyDescent="0.3">
      <c r="A11">
        <v>2009</v>
      </c>
      <c r="B11" t="s">
        <v>30</v>
      </c>
      <c r="C11" t="s">
        <v>15</v>
      </c>
      <c r="D11" s="1">
        <v>45063</v>
      </c>
      <c r="E11" s="1">
        <v>45067</v>
      </c>
      <c r="F11" t="s">
        <v>16</v>
      </c>
      <c r="G11">
        <v>7</v>
      </c>
      <c r="H11">
        <v>1568.75</v>
      </c>
      <c r="I11">
        <v>10981.25</v>
      </c>
      <c r="J11" t="s">
        <v>13</v>
      </c>
      <c r="K11">
        <f t="shared" si="0"/>
        <v>2023</v>
      </c>
      <c r="L11">
        <f t="shared" si="1"/>
        <v>5</v>
      </c>
      <c r="M11" t="str">
        <f t="shared" si="2"/>
        <v>May</v>
      </c>
      <c r="N11">
        <f t="shared" si="3"/>
        <v>3</v>
      </c>
      <c r="O11">
        <f t="shared" si="4"/>
        <v>4</v>
      </c>
      <c r="P11" s="1">
        <f t="shared" ca="1" si="5"/>
        <v>1110</v>
      </c>
    </row>
    <row r="12" spans="1:16" x14ac:dyDescent="0.3">
      <c r="A12">
        <v>2010</v>
      </c>
      <c r="B12" t="s">
        <v>14</v>
      </c>
      <c r="C12" t="s">
        <v>31</v>
      </c>
      <c r="D12" s="1">
        <v>44676</v>
      </c>
      <c r="E12" s="1">
        <v>44681</v>
      </c>
      <c r="F12" t="s">
        <v>32</v>
      </c>
      <c r="G12">
        <v>1</v>
      </c>
      <c r="H12">
        <v>4083.72</v>
      </c>
      <c r="I12">
        <v>4083.72</v>
      </c>
      <c r="J12" t="s">
        <v>20</v>
      </c>
      <c r="K12">
        <f t="shared" si="0"/>
        <v>2022</v>
      </c>
      <c r="L12">
        <f t="shared" si="1"/>
        <v>4</v>
      </c>
      <c r="M12" t="str">
        <f t="shared" si="2"/>
        <v>April</v>
      </c>
      <c r="N12">
        <f t="shared" si="3"/>
        <v>1</v>
      </c>
      <c r="O12">
        <f t="shared" si="4"/>
        <v>5</v>
      </c>
      <c r="P12" s="1">
        <f t="shared" ca="1" si="5"/>
        <v>1497</v>
      </c>
    </row>
    <row r="13" spans="1:16" x14ac:dyDescent="0.3">
      <c r="A13">
        <v>2011</v>
      </c>
      <c r="B13" t="s">
        <v>33</v>
      </c>
      <c r="C13" t="s">
        <v>11</v>
      </c>
      <c r="D13" s="1">
        <v>44994</v>
      </c>
      <c r="E13" s="1">
        <v>45005</v>
      </c>
      <c r="F13" t="s">
        <v>28</v>
      </c>
      <c r="G13">
        <v>6</v>
      </c>
      <c r="H13">
        <v>1299.3399999999999</v>
      </c>
      <c r="I13">
        <v>7796.04</v>
      </c>
      <c r="J13" t="s">
        <v>20</v>
      </c>
      <c r="K13">
        <f t="shared" si="0"/>
        <v>2023</v>
      </c>
      <c r="L13">
        <f t="shared" si="1"/>
        <v>3</v>
      </c>
      <c r="M13" t="str">
        <f t="shared" si="2"/>
        <v>March</v>
      </c>
      <c r="N13">
        <f t="shared" si="3"/>
        <v>4</v>
      </c>
      <c r="O13">
        <f t="shared" si="4"/>
        <v>11</v>
      </c>
      <c r="P13" s="1">
        <f t="shared" ca="1" si="5"/>
        <v>1179</v>
      </c>
    </row>
    <row r="14" spans="1:16" x14ac:dyDescent="0.3">
      <c r="A14">
        <v>2012</v>
      </c>
      <c r="B14" t="s">
        <v>34</v>
      </c>
      <c r="C14" t="s">
        <v>15</v>
      </c>
      <c r="D14" s="1">
        <v>45501</v>
      </c>
      <c r="E14" s="1">
        <v>45505</v>
      </c>
      <c r="F14" t="s">
        <v>12</v>
      </c>
      <c r="G14">
        <v>3</v>
      </c>
      <c r="H14">
        <v>1459.15</v>
      </c>
      <c r="I14">
        <v>4377.45</v>
      </c>
      <c r="J14" t="s">
        <v>20</v>
      </c>
      <c r="K14">
        <f t="shared" si="0"/>
        <v>2024</v>
      </c>
      <c r="L14">
        <f t="shared" si="1"/>
        <v>7</v>
      </c>
      <c r="M14" t="str">
        <f t="shared" si="2"/>
        <v>July</v>
      </c>
      <c r="N14">
        <f t="shared" si="3"/>
        <v>7</v>
      </c>
      <c r="O14">
        <f t="shared" si="4"/>
        <v>4</v>
      </c>
      <c r="P14" s="1">
        <f t="shared" ca="1" si="5"/>
        <v>672</v>
      </c>
    </row>
    <row r="15" spans="1:16" x14ac:dyDescent="0.3">
      <c r="A15">
        <v>2013</v>
      </c>
      <c r="B15" t="s">
        <v>24</v>
      </c>
      <c r="C15" t="s">
        <v>18</v>
      </c>
      <c r="D15" s="1">
        <v>45439</v>
      </c>
      <c r="E15" s="1">
        <v>45450</v>
      </c>
      <c r="F15" t="s">
        <v>16</v>
      </c>
      <c r="G15">
        <v>6</v>
      </c>
      <c r="H15">
        <v>1330.81</v>
      </c>
      <c r="I15">
        <v>7984.86</v>
      </c>
      <c r="J15" t="s">
        <v>13</v>
      </c>
      <c r="K15">
        <f t="shared" si="0"/>
        <v>2024</v>
      </c>
      <c r="L15">
        <f t="shared" si="1"/>
        <v>5</v>
      </c>
      <c r="M15" t="str">
        <f t="shared" si="2"/>
        <v>May</v>
      </c>
      <c r="N15">
        <f t="shared" si="3"/>
        <v>1</v>
      </c>
      <c r="O15">
        <f t="shared" si="4"/>
        <v>11</v>
      </c>
      <c r="P15" s="1">
        <f t="shared" ca="1" si="5"/>
        <v>734</v>
      </c>
    </row>
    <row r="16" spans="1:16" x14ac:dyDescent="0.3">
      <c r="A16">
        <v>2014</v>
      </c>
      <c r="B16" t="s">
        <v>35</v>
      </c>
      <c r="C16" t="s">
        <v>25</v>
      </c>
      <c r="D16" s="1">
        <v>44748</v>
      </c>
      <c r="E16" s="1">
        <v>44762</v>
      </c>
      <c r="F16" t="s">
        <v>26</v>
      </c>
      <c r="G16">
        <v>2</v>
      </c>
      <c r="H16">
        <v>1018.35</v>
      </c>
      <c r="I16">
        <v>2036.7</v>
      </c>
      <c r="J16" t="s">
        <v>13</v>
      </c>
      <c r="K16">
        <f t="shared" si="0"/>
        <v>2022</v>
      </c>
      <c r="L16">
        <f t="shared" si="1"/>
        <v>7</v>
      </c>
      <c r="M16" t="str">
        <f t="shared" si="2"/>
        <v>July</v>
      </c>
      <c r="N16">
        <f t="shared" si="3"/>
        <v>3</v>
      </c>
      <c r="O16">
        <f t="shared" si="4"/>
        <v>14</v>
      </c>
      <c r="P16" s="1">
        <f t="shared" ca="1" si="5"/>
        <v>1425</v>
      </c>
    </row>
    <row r="17" spans="1:16" x14ac:dyDescent="0.3">
      <c r="A17">
        <v>2015</v>
      </c>
      <c r="B17" t="s">
        <v>14</v>
      </c>
      <c r="C17" t="s">
        <v>25</v>
      </c>
      <c r="D17" s="1">
        <v>44692</v>
      </c>
      <c r="E17" s="1">
        <v>44700</v>
      </c>
      <c r="F17" t="s">
        <v>16</v>
      </c>
      <c r="G17">
        <v>8</v>
      </c>
      <c r="H17">
        <v>2786.84</v>
      </c>
      <c r="I17">
        <v>22294.720000000001</v>
      </c>
      <c r="J17" t="s">
        <v>13</v>
      </c>
      <c r="K17">
        <f t="shared" si="0"/>
        <v>2022</v>
      </c>
      <c r="L17">
        <f t="shared" si="1"/>
        <v>5</v>
      </c>
      <c r="M17" t="str">
        <f t="shared" si="2"/>
        <v>May</v>
      </c>
      <c r="N17">
        <f t="shared" si="3"/>
        <v>3</v>
      </c>
      <c r="O17">
        <f t="shared" si="4"/>
        <v>8</v>
      </c>
      <c r="P17" s="1">
        <f t="shared" ca="1" si="5"/>
        <v>1481</v>
      </c>
    </row>
    <row r="18" spans="1:16" x14ac:dyDescent="0.3">
      <c r="A18">
        <v>2016</v>
      </c>
      <c r="B18" t="s">
        <v>14</v>
      </c>
      <c r="C18" t="s">
        <v>15</v>
      </c>
      <c r="D18" s="1">
        <v>44796</v>
      </c>
      <c r="E18" s="1">
        <v>44808</v>
      </c>
      <c r="F18" t="s">
        <v>36</v>
      </c>
      <c r="G18">
        <v>5</v>
      </c>
      <c r="H18">
        <v>3912.41</v>
      </c>
      <c r="I18">
        <v>19562.05</v>
      </c>
      <c r="J18" t="s">
        <v>20</v>
      </c>
      <c r="K18">
        <f t="shared" si="0"/>
        <v>2022</v>
      </c>
      <c r="L18">
        <f t="shared" si="1"/>
        <v>8</v>
      </c>
      <c r="M18" t="str">
        <f t="shared" si="2"/>
        <v>August</v>
      </c>
      <c r="N18">
        <f t="shared" si="3"/>
        <v>2</v>
      </c>
      <c r="O18">
        <f t="shared" si="4"/>
        <v>12</v>
      </c>
      <c r="P18" s="1">
        <f t="shared" ca="1" si="5"/>
        <v>1377</v>
      </c>
    </row>
    <row r="19" spans="1:16" x14ac:dyDescent="0.3">
      <c r="A19">
        <v>2017</v>
      </c>
      <c r="B19" t="s">
        <v>23</v>
      </c>
      <c r="C19" t="s">
        <v>31</v>
      </c>
      <c r="D19" s="1">
        <v>45452</v>
      </c>
      <c r="E19" s="1">
        <v>45456</v>
      </c>
      <c r="F19" t="s">
        <v>16</v>
      </c>
      <c r="G19">
        <v>1</v>
      </c>
      <c r="H19">
        <v>4782.93</v>
      </c>
      <c r="I19">
        <v>4782.93</v>
      </c>
      <c r="J19" t="s">
        <v>20</v>
      </c>
      <c r="K19">
        <f t="shared" si="0"/>
        <v>2024</v>
      </c>
      <c r="L19">
        <f t="shared" si="1"/>
        <v>6</v>
      </c>
      <c r="M19" t="str">
        <f t="shared" si="2"/>
        <v>June</v>
      </c>
      <c r="N19">
        <f t="shared" si="3"/>
        <v>7</v>
      </c>
      <c r="O19">
        <f t="shared" si="4"/>
        <v>4</v>
      </c>
      <c r="P19" s="1">
        <f t="shared" ca="1" si="5"/>
        <v>721</v>
      </c>
    </row>
    <row r="20" spans="1:16" x14ac:dyDescent="0.3">
      <c r="A20">
        <v>2018</v>
      </c>
      <c r="B20" t="s">
        <v>35</v>
      </c>
      <c r="C20" t="s">
        <v>22</v>
      </c>
      <c r="D20" s="1">
        <v>45601</v>
      </c>
      <c r="E20" s="1">
        <v>45604</v>
      </c>
      <c r="F20" t="s">
        <v>32</v>
      </c>
      <c r="G20">
        <v>5</v>
      </c>
      <c r="H20">
        <v>4255.8500000000004</v>
      </c>
      <c r="I20">
        <v>21279.25</v>
      </c>
      <c r="J20" t="s">
        <v>13</v>
      </c>
      <c r="K20">
        <f t="shared" si="0"/>
        <v>2024</v>
      </c>
      <c r="L20">
        <f t="shared" si="1"/>
        <v>11</v>
      </c>
      <c r="M20" t="str">
        <f t="shared" si="2"/>
        <v>November</v>
      </c>
      <c r="N20">
        <f t="shared" si="3"/>
        <v>2</v>
      </c>
      <c r="O20">
        <f t="shared" si="4"/>
        <v>3</v>
      </c>
      <c r="P20" s="1">
        <f t="shared" ca="1" si="5"/>
        <v>572</v>
      </c>
    </row>
    <row r="21" spans="1:16" x14ac:dyDescent="0.3">
      <c r="A21">
        <v>2019</v>
      </c>
      <c r="B21" t="s">
        <v>37</v>
      </c>
      <c r="C21" t="s">
        <v>31</v>
      </c>
      <c r="D21" s="1">
        <v>44892</v>
      </c>
      <c r="E21" s="1">
        <v>44902</v>
      </c>
      <c r="F21" t="s">
        <v>32</v>
      </c>
      <c r="G21">
        <v>1</v>
      </c>
      <c r="H21">
        <v>3115.04</v>
      </c>
      <c r="I21">
        <v>3115.04</v>
      </c>
      <c r="J21" t="s">
        <v>20</v>
      </c>
      <c r="K21">
        <f t="shared" si="0"/>
        <v>2022</v>
      </c>
      <c r="L21">
        <f t="shared" si="1"/>
        <v>11</v>
      </c>
      <c r="M21" t="str">
        <f t="shared" si="2"/>
        <v>November</v>
      </c>
      <c r="N21">
        <f t="shared" si="3"/>
        <v>7</v>
      </c>
      <c r="O21">
        <f t="shared" si="4"/>
        <v>10</v>
      </c>
      <c r="P21" s="1">
        <f t="shared" ca="1" si="5"/>
        <v>1281</v>
      </c>
    </row>
    <row r="22" spans="1:16" x14ac:dyDescent="0.3">
      <c r="A22">
        <v>2020</v>
      </c>
      <c r="B22" t="s">
        <v>21</v>
      </c>
      <c r="C22" t="s">
        <v>11</v>
      </c>
      <c r="D22" s="1">
        <v>45305</v>
      </c>
      <c r="E22" s="1">
        <v>45320</v>
      </c>
      <c r="F22" t="s">
        <v>32</v>
      </c>
      <c r="G22">
        <v>5</v>
      </c>
      <c r="H22">
        <v>1425.43</v>
      </c>
      <c r="I22">
        <v>7127.15</v>
      </c>
      <c r="J22" t="s">
        <v>13</v>
      </c>
      <c r="K22">
        <f t="shared" si="0"/>
        <v>2024</v>
      </c>
      <c r="L22">
        <f t="shared" si="1"/>
        <v>1</v>
      </c>
      <c r="M22" t="str">
        <f t="shared" si="2"/>
        <v>January</v>
      </c>
      <c r="N22">
        <f t="shared" si="3"/>
        <v>7</v>
      </c>
      <c r="O22">
        <f t="shared" si="4"/>
        <v>15</v>
      </c>
      <c r="P22" s="1">
        <f t="shared" ca="1" si="5"/>
        <v>868</v>
      </c>
    </row>
    <row r="23" spans="1:16" x14ac:dyDescent="0.3">
      <c r="A23">
        <v>2021</v>
      </c>
      <c r="B23" t="s">
        <v>27</v>
      </c>
      <c r="C23" t="s">
        <v>11</v>
      </c>
      <c r="D23" s="1">
        <v>44737</v>
      </c>
      <c r="E23" s="1">
        <v>44750</v>
      </c>
      <c r="F23" t="s">
        <v>16</v>
      </c>
      <c r="G23">
        <v>2</v>
      </c>
      <c r="H23">
        <v>4896.53</v>
      </c>
      <c r="I23">
        <v>9793.06</v>
      </c>
      <c r="J23" t="s">
        <v>13</v>
      </c>
      <c r="K23">
        <f t="shared" si="0"/>
        <v>2022</v>
      </c>
      <c r="L23">
        <f t="shared" si="1"/>
        <v>6</v>
      </c>
      <c r="M23" t="str">
        <f t="shared" si="2"/>
        <v>June</v>
      </c>
      <c r="N23">
        <f t="shared" si="3"/>
        <v>6</v>
      </c>
      <c r="O23">
        <f t="shared" si="4"/>
        <v>13</v>
      </c>
      <c r="P23" s="1">
        <f t="shared" ca="1" si="5"/>
        <v>1436</v>
      </c>
    </row>
    <row r="24" spans="1:16" x14ac:dyDescent="0.3">
      <c r="A24">
        <v>2022</v>
      </c>
      <c r="B24" t="s">
        <v>37</v>
      </c>
      <c r="C24" t="s">
        <v>15</v>
      </c>
      <c r="D24" s="1">
        <v>45535</v>
      </c>
      <c r="E24" s="1">
        <v>45545</v>
      </c>
      <c r="F24" t="s">
        <v>19</v>
      </c>
      <c r="G24">
        <v>5</v>
      </c>
      <c r="H24">
        <v>2780.07</v>
      </c>
      <c r="I24">
        <v>13900.35</v>
      </c>
      <c r="J24" t="s">
        <v>20</v>
      </c>
      <c r="K24">
        <f t="shared" si="0"/>
        <v>2024</v>
      </c>
      <c r="L24">
        <f t="shared" si="1"/>
        <v>8</v>
      </c>
      <c r="M24" t="str">
        <f t="shared" si="2"/>
        <v>August</v>
      </c>
      <c r="N24">
        <f t="shared" si="3"/>
        <v>6</v>
      </c>
      <c r="O24">
        <f t="shared" si="4"/>
        <v>10</v>
      </c>
      <c r="P24" s="1">
        <f t="shared" ca="1" si="5"/>
        <v>638</v>
      </c>
    </row>
    <row r="25" spans="1:16" x14ac:dyDescent="0.3">
      <c r="A25">
        <v>2023</v>
      </c>
      <c r="B25" t="s">
        <v>29</v>
      </c>
      <c r="C25" t="s">
        <v>18</v>
      </c>
      <c r="D25" s="1">
        <v>44973</v>
      </c>
      <c r="E25" s="1">
        <v>44986</v>
      </c>
      <c r="F25" t="s">
        <v>12</v>
      </c>
      <c r="G25">
        <v>7</v>
      </c>
      <c r="H25">
        <v>4977.2</v>
      </c>
      <c r="I25">
        <v>34840.400000000001</v>
      </c>
      <c r="J25" t="s">
        <v>20</v>
      </c>
      <c r="K25">
        <f t="shared" si="0"/>
        <v>2023</v>
      </c>
      <c r="L25">
        <f t="shared" si="1"/>
        <v>2</v>
      </c>
      <c r="M25" t="str">
        <f t="shared" si="2"/>
        <v>February</v>
      </c>
      <c r="N25">
        <f t="shared" si="3"/>
        <v>4</v>
      </c>
      <c r="O25">
        <f t="shared" si="4"/>
        <v>13</v>
      </c>
      <c r="P25" s="1">
        <f t="shared" ca="1" si="5"/>
        <v>1200</v>
      </c>
    </row>
    <row r="26" spans="1:16" x14ac:dyDescent="0.3">
      <c r="A26">
        <v>2024</v>
      </c>
      <c r="B26" t="s">
        <v>38</v>
      </c>
      <c r="C26" t="s">
        <v>18</v>
      </c>
      <c r="D26" s="1">
        <v>45486</v>
      </c>
      <c r="E26" s="1">
        <v>45489</v>
      </c>
      <c r="F26" t="s">
        <v>19</v>
      </c>
      <c r="G26">
        <v>4</v>
      </c>
      <c r="H26">
        <v>600.91999999999996</v>
      </c>
      <c r="I26">
        <v>2403.6799999999998</v>
      </c>
      <c r="J26" t="s">
        <v>13</v>
      </c>
      <c r="K26">
        <f t="shared" si="0"/>
        <v>2024</v>
      </c>
      <c r="L26">
        <f t="shared" si="1"/>
        <v>7</v>
      </c>
      <c r="M26" t="str">
        <f t="shared" si="2"/>
        <v>July</v>
      </c>
      <c r="N26">
        <f t="shared" si="3"/>
        <v>6</v>
      </c>
      <c r="O26">
        <f t="shared" si="4"/>
        <v>3</v>
      </c>
      <c r="P26" s="1">
        <f t="shared" ca="1" si="5"/>
        <v>687</v>
      </c>
    </row>
    <row r="27" spans="1:16" x14ac:dyDescent="0.3">
      <c r="A27">
        <v>2025</v>
      </c>
      <c r="B27" t="s">
        <v>27</v>
      </c>
      <c r="C27" t="s">
        <v>18</v>
      </c>
      <c r="D27" s="1">
        <v>45033</v>
      </c>
      <c r="E27" s="1">
        <v>45044</v>
      </c>
      <c r="F27" t="s">
        <v>19</v>
      </c>
      <c r="G27">
        <v>1</v>
      </c>
      <c r="H27">
        <v>633.66999999999996</v>
      </c>
      <c r="I27">
        <v>633.66999999999996</v>
      </c>
      <c r="J27" t="s">
        <v>13</v>
      </c>
      <c r="K27">
        <f t="shared" si="0"/>
        <v>2023</v>
      </c>
      <c r="L27">
        <f t="shared" si="1"/>
        <v>4</v>
      </c>
      <c r="M27" t="str">
        <f t="shared" si="2"/>
        <v>April</v>
      </c>
      <c r="N27">
        <f t="shared" si="3"/>
        <v>1</v>
      </c>
      <c r="O27">
        <f t="shared" si="4"/>
        <v>11</v>
      </c>
      <c r="P27" s="1">
        <f t="shared" ca="1" si="5"/>
        <v>1140</v>
      </c>
    </row>
    <row r="28" spans="1:16" x14ac:dyDescent="0.3">
      <c r="A28">
        <v>2026</v>
      </c>
      <c r="B28" t="s">
        <v>17</v>
      </c>
      <c r="C28" t="s">
        <v>11</v>
      </c>
      <c r="D28" s="1">
        <v>44626</v>
      </c>
      <c r="E28" s="1">
        <v>44641</v>
      </c>
      <c r="F28" t="s">
        <v>12</v>
      </c>
      <c r="G28">
        <v>2</v>
      </c>
      <c r="H28">
        <v>2716.53</v>
      </c>
      <c r="I28">
        <v>5433.06</v>
      </c>
      <c r="J28" t="s">
        <v>20</v>
      </c>
      <c r="K28">
        <f t="shared" si="0"/>
        <v>2022</v>
      </c>
      <c r="L28">
        <f t="shared" si="1"/>
        <v>3</v>
      </c>
      <c r="M28" t="str">
        <f t="shared" si="2"/>
        <v>March</v>
      </c>
      <c r="N28">
        <f t="shared" si="3"/>
        <v>7</v>
      </c>
      <c r="O28">
        <f t="shared" si="4"/>
        <v>15</v>
      </c>
      <c r="P28" s="1">
        <f t="shared" ca="1" si="5"/>
        <v>1547</v>
      </c>
    </row>
    <row r="29" spans="1:16" x14ac:dyDescent="0.3">
      <c r="A29">
        <v>2027</v>
      </c>
      <c r="B29" t="s">
        <v>14</v>
      </c>
      <c r="C29" t="s">
        <v>25</v>
      </c>
      <c r="D29" s="1">
        <v>45000</v>
      </c>
      <c r="E29" s="1">
        <v>45010</v>
      </c>
      <c r="F29" t="s">
        <v>19</v>
      </c>
      <c r="G29">
        <v>8</v>
      </c>
      <c r="H29">
        <v>1442.09</v>
      </c>
      <c r="I29">
        <v>11536.72</v>
      </c>
      <c r="J29" t="s">
        <v>20</v>
      </c>
      <c r="K29">
        <f t="shared" si="0"/>
        <v>2023</v>
      </c>
      <c r="L29">
        <f t="shared" si="1"/>
        <v>3</v>
      </c>
      <c r="M29" t="str">
        <f t="shared" si="2"/>
        <v>March</v>
      </c>
      <c r="N29">
        <f t="shared" si="3"/>
        <v>3</v>
      </c>
      <c r="O29">
        <f t="shared" si="4"/>
        <v>10</v>
      </c>
      <c r="P29" s="1">
        <f t="shared" ca="1" si="5"/>
        <v>1173</v>
      </c>
    </row>
    <row r="30" spans="1:16" x14ac:dyDescent="0.3">
      <c r="A30">
        <v>2028</v>
      </c>
      <c r="B30" t="s">
        <v>39</v>
      </c>
      <c r="C30" t="s">
        <v>22</v>
      </c>
      <c r="D30" s="1">
        <v>44755</v>
      </c>
      <c r="E30" s="1">
        <v>44758</v>
      </c>
      <c r="F30" t="s">
        <v>28</v>
      </c>
      <c r="G30">
        <v>7</v>
      </c>
      <c r="H30">
        <v>1965.2</v>
      </c>
      <c r="I30">
        <v>13756.4</v>
      </c>
      <c r="J30" t="s">
        <v>20</v>
      </c>
      <c r="K30">
        <f t="shared" si="0"/>
        <v>2022</v>
      </c>
      <c r="L30">
        <f t="shared" si="1"/>
        <v>7</v>
      </c>
      <c r="M30" t="str">
        <f t="shared" si="2"/>
        <v>July</v>
      </c>
      <c r="N30">
        <f t="shared" si="3"/>
        <v>3</v>
      </c>
      <c r="O30">
        <f t="shared" si="4"/>
        <v>3</v>
      </c>
      <c r="P30" s="1">
        <f t="shared" ca="1" si="5"/>
        <v>1418</v>
      </c>
    </row>
    <row r="31" spans="1:16" x14ac:dyDescent="0.3">
      <c r="A31">
        <v>2029</v>
      </c>
      <c r="B31" t="s">
        <v>38</v>
      </c>
      <c r="C31" t="s">
        <v>15</v>
      </c>
      <c r="D31" s="1">
        <v>44672</v>
      </c>
      <c r="E31" s="1">
        <v>44684</v>
      </c>
      <c r="F31" t="s">
        <v>28</v>
      </c>
      <c r="G31">
        <v>2</v>
      </c>
      <c r="H31">
        <v>584.88</v>
      </c>
      <c r="I31">
        <v>1169.76</v>
      </c>
      <c r="J31" t="s">
        <v>20</v>
      </c>
      <c r="K31">
        <f t="shared" si="0"/>
        <v>2022</v>
      </c>
      <c r="L31">
        <f t="shared" si="1"/>
        <v>4</v>
      </c>
      <c r="M31" t="str">
        <f t="shared" si="2"/>
        <v>April</v>
      </c>
      <c r="N31">
        <f t="shared" si="3"/>
        <v>4</v>
      </c>
      <c r="O31">
        <f t="shared" si="4"/>
        <v>12</v>
      </c>
      <c r="P31" s="1">
        <f t="shared" ca="1" si="5"/>
        <v>1501</v>
      </c>
    </row>
    <row r="32" spans="1:16" x14ac:dyDescent="0.3">
      <c r="A32">
        <v>2030</v>
      </c>
      <c r="B32" t="s">
        <v>23</v>
      </c>
      <c r="C32" t="s">
        <v>22</v>
      </c>
      <c r="D32" s="1">
        <v>44954</v>
      </c>
      <c r="E32" s="1">
        <v>44959</v>
      </c>
      <c r="F32" t="s">
        <v>36</v>
      </c>
      <c r="G32">
        <v>8</v>
      </c>
      <c r="H32">
        <v>958.86</v>
      </c>
      <c r="I32">
        <v>7670.88</v>
      </c>
      <c r="J32" t="s">
        <v>13</v>
      </c>
      <c r="K32">
        <f t="shared" si="0"/>
        <v>2023</v>
      </c>
      <c r="L32">
        <f t="shared" si="1"/>
        <v>1</v>
      </c>
      <c r="M32" t="str">
        <f t="shared" si="2"/>
        <v>January</v>
      </c>
      <c r="N32">
        <f t="shared" si="3"/>
        <v>6</v>
      </c>
      <c r="O32">
        <f t="shared" si="4"/>
        <v>5</v>
      </c>
      <c r="P32" s="1">
        <f t="shared" ca="1" si="5"/>
        <v>1219</v>
      </c>
    </row>
    <row r="33" spans="1:16" x14ac:dyDescent="0.3">
      <c r="A33">
        <v>2031</v>
      </c>
      <c r="B33" t="s">
        <v>33</v>
      </c>
      <c r="C33" t="s">
        <v>25</v>
      </c>
      <c r="D33" s="1">
        <v>45073</v>
      </c>
      <c r="E33" s="1">
        <v>45088</v>
      </c>
      <c r="F33" t="s">
        <v>26</v>
      </c>
      <c r="G33">
        <v>8</v>
      </c>
      <c r="H33">
        <v>4097.7</v>
      </c>
      <c r="I33">
        <v>32781.599999999999</v>
      </c>
      <c r="J33" t="s">
        <v>13</v>
      </c>
      <c r="K33">
        <f t="shared" si="0"/>
        <v>2023</v>
      </c>
      <c r="L33">
        <f t="shared" si="1"/>
        <v>5</v>
      </c>
      <c r="M33" t="str">
        <f t="shared" si="2"/>
        <v>May</v>
      </c>
      <c r="N33">
        <f t="shared" si="3"/>
        <v>6</v>
      </c>
      <c r="O33">
        <f t="shared" si="4"/>
        <v>15</v>
      </c>
      <c r="P33" s="1">
        <f t="shared" ca="1" si="5"/>
        <v>1100</v>
      </c>
    </row>
    <row r="34" spans="1:16" x14ac:dyDescent="0.3">
      <c r="A34">
        <v>2032</v>
      </c>
      <c r="B34" t="s">
        <v>40</v>
      </c>
      <c r="C34" t="s">
        <v>15</v>
      </c>
      <c r="D34" s="1">
        <v>44592</v>
      </c>
      <c r="E34" s="1">
        <v>44595</v>
      </c>
      <c r="F34" t="s">
        <v>32</v>
      </c>
      <c r="G34">
        <v>4</v>
      </c>
      <c r="H34">
        <v>1081.6600000000001</v>
      </c>
      <c r="I34">
        <v>4326.6400000000003</v>
      </c>
      <c r="J34" t="s">
        <v>20</v>
      </c>
      <c r="K34">
        <f t="shared" si="0"/>
        <v>2022</v>
      </c>
      <c r="L34">
        <f t="shared" si="1"/>
        <v>1</v>
      </c>
      <c r="M34" t="str">
        <f t="shared" si="2"/>
        <v>January</v>
      </c>
      <c r="N34">
        <f t="shared" si="3"/>
        <v>1</v>
      </c>
      <c r="O34">
        <f t="shared" si="4"/>
        <v>3</v>
      </c>
      <c r="P34" s="1">
        <f t="shared" ca="1" si="5"/>
        <v>1581</v>
      </c>
    </row>
    <row r="35" spans="1:16" x14ac:dyDescent="0.3">
      <c r="A35">
        <v>2033</v>
      </c>
      <c r="B35" t="s">
        <v>41</v>
      </c>
      <c r="C35" t="s">
        <v>22</v>
      </c>
      <c r="D35" s="1">
        <v>45383</v>
      </c>
      <c r="E35" s="1">
        <v>45385</v>
      </c>
      <c r="F35" t="s">
        <v>19</v>
      </c>
      <c r="G35">
        <v>7</v>
      </c>
      <c r="H35">
        <v>310.13</v>
      </c>
      <c r="I35">
        <v>2170.91</v>
      </c>
      <c r="J35" t="s">
        <v>20</v>
      </c>
      <c r="K35">
        <f t="shared" si="0"/>
        <v>2024</v>
      </c>
      <c r="L35">
        <f t="shared" si="1"/>
        <v>4</v>
      </c>
      <c r="M35" t="str">
        <f t="shared" si="2"/>
        <v>April</v>
      </c>
      <c r="N35">
        <f t="shared" si="3"/>
        <v>1</v>
      </c>
      <c r="O35">
        <f t="shared" si="4"/>
        <v>2</v>
      </c>
      <c r="P35" s="1">
        <f t="shared" ca="1" si="5"/>
        <v>790</v>
      </c>
    </row>
    <row r="36" spans="1:16" x14ac:dyDescent="0.3">
      <c r="A36">
        <v>2034</v>
      </c>
      <c r="B36" t="s">
        <v>33</v>
      </c>
      <c r="C36" t="s">
        <v>25</v>
      </c>
      <c r="D36" s="1">
        <v>45146</v>
      </c>
      <c r="E36" s="1">
        <v>45154</v>
      </c>
      <c r="F36" t="s">
        <v>28</v>
      </c>
      <c r="G36">
        <v>8</v>
      </c>
      <c r="H36">
        <v>1027.55</v>
      </c>
      <c r="I36">
        <v>8220.4</v>
      </c>
      <c r="J36" t="s">
        <v>20</v>
      </c>
      <c r="K36">
        <f t="shared" si="0"/>
        <v>2023</v>
      </c>
      <c r="L36">
        <f t="shared" si="1"/>
        <v>8</v>
      </c>
      <c r="M36" t="str">
        <f t="shared" si="2"/>
        <v>August</v>
      </c>
      <c r="N36">
        <f t="shared" si="3"/>
        <v>2</v>
      </c>
      <c r="O36">
        <f t="shared" si="4"/>
        <v>8</v>
      </c>
      <c r="P36" s="1">
        <f t="shared" ca="1" si="5"/>
        <v>1027</v>
      </c>
    </row>
    <row r="37" spans="1:16" x14ac:dyDescent="0.3">
      <c r="A37">
        <v>2035</v>
      </c>
      <c r="B37" t="s">
        <v>29</v>
      </c>
      <c r="C37" t="s">
        <v>11</v>
      </c>
      <c r="D37" s="1">
        <v>44686</v>
      </c>
      <c r="E37" s="1">
        <v>44699</v>
      </c>
      <c r="F37" t="s">
        <v>12</v>
      </c>
      <c r="G37">
        <v>1</v>
      </c>
      <c r="H37">
        <v>535.66999999999996</v>
      </c>
      <c r="I37">
        <v>535.66999999999996</v>
      </c>
      <c r="J37" t="s">
        <v>20</v>
      </c>
      <c r="K37">
        <f t="shared" si="0"/>
        <v>2022</v>
      </c>
      <c r="L37">
        <f t="shared" si="1"/>
        <v>5</v>
      </c>
      <c r="M37" t="str">
        <f t="shared" si="2"/>
        <v>May</v>
      </c>
      <c r="N37">
        <f t="shared" si="3"/>
        <v>4</v>
      </c>
      <c r="O37">
        <f t="shared" si="4"/>
        <v>13</v>
      </c>
      <c r="P37" s="1">
        <f t="shared" ca="1" si="5"/>
        <v>1487</v>
      </c>
    </row>
    <row r="38" spans="1:16" x14ac:dyDescent="0.3">
      <c r="A38">
        <v>2036</v>
      </c>
      <c r="B38" t="s">
        <v>35</v>
      </c>
      <c r="C38" t="s">
        <v>18</v>
      </c>
      <c r="D38" s="1">
        <v>44884</v>
      </c>
      <c r="E38" s="1">
        <v>44886</v>
      </c>
      <c r="F38" t="s">
        <v>36</v>
      </c>
      <c r="G38">
        <v>2</v>
      </c>
      <c r="H38">
        <v>4301.3100000000004</v>
      </c>
      <c r="I38">
        <v>8602.6200000000008</v>
      </c>
      <c r="J38" t="s">
        <v>13</v>
      </c>
      <c r="K38">
        <f t="shared" si="0"/>
        <v>2022</v>
      </c>
      <c r="L38">
        <f t="shared" si="1"/>
        <v>11</v>
      </c>
      <c r="M38" t="str">
        <f t="shared" si="2"/>
        <v>November</v>
      </c>
      <c r="N38">
        <f t="shared" si="3"/>
        <v>6</v>
      </c>
      <c r="O38">
        <f t="shared" si="4"/>
        <v>2</v>
      </c>
      <c r="P38" s="1">
        <f t="shared" ca="1" si="5"/>
        <v>1289</v>
      </c>
    </row>
    <row r="39" spans="1:16" x14ac:dyDescent="0.3">
      <c r="A39">
        <v>2037</v>
      </c>
      <c r="B39" t="s">
        <v>42</v>
      </c>
      <c r="C39" t="s">
        <v>11</v>
      </c>
      <c r="D39" s="1">
        <v>45043</v>
      </c>
      <c r="E39" s="1">
        <v>45051</v>
      </c>
      <c r="F39" t="s">
        <v>26</v>
      </c>
      <c r="G39">
        <v>4</v>
      </c>
      <c r="H39">
        <v>3020.92</v>
      </c>
      <c r="I39">
        <v>12083.68</v>
      </c>
      <c r="J39" t="s">
        <v>13</v>
      </c>
      <c r="K39">
        <f t="shared" si="0"/>
        <v>2023</v>
      </c>
      <c r="L39">
        <f t="shared" si="1"/>
        <v>4</v>
      </c>
      <c r="M39" t="str">
        <f t="shared" si="2"/>
        <v>April</v>
      </c>
      <c r="N39">
        <f t="shared" si="3"/>
        <v>4</v>
      </c>
      <c r="O39">
        <f t="shared" si="4"/>
        <v>8</v>
      </c>
      <c r="P39" s="1">
        <f t="shared" ca="1" si="5"/>
        <v>1130</v>
      </c>
    </row>
    <row r="40" spans="1:16" x14ac:dyDescent="0.3">
      <c r="A40">
        <v>2038</v>
      </c>
      <c r="B40" t="s">
        <v>42</v>
      </c>
      <c r="C40" t="s">
        <v>11</v>
      </c>
      <c r="D40" s="1">
        <v>45420</v>
      </c>
      <c r="E40" s="1">
        <v>45432</v>
      </c>
      <c r="F40" t="s">
        <v>36</v>
      </c>
      <c r="G40">
        <v>6</v>
      </c>
      <c r="H40">
        <v>4693.12</v>
      </c>
      <c r="I40">
        <v>28158.720000000001</v>
      </c>
      <c r="J40" t="s">
        <v>13</v>
      </c>
      <c r="K40">
        <f t="shared" si="0"/>
        <v>2024</v>
      </c>
      <c r="L40">
        <f t="shared" si="1"/>
        <v>5</v>
      </c>
      <c r="M40" t="str">
        <f t="shared" si="2"/>
        <v>May</v>
      </c>
      <c r="N40">
        <f t="shared" si="3"/>
        <v>3</v>
      </c>
      <c r="O40">
        <f t="shared" si="4"/>
        <v>12</v>
      </c>
      <c r="P40" s="1">
        <f t="shared" ca="1" si="5"/>
        <v>753</v>
      </c>
    </row>
    <row r="41" spans="1:16" x14ac:dyDescent="0.3">
      <c r="A41">
        <v>2039</v>
      </c>
      <c r="B41" t="s">
        <v>14</v>
      </c>
      <c r="C41" t="s">
        <v>15</v>
      </c>
      <c r="D41" s="1">
        <v>45205</v>
      </c>
      <c r="E41" s="1">
        <v>45210</v>
      </c>
      <c r="F41" t="s">
        <v>12</v>
      </c>
      <c r="G41">
        <v>7</v>
      </c>
      <c r="H41">
        <v>915.13</v>
      </c>
      <c r="I41">
        <v>6405.91</v>
      </c>
      <c r="J41" t="s">
        <v>20</v>
      </c>
      <c r="K41">
        <f t="shared" si="0"/>
        <v>2023</v>
      </c>
      <c r="L41">
        <f t="shared" si="1"/>
        <v>10</v>
      </c>
      <c r="M41" t="str">
        <f t="shared" si="2"/>
        <v>October</v>
      </c>
      <c r="N41">
        <f t="shared" si="3"/>
        <v>5</v>
      </c>
      <c r="O41">
        <f t="shared" si="4"/>
        <v>5</v>
      </c>
      <c r="P41" s="1">
        <f t="shared" ca="1" si="5"/>
        <v>968</v>
      </c>
    </row>
    <row r="42" spans="1:16" x14ac:dyDescent="0.3">
      <c r="A42">
        <v>2040</v>
      </c>
      <c r="B42" t="s">
        <v>38</v>
      </c>
      <c r="C42" t="s">
        <v>31</v>
      </c>
      <c r="D42" s="1">
        <v>44710</v>
      </c>
      <c r="E42" s="1">
        <v>44712</v>
      </c>
      <c r="F42" t="s">
        <v>16</v>
      </c>
      <c r="G42">
        <v>2</v>
      </c>
      <c r="H42">
        <v>644.33000000000004</v>
      </c>
      <c r="I42">
        <v>1288.6600000000001</v>
      </c>
      <c r="J42" t="s">
        <v>13</v>
      </c>
      <c r="K42">
        <f t="shared" si="0"/>
        <v>2022</v>
      </c>
      <c r="L42">
        <f t="shared" si="1"/>
        <v>5</v>
      </c>
      <c r="M42" t="str">
        <f t="shared" si="2"/>
        <v>May</v>
      </c>
      <c r="N42">
        <f t="shared" si="3"/>
        <v>7</v>
      </c>
      <c r="O42">
        <f t="shared" si="4"/>
        <v>2</v>
      </c>
      <c r="P42" s="1">
        <f t="shared" ca="1" si="5"/>
        <v>1463</v>
      </c>
    </row>
    <row r="43" spans="1:16" x14ac:dyDescent="0.3">
      <c r="A43">
        <v>2041</v>
      </c>
      <c r="B43" t="s">
        <v>35</v>
      </c>
      <c r="C43" t="s">
        <v>31</v>
      </c>
      <c r="D43" s="1">
        <v>44833</v>
      </c>
      <c r="E43" s="1">
        <v>44840</v>
      </c>
      <c r="F43" t="s">
        <v>26</v>
      </c>
      <c r="G43">
        <v>4</v>
      </c>
      <c r="H43">
        <v>2036.78</v>
      </c>
      <c r="I43">
        <v>8147.12</v>
      </c>
      <c r="J43" t="s">
        <v>13</v>
      </c>
      <c r="K43">
        <f t="shared" si="0"/>
        <v>2022</v>
      </c>
      <c r="L43">
        <f t="shared" si="1"/>
        <v>9</v>
      </c>
      <c r="M43" t="str">
        <f t="shared" si="2"/>
        <v>September</v>
      </c>
      <c r="N43">
        <f t="shared" si="3"/>
        <v>4</v>
      </c>
      <c r="O43">
        <f t="shared" si="4"/>
        <v>7</v>
      </c>
      <c r="P43" s="1">
        <f t="shared" ca="1" si="5"/>
        <v>1340</v>
      </c>
    </row>
    <row r="44" spans="1:16" x14ac:dyDescent="0.3">
      <c r="A44">
        <v>2042</v>
      </c>
      <c r="B44" t="s">
        <v>38</v>
      </c>
      <c r="C44" t="s">
        <v>18</v>
      </c>
      <c r="D44" s="1">
        <v>45181</v>
      </c>
      <c r="E44" s="1">
        <v>45192</v>
      </c>
      <c r="F44" t="s">
        <v>32</v>
      </c>
      <c r="G44">
        <v>1</v>
      </c>
      <c r="H44">
        <v>3438.96</v>
      </c>
      <c r="I44">
        <v>3438.96</v>
      </c>
      <c r="J44" t="s">
        <v>20</v>
      </c>
      <c r="K44">
        <f t="shared" si="0"/>
        <v>2023</v>
      </c>
      <c r="L44">
        <f t="shared" si="1"/>
        <v>9</v>
      </c>
      <c r="M44" t="str">
        <f t="shared" si="2"/>
        <v>September</v>
      </c>
      <c r="N44">
        <f t="shared" si="3"/>
        <v>2</v>
      </c>
      <c r="O44">
        <f t="shared" si="4"/>
        <v>11</v>
      </c>
      <c r="P44" s="1">
        <f t="shared" ca="1" si="5"/>
        <v>992</v>
      </c>
    </row>
    <row r="45" spans="1:16" x14ac:dyDescent="0.3">
      <c r="A45">
        <v>2043</v>
      </c>
      <c r="B45" t="s">
        <v>14</v>
      </c>
      <c r="C45" t="s">
        <v>11</v>
      </c>
      <c r="D45" s="1">
        <v>44837</v>
      </c>
      <c r="E45" s="1">
        <v>44843</v>
      </c>
      <c r="F45" t="s">
        <v>26</v>
      </c>
      <c r="G45">
        <v>2</v>
      </c>
      <c r="H45">
        <v>3789.36</v>
      </c>
      <c r="I45">
        <v>7578.72</v>
      </c>
      <c r="J45" t="s">
        <v>13</v>
      </c>
      <c r="K45">
        <f t="shared" si="0"/>
        <v>2022</v>
      </c>
      <c r="L45">
        <f t="shared" si="1"/>
        <v>10</v>
      </c>
      <c r="M45" t="str">
        <f t="shared" si="2"/>
        <v>October</v>
      </c>
      <c r="N45">
        <f t="shared" si="3"/>
        <v>1</v>
      </c>
      <c r="O45">
        <f t="shared" si="4"/>
        <v>6</v>
      </c>
      <c r="P45" s="1">
        <f t="shared" ca="1" si="5"/>
        <v>1336</v>
      </c>
    </row>
    <row r="46" spans="1:16" x14ac:dyDescent="0.3">
      <c r="A46">
        <v>2044</v>
      </c>
      <c r="B46" t="s">
        <v>33</v>
      </c>
      <c r="C46" t="s">
        <v>31</v>
      </c>
      <c r="D46" s="1">
        <v>44993</v>
      </c>
      <c r="E46" s="1">
        <v>45006</v>
      </c>
      <c r="F46" t="s">
        <v>12</v>
      </c>
      <c r="G46">
        <v>4</v>
      </c>
      <c r="H46">
        <v>3531.24</v>
      </c>
      <c r="I46">
        <v>14124.96</v>
      </c>
      <c r="J46" t="s">
        <v>20</v>
      </c>
      <c r="K46">
        <f t="shared" si="0"/>
        <v>2023</v>
      </c>
      <c r="L46">
        <f t="shared" si="1"/>
        <v>3</v>
      </c>
      <c r="M46" t="str">
        <f t="shared" si="2"/>
        <v>March</v>
      </c>
      <c r="N46">
        <f t="shared" si="3"/>
        <v>3</v>
      </c>
      <c r="O46">
        <f t="shared" si="4"/>
        <v>13</v>
      </c>
      <c r="P46" s="1">
        <f t="shared" ca="1" si="5"/>
        <v>1180</v>
      </c>
    </row>
    <row r="47" spans="1:16" x14ac:dyDescent="0.3">
      <c r="A47">
        <v>2045</v>
      </c>
      <c r="B47" t="s">
        <v>35</v>
      </c>
      <c r="C47" t="s">
        <v>25</v>
      </c>
      <c r="D47" s="1">
        <v>45076</v>
      </c>
      <c r="E47" s="1">
        <v>45091</v>
      </c>
      <c r="F47" t="s">
        <v>26</v>
      </c>
      <c r="G47">
        <v>2</v>
      </c>
      <c r="H47">
        <v>3281.14</v>
      </c>
      <c r="I47">
        <v>6562.28</v>
      </c>
      <c r="J47" t="s">
        <v>20</v>
      </c>
      <c r="K47">
        <f t="shared" si="0"/>
        <v>2023</v>
      </c>
      <c r="L47">
        <f t="shared" si="1"/>
        <v>5</v>
      </c>
      <c r="M47" t="str">
        <f t="shared" si="2"/>
        <v>May</v>
      </c>
      <c r="N47">
        <f t="shared" si="3"/>
        <v>2</v>
      </c>
      <c r="O47">
        <f t="shared" si="4"/>
        <v>15</v>
      </c>
      <c r="P47" s="1">
        <f t="shared" ca="1" si="5"/>
        <v>1097</v>
      </c>
    </row>
    <row r="48" spans="1:16" x14ac:dyDescent="0.3">
      <c r="A48">
        <v>2046</v>
      </c>
      <c r="B48" t="s">
        <v>40</v>
      </c>
      <c r="C48" t="s">
        <v>11</v>
      </c>
      <c r="D48" s="1">
        <v>45245</v>
      </c>
      <c r="E48" s="1">
        <v>45259</v>
      </c>
      <c r="F48" t="s">
        <v>19</v>
      </c>
      <c r="G48">
        <v>5</v>
      </c>
      <c r="H48">
        <v>1059.44</v>
      </c>
      <c r="I48">
        <v>5297.2</v>
      </c>
      <c r="J48" t="s">
        <v>20</v>
      </c>
      <c r="K48">
        <f t="shared" si="0"/>
        <v>2023</v>
      </c>
      <c r="L48">
        <f t="shared" si="1"/>
        <v>11</v>
      </c>
      <c r="M48" t="str">
        <f t="shared" si="2"/>
        <v>November</v>
      </c>
      <c r="N48">
        <f t="shared" si="3"/>
        <v>3</v>
      </c>
      <c r="O48">
        <f t="shared" si="4"/>
        <v>14</v>
      </c>
      <c r="P48" s="1">
        <f t="shared" ca="1" si="5"/>
        <v>928</v>
      </c>
    </row>
    <row r="49" spans="1:16" x14ac:dyDescent="0.3">
      <c r="A49">
        <v>2047</v>
      </c>
      <c r="B49" t="s">
        <v>30</v>
      </c>
      <c r="C49" t="s">
        <v>15</v>
      </c>
      <c r="D49" s="1">
        <v>45437</v>
      </c>
      <c r="E49" s="1">
        <v>45447</v>
      </c>
      <c r="F49" t="s">
        <v>26</v>
      </c>
      <c r="G49">
        <v>2</v>
      </c>
      <c r="H49">
        <v>653.65</v>
      </c>
      <c r="I49">
        <v>1307.3</v>
      </c>
      <c r="J49" t="s">
        <v>13</v>
      </c>
      <c r="K49">
        <f t="shared" si="0"/>
        <v>2024</v>
      </c>
      <c r="L49">
        <f t="shared" si="1"/>
        <v>5</v>
      </c>
      <c r="M49" t="str">
        <f t="shared" si="2"/>
        <v>May</v>
      </c>
      <c r="N49">
        <f t="shared" si="3"/>
        <v>6</v>
      </c>
      <c r="O49">
        <f t="shared" si="4"/>
        <v>10</v>
      </c>
      <c r="P49" s="1">
        <f t="shared" ca="1" si="5"/>
        <v>736</v>
      </c>
    </row>
    <row r="50" spans="1:16" x14ac:dyDescent="0.3">
      <c r="A50">
        <v>2048</v>
      </c>
      <c r="B50" t="s">
        <v>30</v>
      </c>
      <c r="C50" t="s">
        <v>11</v>
      </c>
      <c r="D50" s="1">
        <v>45318</v>
      </c>
      <c r="E50" s="1">
        <v>45329</v>
      </c>
      <c r="F50" t="s">
        <v>36</v>
      </c>
      <c r="G50">
        <v>3</v>
      </c>
      <c r="H50">
        <v>2320</v>
      </c>
      <c r="I50">
        <v>6960</v>
      </c>
      <c r="J50" t="s">
        <v>13</v>
      </c>
      <c r="K50">
        <f t="shared" si="0"/>
        <v>2024</v>
      </c>
      <c r="L50">
        <f t="shared" si="1"/>
        <v>1</v>
      </c>
      <c r="M50" t="str">
        <f t="shared" si="2"/>
        <v>January</v>
      </c>
      <c r="N50">
        <f t="shared" si="3"/>
        <v>6</v>
      </c>
      <c r="O50">
        <f t="shared" si="4"/>
        <v>11</v>
      </c>
      <c r="P50" s="1">
        <f t="shared" ca="1" si="5"/>
        <v>855</v>
      </c>
    </row>
    <row r="51" spans="1:16" x14ac:dyDescent="0.3">
      <c r="A51">
        <v>2049</v>
      </c>
      <c r="B51" t="s">
        <v>43</v>
      </c>
      <c r="C51" t="s">
        <v>31</v>
      </c>
      <c r="D51" s="1">
        <v>44643</v>
      </c>
      <c r="E51" s="1">
        <v>44650</v>
      </c>
      <c r="F51" t="s">
        <v>19</v>
      </c>
      <c r="G51">
        <v>4</v>
      </c>
      <c r="H51">
        <v>3434.59</v>
      </c>
      <c r="I51">
        <v>13738.36</v>
      </c>
      <c r="J51" t="s">
        <v>20</v>
      </c>
      <c r="K51">
        <f t="shared" si="0"/>
        <v>2022</v>
      </c>
      <c r="L51">
        <f t="shared" si="1"/>
        <v>3</v>
      </c>
      <c r="M51" t="str">
        <f t="shared" si="2"/>
        <v>March</v>
      </c>
      <c r="N51">
        <f t="shared" si="3"/>
        <v>3</v>
      </c>
      <c r="O51">
        <f t="shared" si="4"/>
        <v>7</v>
      </c>
      <c r="P51" s="1">
        <f t="shared" ca="1" si="5"/>
        <v>1530</v>
      </c>
    </row>
    <row r="52" spans="1:16" x14ac:dyDescent="0.3">
      <c r="A52">
        <v>2050</v>
      </c>
      <c r="B52" t="s">
        <v>44</v>
      </c>
      <c r="C52" t="s">
        <v>18</v>
      </c>
      <c r="D52" s="1">
        <v>45394</v>
      </c>
      <c r="E52" s="1">
        <v>45405</v>
      </c>
      <c r="F52" t="s">
        <v>28</v>
      </c>
      <c r="G52">
        <v>3</v>
      </c>
      <c r="H52">
        <v>4651.09</v>
      </c>
      <c r="I52">
        <v>13953.27</v>
      </c>
      <c r="J52" t="s">
        <v>13</v>
      </c>
      <c r="K52">
        <f t="shared" si="0"/>
        <v>2024</v>
      </c>
      <c r="L52">
        <f t="shared" si="1"/>
        <v>4</v>
      </c>
      <c r="M52" t="str">
        <f t="shared" si="2"/>
        <v>April</v>
      </c>
      <c r="N52">
        <f t="shared" si="3"/>
        <v>5</v>
      </c>
      <c r="O52">
        <f t="shared" si="4"/>
        <v>11</v>
      </c>
      <c r="P52" s="1">
        <f t="shared" ca="1" si="5"/>
        <v>779</v>
      </c>
    </row>
    <row r="53" spans="1:16" x14ac:dyDescent="0.3">
      <c r="A53">
        <v>2051</v>
      </c>
      <c r="B53" t="s">
        <v>45</v>
      </c>
      <c r="C53" t="s">
        <v>22</v>
      </c>
      <c r="D53" s="1">
        <v>45406</v>
      </c>
      <c r="E53" s="1">
        <v>45408</v>
      </c>
      <c r="F53" t="s">
        <v>19</v>
      </c>
      <c r="G53">
        <v>6</v>
      </c>
      <c r="H53">
        <v>3977.22</v>
      </c>
      <c r="I53">
        <v>23863.32</v>
      </c>
      <c r="J53" t="s">
        <v>20</v>
      </c>
      <c r="K53">
        <f t="shared" si="0"/>
        <v>2024</v>
      </c>
      <c r="L53">
        <f t="shared" si="1"/>
        <v>4</v>
      </c>
      <c r="M53" t="str">
        <f t="shared" si="2"/>
        <v>April</v>
      </c>
      <c r="N53">
        <f t="shared" si="3"/>
        <v>3</v>
      </c>
      <c r="O53">
        <f t="shared" si="4"/>
        <v>2</v>
      </c>
      <c r="P53" s="1">
        <f t="shared" ca="1" si="5"/>
        <v>767</v>
      </c>
    </row>
    <row r="54" spans="1:16" x14ac:dyDescent="0.3">
      <c r="A54">
        <v>2052</v>
      </c>
      <c r="B54" t="s">
        <v>14</v>
      </c>
      <c r="C54" t="s">
        <v>15</v>
      </c>
      <c r="D54" s="1">
        <v>45070</v>
      </c>
      <c r="E54" s="1">
        <v>45076</v>
      </c>
      <c r="F54" t="s">
        <v>19</v>
      </c>
      <c r="G54">
        <v>2</v>
      </c>
      <c r="H54">
        <v>2097.9499999999998</v>
      </c>
      <c r="I54">
        <v>4195.8999999999996</v>
      </c>
      <c r="J54" t="s">
        <v>13</v>
      </c>
      <c r="K54">
        <f t="shared" si="0"/>
        <v>2023</v>
      </c>
      <c r="L54">
        <f t="shared" si="1"/>
        <v>5</v>
      </c>
      <c r="M54" t="str">
        <f t="shared" si="2"/>
        <v>May</v>
      </c>
      <c r="N54">
        <f t="shared" si="3"/>
        <v>3</v>
      </c>
      <c r="O54">
        <f t="shared" si="4"/>
        <v>6</v>
      </c>
      <c r="P54" s="1">
        <f t="shared" ca="1" si="5"/>
        <v>1103</v>
      </c>
    </row>
    <row r="55" spans="1:16" x14ac:dyDescent="0.3">
      <c r="A55">
        <v>2053</v>
      </c>
      <c r="B55" t="s">
        <v>41</v>
      </c>
      <c r="C55" t="s">
        <v>22</v>
      </c>
      <c r="D55" s="1">
        <v>44970</v>
      </c>
      <c r="E55" s="1">
        <v>44985</v>
      </c>
      <c r="F55" t="s">
        <v>16</v>
      </c>
      <c r="G55">
        <v>6</v>
      </c>
      <c r="H55">
        <v>1734.4</v>
      </c>
      <c r="I55">
        <v>10406.4</v>
      </c>
      <c r="J55" t="s">
        <v>13</v>
      </c>
      <c r="K55">
        <f t="shared" si="0"/>
        <v>2023</v>
      </c>
      <c r="L55">
        <f t="shared" si="1"/>
        <v>2</v>
      </c>
      <c r="M55" t="str">
        <f t="shared" si="2"/>
        <v>February</v>
      </c>
      <c r="N55">
        <f t="shared" si="3"/>
        <v>1</v>
      </c>
      <c r="O55">
        <f t="shared" si="4"/>
        <v>15</v>
      </c>
      <c r="P55" s="1">
        <f t="shared" ca="1" si="5"/>
        <v>1203</v>
      </c>
    </row>
    <row r="56" spans="1:16" x14ac:dyDescent="0.3">
      <c r="A56">
        <v>2054</v>
      </c>
      <c r="B56" t="s">
        <v>17</v>
      </c>
      <c r="C56" t="s">
        <v>11</v>
      </c>
      <c r="D56" s="1">
        <v>44957</v>
      </c>
      <c r="E56" s="1">
        <v>44965</v>
      </c>
      <c r="F56" t="s">
        <v>12</v>
      </c>
      <c r="G56">
        <v>5</v>
      </c>
      <c r="H56">
        <v>4362.46</v>
      </c>
      <c r="I56">
        <v>21812.3</v>
      </c>
      <c r="J56" t="s">
        <v>20</v>
      </c>
      <c r="K56">
        <f t="shared" si="0"/>
        <v>2023</v>
      </c>
      <c r="L56">
        <f t="shared" si="1"/>
        <v>1</v>
      </c>
      <c r="M56" t="str">
        <f t="shared" si="2"/>
        <v>January</v>
      </c>
      <c r="N56">
        <f t="shared" si="3"/>
        <v>2</v>
      </c>
      <c r="O56">
        <f t="shared" si="4"/>
        <v>8</v>
      </c>
      <c r="P56" s="1">
        <f t="shared" ca="1" si="5"/>
        <v>1216</v>
      </c>
    </row>
    <row r="57" spans="1:16" x14ac:dyDescent="0.3">
      <c r="A57">
        <v>2055</v>
      </c>
      <c r="B57" t="s">
        <v>46</v>
      </c>
      <c r="C57" t="s">
        <v>15</v>
      </c>
      <c r="D57" s="1">
        <v>45605</v>
      </c>
      <c r="E57" s="1">
        <v>45613</v>
      </c>
      <c r="F57" t="s">
        <v>28</v>
      </c>
      <c r="G57">
        <v>6</v>
      </c>
      <c r="H57">
        <v>4714.41</v>
      </c>
      <c r="I57">
        <v>28286.46</v>
      </c>
      <c r="J57" t="s">
        <v>13</v>
      </c>
      <c r="K57">
        <f t="shared" si="0"/>
        <v>2024</v>
      </c>
      <c r="L57">
        <f t="shared" si="1"/>
        <v>11</v>
      </c>
      <c r="M57" t="str">
        <f t="shared" si="2"/>
        <v>November</v>
      </c>
      <c r="N57">
        <f t="shared" si="3"/>
        <v>6</v>
      </c>
      <c r="O57">
        <f t="shared" si="4"/>
        <v>8</v>
      </c>
      <c r="P57" s="1">
        <f t="shared" ca="1" si="5"/>
        <v>568</v>
      </c>
    </row>
    <row r="58" spans="1:16" x14ac:dyDescent="0.3">
      <c r="A58">
        <v>2056</v>
      </c>
      <c r="B58" t="s">
        <v>33</v>
      </c>
      <c r="C58" t="s">
        <v>22</v>
      </c>
      <c r="D58" s="1">
        <v>45105</v>
      </c>
      <c r="E58" s="1">
        <v>45107</v>
      </c>
      <c r="F58" t="s">
        <v>26</v>
      </c>
      <c r="G58">
        <v>7</v>
      </c>
      <c r="H58">
        <v>1924.73</v>
      </c>
      <c r="I58">
        <v>13473.11</v>
      </c>
      <c r="J58" t="s">
        <v>20</v>
      </c>
      <c r="K58">
        <f t="shared" si="0"/>
        <v>2023</v>
      </c>
      <c r="L58">
        <f t="shared" si="1"/>
        <v>6</v>
      </c>
      <c r="M58" t="str">
        <f t="shared" si="2"/>
        <v>June</v>
      </c>
      <c r="N58">
        <f t="shared" si="3"/>
        <v>3</v>
      </c>
      <c r="O58">
        <f t="shared" si="4"/>
        <v>2</v>
      </c>
      <c r="P58" s="1">
        <f t="shared" ca="1" si="5"/>
        <v>1068</v>
      </c>
    </row>
    <row r="59" spans="1:16" x14ac:dyDescent="0.3">
      <c r="A59">
        <v>2057</v>
      </c>
      <c r="B59" t="s">
        <v>39</v>
      </c>
      <c r="C59" t="s">
        <v>18</v>
      </c>
      <c r="D59" s="1">
        <v>45609</v>
      </c>
      <c r="E59" s="1">
        <v>45612</v>
      </c>
      <c r="F59" t="s">
        <v>16</v>
      </c>
      <c r="G59">
        <v>4</v>
      </c>
      <c r="H59">
        <v>1497.2</v>
      </c>
      <c r="I59">
        <v>5988.8</v>
      </c>
      <c r="J59" t="s">
        <v>20</v>
      </c>
      <c r="K59">
        <f t="shared" si="0"/>
        <v>2024</v>
      </c>
      <c r="L59">
        <f t="shared" si="1"/>
        <v>11</v>
      </c>
      <c r="M59" t="str">
        <f t="shared" si="2"/>
        <v>November</v>
      </c>
      <c r="N59">
        <f t="shared" si="3"/>
        <v>3</v>
      </c>
      <c r="O59">
        <f t="shared" si="4"/>
        <v>3</v>
      </c>
      <c r="P59" s="1">
        <f t="shared" ca="1" si="5"/>
        <v>564</v>
      </c>
    </row>
    <row r="60" spans="1:16" x14ac:dyDescent="0.3">
      <c r="A60">
        <v>2058</v>
      </c>
      <c r="B60" t="s">
        <v>21</v>
      </c>
      <c r="C60" t="s">
        <v>18</v>
      </c>
      <c r="D60" s="1">
        <v>44965</v>
      </c>
      <c r="E60" s="1">
        <v>44972</v>
      </c>
      <c r="F60" t="s">
        <v>16</v>
      </c>
      <c r="G60">
        <v>2</v>
      </c>
      <c r="H60">
        <v>4759.71</v>
      </c>
      <c r="I60">
        <v>9519.42</v>
      </c>
      <c r="J60" t="s">
        <v>20</v>
      </c>
      <c r="K60">
        <f t="shared" si="0"/>
        <v>2023</v>
      </c>
      <c r="L60">
        <f t="shared" si="1"/>
        <v>2</v>
      </c>
      <c r="M60" t="str">
        <f t="shared" si="2"/>
        <v>February</v>
      </c>
      <c r="N60">
        <f t="shared" si="3"/>
        <v>3</v>
      </c>
      <c r="O60">
        <f t="shared" si="4"/>
        <v>7</v>
      </c>
      <c r="P60" s="1">
        <f t="shared" ca="1" si="5"/>
        <v>1208</v>
      </c>
    </row>
    <row r="61" spans="1:16" x14ac:dyDescent="0.3">
      <c r="A61">
        <v>2059</v>
      </c>
      <c r="B61" t="s">
        <v>42</v>
      </c>
      <c r="C61" t="s">
        <v>31</v>
      </c>
      <c r="D61" s="1">
        <v>44817</v>
      </c>
      <c r="E61" s="1">
        <v>44830</v>
      </c>
      <c r="F61" t="s">
        <v>12</v>
      </c>
      <c r="G61">
        <v>5</v>
      </c>
      <c r="H61">
        <v>3434.4</v>
      </c>
      <c r="I61">
        <v>17172</v>
      </c>
      <c r="J61" t="s">
        <v>20</v>
      </c>
      <c r="K61">
        <f t="shared" si="0"/>
        <v>2022</v>
      </c>
      <c r="L61">
        <f t="shared" si="1"/>
        <v>9</v>
      </c>
      <c r="M61" t="str">
        <f t="shared" si="2"/>
        <v>September</v>
      </c>
      <c r="N61">
        <f t="shared" si="3"/>
        <v>2</v>
      </c>
      <c r="O61">
        <f t="shared" si="4"/>
        <v>13</v>
      </c>
      <c r="P61" s="1">
        <f t="shared" ca="1" si="5"/>
        <v>1356</v>
      </c>
    </row>
    <row r="62" spans="1:16" x14ac:dyDescent="0.3">
      <c r="A62">
        <v>2060</v>
      </c>
      <c r="B62" t="s">
        <v>34</v>
      </c>
      <c r="C62" t="s">
        <v>15</v>
      </c>
      <c r="D62" s="1">
        <v>45167</v>
      </c>
      <c r="E62" s="1">
        <v>45177</v>
      </c>
      <c r="F62" t="s">
        <v>19</v>
      </c>
      <c r="G62">
        <v>4</v>
      </c>
      <c r="H62">
        <v>2276.1</v>
      </c>
      <c r="I62">
        <v>9104.4</v>
      </c>
      <c r="J62" t="s">
        <v>20</v>
      </c>
      <c r="K62">
        <f t="shared" si="0"/>
        <v>2023</v>
      </c>
      <c r="L62">
        <f t="shared" si="1"/>
        <v>8</v>
      </c>
      <c r="M62" t="str">
        <f t="shared" si="2"/>
        <v>August</v>
      </c>
      <c r="N62">
        <f t="shared" si="3"/>
        <v>2</v>
      </c>
      <c r="O62">
        <f t="shared" si="4"/>
        <v>10</v>
      </c>
      <c r="P62" s="1">
        <f t="shared" ca="1" si="5"/>
        <v>1006</v>
      </c>
    </row>
    <row r="63" spans="1:16" x14ac:dyDescent="0.3">
      <c r="A63">
        <v>2061</v>
      </c>
      <c r="B63" t="s">
        <v>14</v>
      </c>
      <c r="C63" t="s">
        <v>15</v>
      </c>
      <c r="D63" s="1">
        <v>44918</v>
      </c>
      <c r="E63" s="1">
        <v>44929</v>
      </c>
      <c r="F63" t="s">
        <v>36</v>
      </c>
      <c r="G63">
        <v>5</v>
      </c>
      <c r="H63">
        <v>2208.5500000000002</v>
      </c>
      <c r="I63">
        <v>11042.75</v>
      </c>
      <c r="J63" t="s">
        <v>13</v>
      </c>
      <c r="K63">
        <f t="shared" si="0"/>
        <v>2022</v>
      </c>
      <c r="L63">
        <f t="shared" si="1"/>
        <v>12</v>
      </c>
      <c r="M63" t="str">
        <f t="shared" si="2"/>
        <v>December</v>
      </c>
      <c r="N63">
        <f t="shared" si="3"/>
        <v>5</v>
      </c>
      <c r="O63">
        <f t="shared" si="4"/>
        <v>11</v>
      </c>
      <c r="P63" s="1">
        <f t="shared" ca="1" si="5"/>
        <v>1255</v>
      </c>
    </row>
    <row r="64" spans="1:16" x14ac:dyDescent="0.3">
      <c r="A64">
        <v>2062</v>
      </c>
      <c r="B64" t="s">
        <v>43</v>
      </c>
      <c r="C64" t="s">
        <v>31</v>
      </c>
      <c r="D64" s="1">
        <v>44992</v>
      </c>
      <c r="E64" s="1">
        <v>45000</v>
      </c>
      <c r="F64" t="s">
        <v>32</v>
      </c>
      <c r="G64">
        <v>6</v>
      </c>
      <c r="H64">
        <v>2485.44</v>
      </c>
      <c r="I64">
        <v>14912.64</v>
      </c>
      <c r="J64" t="s">
        <v>20</v>
      </c>
      <c r="K64">
        <f t="shared" si="0"/>
        <v>2023</v>
      </c>
      <c r="L64">
        <f t="shared" si="1"/>
        <v>3</v>
      </c>
      <c r="M64" t="str">
        <f t="shared" si="2"/>
        <v>March</v>
      </c>
      <c r="N64">
        <f t="shared" si="3"/>
        <v>2</v>
      </c>
      <c r="O64">
        <f t="shared" si="4"/>
        <v>8</v>
      </c>
      <c r="P64" s="1">
        <f t="shared" ca="1" si="5"/>
        <v>1181</v>
      </c>
    </row>
    <row r="65" spans="1:16" x14ac:dyDescent="0.3">
      <c r="A65">
        <v>2063</v>
      </c>
      <c r="B65" t="s">
        <v>14</v>
      </c>
      <c r="C65" t="s">
        <v>22</v>
      </c>
      <c r="D65" s="1">
        <v>45608</v>
      </c>
      <c r="E65" s="1">
        <v>45617</v>
      </c>
      <c r="F65" t="s">
        <v>32</v>
      </c>
      <c r="G65">
        <v>3</v>
      </c>
      <c r="H65">
        <v>3396.6</v>
      </c>
      <c r="I65">
        <v>10189.799999999999</v>
      </c>
      <c r="J65" t="s">
        <v>20</v>
      </c>
      <c r="K65">
        <f t="shared" si="0"/>
        <v>2024</v>
      </c>
      <c r="L65">
        <f t="shared" si="1"/>
        <v>11</v>
      </c>
      <c r="M65" t="str">
        <f t="shared" si="2"/>
        <v>November</v>
      </c>
      <c r="N65">
        <f t="shared" si="3"/>
        <v>2</v>
      </c>
      <c r="O65">
        <f t="shared" si="4"/>
        <v>9</v>
      </c>
      <c r="P65" s="1">
        <f t="shared" ca="1" si="5"/>
        <v>565</v>
      </c>
    </row>
    <row r="66" spans="1:16" x14ac:dyDescent="0.3">
      <c r="A66">
        <v>2064</v>
      </c>
      <c r="B66" t="s">
        <v>35</v>
      </c>
      <c r="C66" t="s">
        <v>15</v>
      </c>
      <c r="D66" s="1">
        <v>45248</v>
      </c>
      <c r="E66" s="1">
        <v>45251</v>
      </c>
      <c r="F66" t="s">
        <v>32</v>
      </c>
      <c r="G66">
        <v>4</v>
      </c>
      <c r="H66">
        <v>3462.14</v>
      </c>
      <c r="I66">
        <v>13848.56</v>
      </c>
      <c r="J66" t="s">
        <v>13</v>
      </c>
      <c r="K66">
        <f t="shared" si="0"/>
        <v>2023</v>
      </c>
      <c r="L66">
        <f t="shared" si="1"/>
        <v>11</v>
      </c>
      <c r="M66" t="str">
        <f t="shared" si="2"/>
        <v>November</v>
      </c>
      <c r="N66">
        <f t="shared" si="3"/>
        <v>6</v>
      </c>
      <c r="O66">
        <f t="shared" si="4"/>
        <v>3</v>
      </c>
      <c r="P66" s="1">
        <f t="shared" ca="1" si="5"/>
        <v>925</v>
      </c>
    </row>
    <row r="67" spans="1:16" x14ac:dyDescent="0.3">
      <c r="A67">
        <v>2065</v>
      </c>
      <c r="B67" t="s">
        <v>29</v>
      </c>
      <c r="C67" t="s">
        <v>22</v>
      </c>
      <c r="D67" s="1">
        <v>44612</v>
      </c>
      <c r="E67" s="1">
        <v>44614</v>
      </c>
      <c r="F67" t="s">
        <v>19</v>
      </c>
      <c r="G67">
        <v>8</v>
      </c>
      <c r="H67">
        <v>3172.99</v>
      </c>
      <c r="I67">
        <v>25383.919999999998</v>
      </c>
      <c r="J67" t="s">
        <v>13</v>
      </c>
      <c r="K67">
        <f t="shared" ref="K67:K130" si="6">YEAR(D67)</f>
        <v>2022</v>
      </c>
      <c r="L67">
        <f t="shared" ref="L67:L130" si="7">MONTH(D67)</f>
        <v>2</v>
      </c>
      <c r="M67" t="str">
        <f t="shared" ref="M67:M130" si="8">TEXT(D67,"MMMM")</f>
        <v>February</v>
      </c>
      <c r="N67">
        <f t="shared" ref="N67:N130" si="9">WEEKDAY(D67,2)</f>
        <v>7</v>
      </c>
      <c r="O67">
        <f t="shared" ref="O67:O130" si="10">DATEDIF(D67,E67,"D")</f>
        <v>2</v>
      </c>
      <c r="P67" s="1">
        <f t="shared" ref="P67:P130" ca="1" si="11">TODAY()-D67</f>
        <v>1561</v>
      </c>
    </row>
    <row r="68" spans="1:16" x14ac:dyDescent="0.3">
      <c r="A68">
        <v>2066</v>
      </c>
      <c r="B68" t="s">
        <v>38</v>
      </c>
      <c r="C68" t="s">
        <v>25</v>
      </c>
      <c r="D68" s="1">
        <v>44960</v>
      </c>
      <c r="E68" s="1">
        <v>44973</v>
      </c>
      <c r="F68" t="s">
        <v>28</v>
      </c>
      <c r="G68">
        <v>7</v>
      </c>
      <c r="H68">
        <v>2623.57</v>
      </c>
      <c r="I68">
        <v>18364.990000000002</v>
      </c>
      <c r="J68" t="s">
        <v>13</v>
      </c>
      <c r="K68">
        <f t="shared" si="6"/>
        <v>2023</v>
      </c>
      <c r="L68">
        <f t="shared" si="7"/>
        <v>2</v>
      </c>
      <c r="M68" t="str">
        <f t="shared" si="8"/>
        <v>February</v>
      </c>
      <c r="N68">
        <f t="shared" si="9"/>
        <v>5</v>
      </c>
      <c r="O68">
        <f t="shared" si="10"/>
        <v>13</v>
      </c>
      <c r="P68" s="1">
        <f t="shared" ca="1" si="11"/>
        <v>1213</v>
      </c>
    </row>
    <row r="69" spans="1:16" x14ac:dyDescent="0.3">
      <c r="A69">
        <v>2067</v>
      </c>
      <c r="B69" t="s">
        <v>37</v>
      </c>
      <c r="C69" t="s">
        <v>15</v>
      </c>
      <c r="D69" s="1">
        <v>44573</v>
      </c>
      <c r="E69" s="1">
        <v>44587</v>
      </c>
      <c r="F69" t="s">
        <v>32</v>
      </c>
      <c r="G69">
        <v>2</v>
      </c>
      <c r="H69">
        <v>3958.58</v>
      </c>
      <c r="I69">
        <v>7917.16</v>
      </c>
      <c r="J69" t="s">
        <v>13</v>
      </c>
      <c r="K69">
        <f t="shared" si="6"/>
        <v>2022</v>
      </c>
      <c r="L69">
        <f t="shared" si="7"/>
        <v>1</v>
      </c>
      <c r="M69" t="str">
        <f t="shared" si="8"/>
        <v>January</v>
      </c>
      <c r="N69">
        <f t="shared" si="9"/>
        <v>3</v>
      </c>
      <c r="O69">
        <f t="shared" si="10"/>
        <v>14</v>
      </c>
      <c r="P69" s="1">
        <f t="shared" ca="1" si="11"/>
        <v>1600</v>
      </c>
    </row>
    <row r="70" spans="1:16" x14ac:dyDescent="0.3">
      <c r="A70">
        <v>2068</v>
      </c>
      <c r="B70" t="s">
        <v>45</v>
      </c>
      <c r="C70" t="s">
        <v>15</v>
      </c>
      <c r="D70" s="1">
        <v>45622</v>
      </c>
      <c r="E70" s="1">
        <v>45631</v>
      </c>
      <c r="F70" t="s">
        <v>26</v>
      </c>
      <c r="G70">
        <v>4</v>
      </c>
      <c r="H70">
        <v>4612.1099999999997</v>
      </c>
      <c r="I70">
        <v>18448.439999999999</v>
      </c>
      <c r="J70" t="s">
        <v>13</v>
      </c>
      <c r="K70">
        <f t="shared" si="6"/>
        <v>2024</v>
      </c>
      <c r="L70">
        <f t="shared" si="7"/>
        <v>11</v>
      </c>
      <c r="M70" t="str">
        <f t="shared" si="8"/>
        <v>November</v>
      </c>
      <c r="N70">
        <f t="shared" si="9"/>
        <v>2</v>
      </c>
      <c r="O70">
        <f t="shared" si="10"/>
        <v>9</v>
      </c>
      <c r="P70" s="1">
        <f t="shared" ca="1" si="11"/>
        <v>551</v>
      </c>
    </row>
    <row r="71" spans="1:16" x14ac:dyDescent="0.3">
      <c r="A71">
        <v>2069</v>
      </c>
      <c r="B71" t="s">
        <v>38</v>
      </c>
      <c r="C71" t="s">
        <v>22</v>
      </c>
      <c r="D71" s="1">
        <v>45513</v>
      </c>
      <c r="E71" s="1">
        <v>45525</v>
      </c>
      <c r="F71" t="s">
        <v>36</v>
      </c>
      <c r="G71">
        <v>6</v>
      </c>
      <c r="H71">
        <v>4765.1899999999996</v>
      </c>
      <c r="I71">
        <v>28591.14</v>
      </c>
      <c r="J71" t="s">
        <v>20</v>
      </c>
      <c r="K71">
        <f t="shared" si="6"/>
        <v>2024</v>
      </c>
      <c r="L71">
        <f t="shared" si="7"/>
        <v>8</v>
      </c>
      <c r="M71" t="str">
        <f t="shared" si="8"/>
        <v>August</v>
      </c>
      <c r="N71">
        <f t="shared" si="9"/>
        <v>5</v>
      </c>
      <c r="O71">
        <f t="shared" si="10"/>
        <v>12</v>
      </c>
      <c r="P71" s="1">
        <f t="shared" ca="1" si="11"/>
        <v>660</v>
      </c>
    </row>
    <row r="72" spans="1:16" x14ac:dyDescent="0.3">
      <c r="A72">
        <v>2070</v>
      </c>
      <c r="B72" t="s">
        <v>42</v>
      </c>
      <c r="C72" t="s">
        <v>15</v>
      </c>
      <c r="D72" s="1">
        <v>45595</v>
      </c>
      <c r="E72" s="1">
        <v>45603</v>
      </c>
      <c r="F72" t="s">
        <v>32</v>
      </c>
      <c r="G72">
        <v>8</v>
      </c>
      <c r="H72">
        <v>4516.88</v>
      </c>
      <c r="I72">
        <v>36135.040000000001</v>
      </c>
      <c r="J72" t="s">
        <v>20</v>
      </c>
      <c r="K72">
        <f t="shared" si="6"/>
        <v>2024</v>
      </c>
      <c r="L72">
        <f t="shared" si="7"/>
        <v>10</v>
      </c>
      <c r="M72" t="str">
        <f t="shared" si="8"/>
        <v>October</v>
      </c>
      <c r="N72">
        <f t="shared" si="9"/>
        <v>3</v>
      </c>
      <c r="O72">
        <f t="shared" si="10"/>
        <v>8</v>
      </c>
      <c r="P72" s="1">
        <f t="shared" ca="1" si="11"/>
        <v>578</v>
      </c>
    </row>
    <row r="73" spans="1:16" x14ac:dyDescent="0.3">
      <c r="A73">
        <v>2071</v>
      </c>
      <c r="B73" t="s">
        <v>38</v>
      </c>
      <c r="C73" t="s">
        <v>31</v>
      </c>
      <c r="D73" s="1">
        <v>45068</v>
      </c>
      <c r="E73" s="1">
        <v>45083</v>
      </c>
      <c r="F73" t="s">
        <v>28</v>
      </c>
      <c r="G73">
        <v>5</v>
      </c>
      <c r="H73">
        <v>3899.32</v>
      </c>
      <c r="I73">
        <v>19496.599999999999</v>
      </c>
      <c r="J73" t="s">
        <v>20</v>
      </c>
      <c r="K73">
        <f t="shared" si="6"/>
        <v>2023</v>
      </c>
      <c r="L73">
        <f t="shared" si="7"/>
        <v>5</v>
      </c>
      <c r="M73" t="str">
        <f t="shared" si="8"/>
        <v>May</v>
      </c>
      <c r="N73">
        <f t="shared" si="9"/>
        <v>1</v>
      </c>
      <c r="O73">
        <f t="shared" si="10"/>
        <v>15</v>
      </c>
      <c r="P73" s="1">
        <f t="shared" ca="1" si="11"/>
        <v>1105</v>
      </c>
    </row>
    <row r="74" spans="1:16" x14ac:dyDescent="0.3">
      <c r="A74">
        <v>2072</v>
      </c>
      <c r="B74" t="s">
        <v>10</v>
      </c>
      <c r="C74" t="s">
        <v>22</v>
      </c>
      <c r="D74" s="1">
        <v>45124</v>
      </c>
      <c r="E74" s="1">
        <v>45133</v>
      </c>
      <c r="F74" t="s">
        <v>26</v>
      </c>
      <c r="G74">
        <v>5</v>
      </c>
      <c r="H74">
        <v>1402.12</v>
      </c>
      <c r="I74">
        <v>7010.6</v>
      </c>
      <c r="J74" t="s">
        <v>20</v>
      </c>
      <c r="K74">
        <f t="shared" si="6"/>
        <v>2023</v>
      </c>
      <c r="L74">
        <f t="shared" si="7"/>
        <v>7</v>
      </c>
      <c r="M74" t="str">
        <f t="shared" si="8"/>
        <v>July</v>
      </c>
      <c r="N74">
        <f t="shared" si="9"/>
        <v>1</v>
      </c>
      <c r="O74">
        <f t="shared" si="10"/>
        <v>9</v>
      </c>
      <c r="P74" s="1">
        <f t="shared" ca="1" si="11"/>
        <v>1049</v>
      </c>
    </row>
    <row r="75" spans="1:16" x14ac:dyDescent="0.3">
      <c r="A75">
        <v>2073</v>
      </c>
      <c r="B75" t="s">
        <v>47</v>
      </c>
      <c r="C75" t="s">
        <v>18</v>
      </c>
      <c r="D75" s="1">
        <v>44727</v>
      </c>
      <c r="E75" s="1">
        <v>44731</v>
      </c>
      <c r="F75" t="s">
        <v>19</v>
      </c>
      <c r="G75">
        <v>4</v>
      </c>
      <c r="H75">
        <v>2100.27</v>
      </c>
      <c r="I75">
        <v>8401.08</v>
      </c>
      <c r="J75" t="s">
        <v>13</v>
      </c>
      <c r="K75">
        <f t="shared" si="6"/>
        <v>2022</v>
      </c>
      <c r="L75">
        <f t="shared" si="7"/>
        <v>6</v>
      </c>
      <c r="M75" t="str">
        <f t="shared" si="8"/>
        <v>June</v>
      </c>
      <c r="N75">
        <f t="shared" si="9"/>
        <v>3</v>
      </c>
      <c r="O75">
        <f t="shared" si="10"/>
        <v>4</v>
      </c>
      <c r="P75" s="1">
        <f t="shared" ca="1" si="11"/>
        <v>1446</v>
      </c>
    </row>
    <row r="76" spans="1:16" x14ac:dyDescent="0.3">
      <c r="A76">
        <v>2074</v>
      </c>
      <c r="B76" t="s">
        <v>48</v>
      </c>
      <c r="C76" t="s">
        <v>22</v>
      </c>
      <c r="D76" s="1">
        <v>44693</v>
      </c>
      <c r="E76" s="1">
        <v>44701</v>
      </c>
      <c r="F76" t="s">
        <v>16</v>
      </c>
      <c r="G76">
        <v>6</v>
      </c>
      <c r="H76">
        <v>2850.27</v>
      </c>
      <c r="I76">
        <v>17101.62</v>
      </c>
      <c r="J76" t="s">
        <v>20</v>
      </c>
      <c r="K76">
        <f t="shared" si="6"/>
        <v>2022</v>
      </c>
      <c r="L76">
        <f t="shared" si="7"/>
        <v>5</v>
      </c>
      <c r="M76" t="str">
        <f t="shared" si="8"/>
        <v>May</v>
      </c>
      <c r="N76">
        <f t="shared" si="9"/>
        <v>4</v>
      </c>
      <c r="O76">
        <f t="shared" si="10"/>
        <v>8</v>
      </c>
      <c r="P76" s="1">
        <f t="shared" ca="1" si="11"/>
        <v>1480</v>
      </c>
    </row>
    <row r="77" spans="1:16" x14ac:dyDescent="0.3">
      <c r="A77">
        <v>2075</v>
      </c>
      <c r="B77" t="s">
        <v>40</v>
      </c>
      <c r="C77" t="s">
        <v>22</v>
      </c>
      <c r="D77" s="1">
        <v>45422</v>
      </c>
      <c r="E77" s="1">
        <v>45430</v>
      </c>
      <c r="F77" t="s">
        <v>32</v>
      </c>
      <c r="G77">
        <v>1</v>
      </c>
      <c r="H77">
        <v>4326.6400000000003</v>
      </c>
      <c r="I77">
        <v>4326.6400000000003</v>
      </c>
      <c r="J77" t="s">
        <v>20</v>
      </c>
      <c r="K77">
        <f t="shared" si="6"/>
        <v>2024</v>
      </c>
      <c r="L77">
        <f t="shared" si="7"/>
        <v>5</v>
      </c>
      <c r="M77" t="str">
        <f t="shared" si="8"/>
        <v>May</v>
      </c>
      <c r="N77">
        <f t="shared" si="9"/>
        <v>5</v>
      </c>
      <c r="O77">
        <f t="shared" si="10"/>
        <v>8</v>
      </c>
      <c r="P77" s="1">
        <f t="shared" ca="1" si="11"/>
        <v>751</v>
      </c>
    </row>
    <row r="78" spans="1:16" x14ac:dyDescent="0.3">
      <c r="A78">
        <v>2076</v>
      </c>
      <c r="B78" t="s">
        <v>41</v>
      </c>
      <c r="C78" t="s">
        <v>11</v>
      </c>
      <c r="D78" s="1">
        <v>45282</v>
      </c>
      <c r="E78" s="1">
        <v>45288</v>
      </c>
      <c r="F78" t="s">
        <v>32</v>
      </c>
      <c r="G78">
        <v>7</v>
      </c>
      <c r="H78">
        <v>4311.21</v>
      </c>
      <c r="I78">
        <v>30178.47</v>
      </c>
      <c r="J78" t="s">
        <v>20</v>
      </c>
      <c r="K78">
        <f t="shared" si="6"/>
        <v>2023</v>
      </c>
      <c r="L78">
        <f t="shared" si="7"/>
        <v>12</v>
      </c>
      <c r="M78" t="str">
        <f t="shared" si="8"/>
        <v>December</v>
      </c>
      <c r="N78">
        <f t="shared" si="9"/>
        <v>5</v>
      </c>
      <c r="O78">
        <f t="shared" si="10"/>
        <v>6</v>
      </c>
      <c r="P78" s="1">
        <f t="shared" ca="1" si="11"/>
        <v>891</v>
      </c>
    </row>
    <row r="79" spans="1:16" x14ac:dyDescent="0.3">
      <c r="A79">
        <v>2077</v>
      </c>
      <c r="B79" t="s">
        <v>30</v>
      </c>
      <c r="C79" t="s">
        <v>15</v>
      </c>
      <c r="D79" s="1">
        <v>45013</v>
      </c>
      <c r="E79" s="1">
        <v>45022</v>
      </c>
      <c r="F79" t="s">
        <v>19</v>
      </c>
      <c r="G79">
        <v>5</v>
      </c>
      <c r="H79">
        <v>2348.4299999999998</v>
      </c>
      <c r="I79">
        <v>11742.15</v>
      </c>
      <c r="J79" t="s">
        <v>13</v>
      </c>
      <c r="K79">
        <f t="shared" si="6"/>
        <v>2023</v>
      </c>
      <c r="L79">
        <f t="shared" si="7"/>
        <v>3</v>
      </c>
      <c r="M79" t="str">
        <f t="shared" si="8"/>
        <v>March</v>
      </c>
      <c r="N79">
        <f t="shared" si="9"/>
        <v>2</v>
      </c>
      <c r="O79">
        <f t="shared" si="10"/>
        <v>9</v>
      </c>
      <c r="P79" s="1">
        <f t="shared" ca="1" si="11"/>
        <v>1160</v>
      </c>
    </row>
    <row r="80" spans="1:16" x14ac:dyDescent="0.3">
      <c r="A80">
        <v>2078</v>
      </c>
      <c r="B80" t="s">
        <v>34</v>
      </c>
      <c r="C80" t="s">
        <v>31</v>
      </c>
      <c r="D80" s="1">
        <v>45390</v>
      </c>
      <c r="E80" s="1">
        <v>45403</v>
      </c>
      <c r="F80" t="s">
        <v>19</v>
      </c>
      <c r="G80">
        <v>8</v>
      </c>
      <c r="H80">
        <v>4621.8500000000004</v>
      </c>
      <c r="I80">
        <v>36974.800000000003</v>
      </c>
      <c r="J80" t="s">
        <v>13</v>
      </c>
      <c r="K80">
        <f t="shared" si="6"/>
        <v>2024</v>
      </c>
      <c r="L80">
        <f t="shared" si="7"/>
        <v>4</v>
      </c>
      <c r="M80" t="str">
        <f t="shared" si="8"/>
        <v>April</v>
      </c>
      <c r="N80">
        <f t="shared" si="9"/>
        <v>1</v>
      </c>
      <c r="O80">
        <f t="shared" si="10"/>
        <v>13</v>
      </c>
      <c r="P80" s="1">
        <f t="shared" ca="1" si="11"/>
        <v>783</v>
      </c>
    </row>
    <row r="81" spans="1:16" x14ac:dyDescent="0.3">
      <c r="A81">
        <v>2079</v>
      </c>
      <c r="B81" t="s">
        <v>34</v>
      </c>
      <c r="C81" t="s">
        <v>18</v>
      </c>
      <c r="D81" s="1">
        <v>44617</v>
      </c>
      <c r="E81" s="1">
        <v>44620</v>
      </c>
      <c r="F81" t="s">
        <v>28</v>
      </c>
      <c r="G81">
        <v>7</v>
      </c>
      <c r="H81">
        <v>937.79</v>
      </c>
      <c r="I81">
        <v>6564.53</v>
      </c>
      <c r="J81" t="s">
        <v>20</v>
      </c>
      <c r="K81">
        <f t="shared" si="6"/>
        <v>2022</v>
      </c>
      <c r="L81">
        <f t="shared" si="7"/>
        <v>2</v>
      </c>
      <c r="M81" t="str">
        <f t="shared" si="8"/>
        <v>February</v>
      </c>
      <c r="N81">
        <f t="shared" si="9"/>
        <v>5</v>
      </c>
      <c r="O81">
        <f t="shared" si="10"/>
        <v>3</v>
      </c>
      <c r="P81" s="1">
        <f t="shared" ca="1" si="11"/>
        <v>1556</v>
      </c>
    </row>
    <row r="82" spans="1:16" x14ac:dyDescent="0.3">
      <c r="A82">
        <v>2080</v>
      </c>
      <c r="B82" t="s">
        <v>45</v>
      </c>
      <c r="C82" t="s">
        <v>11</v>
      </c>
      <c r="D82" s="1">
        <v>45094</v>
      </c>
      <c r="E82" s="1">
        <v>45102</v>
      </c>
      <c r="F82" t="s">
        <v>12</v>
      </c>
      <c r="G82">
        <v>4</v>
      </c>
      <c r="H82">
        <v>2437.09</v>
      </c>
      <c r="I82">
        <v>9748.36</v>
      </c>
      <c r="J82" t="s">
        <v>20</v>
      </c>
      <c r="K82">
        <f t="shared" si="6"/>
        <v>2023</v>
      </c>
      <c r="L82">
        <f t="shared" si="7"/>
        <v>6</v>
      </c>
      <c r="M82" t="str">
        <f t="shared" si="8"/>
        <v>June</v>
      </c>
      <c r="N82">
        <f t="shared" si="9"/>
        <v>6</v>
      </c>
      <c r="O82">
        <f t="shared" si="10"/>
        <v>8</v>
      </c>
      <c r="P82" s="1">
        <f t="shared" ca="1" si="11"/>
        <v>1079</v>
      </c>
    </row>
    <row r="83" spans="1:16" x14ac:dyDescent="0.3">
      <c r="A83">
        <v>2081</v>
      </c>
      <c r="B83" t="s">
        <v>44</v>
      </c>
      <c r="C83" t="s">
        <v>25</v>
      </c>
      <c r="D83" s="1">
        <v>45131</v>
      </c>
      <c r="E83" s="1">
        <v>45145</v>
      </c>
      <c r="F83" t="s">
        <v>32</v>
      </c>
      <c r="G83">
        <v>7</v>
      </c>
      <c r="H83">
        <v>1485.68</v>
      </c>
      <c r="I83">
        <v>10399.76</v>
      </c>
      <c r="J83" t="s">
        <v>13</v>
      </c>
      <c r="K83">
        <f t="shared" si="6"/>
        <v>2023</v>
      </c>
      <c r="L83">
        <f t="shared" si="7"/>
        <v>7</v>
      </c>
      <c r="M83" t="str">
        <f t="shared" si="8"/>
        <v>July</v>
      </c>
      <c r="N83">
        <f t="shared" si="9"/>
        <v>1</v>
      </c>
      <c r="O83">
        <f t="shared" si="10"/>
        <v>14</v>
      </c>
      <c r="P83" s="1">
        <f t="shared" ca="1" si="11"/>
        <v>1042</v>
      </c>
    </row>
    <row r="84" spans="1:16" x14ac:dyDescent="0.3">
      <c r="A84">
        <v>2082</v>
      </c>
      <c r="B84" t="s">
        <v>41</v>
      </c>
      <c r="C84" t="s">
        <v>11</v>
      </c>
      <c r="D84" s="1">
        <v>44668</v>
      </c>
      <c r="E84" s="1">
        <v>44675</v>
      </c>
      <c r="F84" t="s">
        <v>19</v>
      </c>
      <c r="G84">
        <v>2</v>
      </c>
      <c r="H84">
        <v>3971.8</v>
      </c>
      <c r="I84">
        <v>7943.6</v>
      </c>
      <c r="J84" t="s">
        <v>13</v>
      </c>
      <c r="K84">
        <f t="shared" si="6"/>
        <v>2022</v>
      </c>
      <c r="L84">
        <f t="shared" si="7"/>
        <v>4</v>
      </c>
      <c r="M84" t="str">
        <f t="shared" si="8"/>
        <v>April</v>
      </c>
      <c r="N84">
        <f t="shared" si="9"/>
        <v>7</v>
      </c>
      <c r="O84">
        <f t="shared" si="10"/>
        <v>7</v>
      </c>
      <c r="P84" s="1">
        <f t="shared" ca="1" si="11"/>
        <v>1505</v>
      </c>
    </row>
    <row r="85" spans="1:16" x14ac:dyDescent="0.3">
      <c r="A85">
        <v>2083</v>
      </c>
      <c r="B85" t="s">
        <v>44</v>
      </c>
      <c r="C85" t="s">
        <v>11</v>
      </c>
      <c r="D85" s="1">
        <v>45068</v>
      </c>
      <c r="E85" s="1">
        <v>45073</v>
      </c>
      <c r="F85" t="s">
        <v>32</v>
      </c>
      <c r="G85">
        <v>1</v>
      </c>
      <c r="H85">
        <v>3220.28</v>
      </c>
      <c r="I85">
        <v>3220.28</v>
      </c>
      <c r="J85" t="s">
        <v>13</v>
      </c>
      <c r="K85">
        <f t="shared" si="6"/>
        <v>2023</v>
      </c>
      <c r="L85">
        <f t="shared" si="7"/>
        <v>5</v>
      </c>
      <c r="M85" t="str">
        <f t="shared" si="8"/>
        <v>May</v>
      </c>
      <c r="N85">
        <f t="shared" si="9"/>
        <v>1</v>
      </c>
      <c r="O85">
        <f t="shared" si="10"/>
        <v>5</v>
      </c>
      <c r="P85" s="1">
        <f t="shared" ca="1" si="11"/>
        <v>1105</v>
      </c>
    </row>
    <row r="86" spans="1:16" x14ac:dyDescent="0.3">
      <c r="A86">
        <v>2084</v>
      </c>
      <c r="B86" t="s">
        <v>37</v>
      </c>
      <c r="C86" t="s">
        <v>25</v>
      </c>
      <c r="D86" s="1">
        <v>44796</v>
      </c>
      <c r="E86" s="1">
        <v>44807</v>
      </c>
      <c r="F86" t="s">
        <v>19</v>
      </c>
      <c r="G86">
        <v>8</v>
      </c>
      <c r="H86">
        <v>3587.49</v>
      </c>
      <c r="I86">
        <v>28699.919999999998</v>
      </c>
      <c r="J86" t="s">
        <v>20</v>
      </c>
      <c r="K86">
        <f t="shared" si="6"/>
        <v>2022</v>
      </c>
      <c r="L86">
        <f t="shared" si="7"/>
        <v>8</v>
      </c>
      <c r="M86" t="str">
        <f t="shared" si="8"/>
        <v>August</v>
      </c>
      <c r="N86">
        <f t="shared" si="9"/>
        <v>2</v>
      </c>
      <c r="O86">
        <f t="shared" si="10"/>
        <v>11</v>
      </c>
      <c r="P86" s="1">
        <f t="shared" ca="1" si="11"/>
        <v>1377</v>
      </c>
    </row>
    <row r="87" spans="1:16" x14ac:dyDescent="0.3">
      <c r="A87">
        <v>2085</v>
      </c>
      <c r="B87" t="s">
        <v>45</v>
      </c>
      <c r="C87" t="s">
        <v>18</v>
      </c>
      <c r="D87" s="1">
        <v>44796</v>
      </c>
      <c r="E87" s="1">
        <v>44810</v>
      </c>
      <c r="F87" t="s">
        <v>32</v>
      </c>
      <c r="G87">
        <v>3</v>
      </c>
      <c r="H87">
        <v>4834.1899999999996</v>
      </c>
      <c r="I87">
        <v>14502.57</v>
      </c>
      <c r="J87" t="s">
        <v>13</v>
      </c>
      <c r="K87">
        <f t="shared" si="6"/>
        <v>2022</v>
      </c>
      <c r="L87">
        <f t="shared" si="7"/>
        <v>8</v>
      </c>
      <c r="M87" t="str">
        <f t="shared" si="8"/>
        <v>August</v>
      </c>
      <c r="N87">
        <f t="shared" si="9"/>
        <v>2</v>
      </c>
      <c r="O87">
        <f t="shared" si="10"/>
        <v>14</v>
      </c>
      <c r="P87" s="1">
        <f t="shared" ca="1" si="11"/>
        <v>1377</v>
      </c>
    </row>
    <row r="88" spans="1:16" x14ac:dyDescent="0.3">
      <c r="A88">
        <v>2086</v>
      </c>
      <c r="B88" t="s">
        <v>27</v>
      </c>
      <c r="C88" t="s">
        <v>11</v>
      </c>
      <c r="D88" s="1">
        <v>45200</v>
      </c>
      <c r="E88" s="1">
        <v>45211</v>
      </c>
      <c r="F88" t="s">
        <v>28</v>
      </c>
      <c r="G88">
        <v>7</v>
      </c>
      <c r="H88">
        <v>2164.2800000000002</v>
      </c>
      <c r="I88">
        <v>15149.96</v>
      </c>
      <c r="J88" t="s">
        <v>13</v>
      </c>
      <c r="K88">
        <f t="shared" si="6"/>
        <v>2023</v>
      </c>
      <c r="L88">
        <f t="shared" si="7"/>
        <v>10</v>
      </c>
      <c r="M88" t="str">
        <f t="shared" si="8"/>
        <v>October</v>
      </c>
      <c r="N88">
        <f t="shared" si="9"/>
        <v>7</v>
      </c>
      <c r="O88">
        <f t="shared" si="10"/>
        <v>11</v>
      </c>
      <c r="P88" s="1">
        <f t="shared" ca="1" si="11"/>
        <v>973</v>
      </c>
    </row>
    <row r="89" spans="1:16" x14ac:dyDescent="0.3">
      <c r="A89">
        <v>2087</v>
      </c>
      <c r="B89" t="s">
        <v>49</v>
      </c>
      <c r="C89" t="s">
        <v>18</v>
      </c>
      <c r="D89" s="1">
        <v>45059</v>
      </c>
      <c r="E89" s="1">
        <v>45062</v>
      </c>
      <c r="F89" t="s">
        <v>28</v>
      </c>
      <c r="G89">
        <v>5</v>
      </c>
      <c r="H89">
        <v>4296.38</v>
      </c>
      <c r="I89">
        <v>21481.9</v>
      </c>
      <c r="J89" t="s">
        <v>13</v>
      </c>
      <c r="K89">
        <f t="shared" si="6"/>
        <v>2023</v>
      </c>
      <c r="L89">
        <f t="shared" si="7"/>
        <v>5</v>
      </c>
      <c r="M89" t="str">
        <f t="shared" si="8"/>
        <v>May</v>
      </c>
      <c r="N89">
        <f t="shared" si="9"/>
        <v>6</v>
      </c>
      <c r="O89">
        <f t="shared" si="10"/>
        <v>3</v>
      </c>
      <c r="P89" s="1">
        <f t="shared" ca="1" si="11"/>
        <v>1114</v>
      </c>
    </row>
    <row r="90" spans="1:16" x14ac:dyDescent="0.3">
      <c r="A90">
        <v>2088</v>
      </c>
      <c r="B90" t="s">
        <v>27</v>
      </c>
      <c r="C90" t="s">
        <v>11</v>
      </c>
      <c r="D90" s="1">
        <v>45273</v>
      </c>
      <c r="E90" s="1">
        <v>45283</v>
      </c>
      <c r="F90" t="s">
        <v>16</v>
      </c>
      <c r="G90">
        <v>6</v>
      </c>
      <c r="H90">
        <v>624.1</v>
      </c>
      <c r="I90">
        <v>3744.6</v>
      </c>
      <c r="J90" t="s">
        <v>20</v>
      </c>
      <c r="K90">
        <f t="shared" si="6"/>
        <v>2023</v>
      </c>
      <c r="L90">
        <f t="shared" si="7"/>
        <v>12</v>
      </c>
      <c r="M90" t="str">
        <f t="shared" si="8"/>
        <v>December</v>
      </c>
      <c r="N90">
        <f t="shared" si="9"/>
        <v>3</v>
      </c>
      <c r="O90">
        <f t="shared" si="10"/>
        <v>10</v>
      </c>
      <c r="P90" s="1">
        <f t="shared" ca="1" si="11"/>
        <v>900</v>
      </c>
    </row>
    <row r="91" spans="1:16" x14ac:dyDescent="0.3">
      <c r="A91">
        <v>2089</v>
      </c>
      <c r="B91" t="s">
        <v>21</v>
      </c>
      <c r="C91" t="s">
        <v>25</v>
      </c>
      <c r="D91" s="1">
        <v>45565</v>
      </c>
      <c r="E91" s="1">
        <v>45568</v>
      </c>
      <c r="F91" t="s">
        <v>16</v>
      </c>
      <c r="G91">
        <v>6</v>
      </c>
      <c r="H91">
        <v>3287.25</v>
      </c>
      <c r="I91">
        <v>19723.5</v>
      </c>
      <c r="J91" t="s">
        <v>20</v>
      </c>
      <c r="K91">
        <f t="shared" si="6"/>
        <v>2024</v>
      </c>
      <c r="L91">
        <f t="shared" si="7"/>
        <v>9</v>
      </c>
      <c r="M91" t="str">
        <f t="shared" si="8"/>
        <v>September</v>
      </c>
      <c r="N91">
        <f t="shared" si="9"/>
        <v>1</v>
      </c>
      <c r="O91">
        <f t="shared" si="10"/>
        <v>3</v>
      </c>
      <c r="P91" s="1">
        <f t="shared" ca="1" si="11"/>
        <v>608</v>
      </c>
    </row>
    <row r="92" spans="1:16" x14ac:dyDescent="0.3">
      <c r="A92">
        <v>2090</v>
      </c>
      <c r="B92" t="s">
        <v>48</v>
      </c>
      <c r="C92" t="s">
        <v>22</v>
      </c>
      <c r="D92" s="1">
        <v>45453</v>
      </c>
      <c r="E92" s="1">
        <v>45457</v>
      </c>
      <c r="F92" t="s">
        <v>28</v>
      </c>
      <c r="G92">
        <v>5</v>
      </c>
      <c r="H92">
        <v>3194.79</v>
      </c>
      <c r="I92">
        <v>15973.95</v>
      </c>
      <c r="J92" t="s">
        <v>20</v>
      </c>
      <c r="K92">
        <f t="shared" si="6"/>
        <v>2024</v>
      </c>
      <c r="L92">
        <f t="shared" si="7"/>
        <v>6</v>
      </c>
      <c r="M92" t="str">
        <f t="shared" si="8"/>
        <v>June</v>
      </c>
      <c r="N92">
        <f t="shared" si="9"/>
        <v>1</v>
      </c>
      <c r="O92">
        <f t="shared" si="10"/>
        <v>4</v>
      </c>
      <c r="P92" s="1">
        <f t="shared" ca="1" si="11"/>
        <v>720</v>
      </c>
    </row>
    <row r="93" spans="1:16" x14ac:dyDescent="0.3">
      <c r="A93">
        <v>2091</v>
      </c>
      <c r="B93" t="s">
        <v>38</v>
      </c>
      <c r="C93" t="s">
        <v>25</v>
      </c>
      <c r="D93" s="1">
        <v>45111</v>
      </c>
      <c r="E93" s="1">
        <v>45118</v>
      </c>
      <c r="F93" t="s">
        <v>32</v>
      </c>
      <c r="G93">
        <v>4</v>
      </c>
      <c r="H93">
        <v>4204.4399999999996</v>
      </c>
      <c r="I93">
        <v>16817.759999999998</v>
      </c>
      <c r="J93" t="s">
        <v>13</v>
      </c>
      <c r="K93">
        <f t="shared" si="6"/>
        <v>2023</v>
      </c>
      <c r="L93">
        <f t="shared" si="7"/>
        <v>7</v>
      </c>
      <c r="M93" t="str">
        <f t="shared" si="8"/>
        <v>July</v>
      </c>
      <c r="N93">
        <f t="shared" si="9"/>
        <v>2</v>
      </c>
      <c r="O93">
        <f t="shared" si="10"/>
        <v>7</v>
      </c>
      <c r="P93" s="1">
        <f t="shared" ca="1" si="11"/>
        <v>1062</v>
      </c>
    </row>
    <row r="94" spans="1:16" x14ac:dyDescent="0.3">
      <c r="A94">
        <v>2092</v>
      </c>
      <c r="B94" t="s">
        <v>33</v>
      </c>
      <c r="C94" t="s">
        <v>25</v>
      </c>
      <c r="D94" s="1">
        <v>45061</v>
      </c>
      <c r="E94" s="1">
        <v>45075</v>
      </c>
      <c r="F94" t="s">
        <v>16</v>
      </c>
      <c r="G94">
        <v>7</v>
      </c>
      <c r="H94">
        <v>1881.06</v>
      </c>
      <c r="I94">
        <v>13167.42</v>
      </c>
      <c r="J94" t="s">
        <v>20</v>
      </c>
      <c r="K94">
        <f t="shared" si="6"/>
        <v>2023</v>
      </c>
      <c r="L94">
        <f t="shared" si="7"/>
        <v>5</v>
      </c>
      <c r="M94" t="str">
        <f t="shared" si="8"/>
        <v>May</v>
      </c>
      <c r="N94">
        <f t="shared" si="9"/>
        <v>1</v>
      </c>
      <c r="O94">
        <f t="shared" si="10"/>
        <v>14</v>
      </c>
      <c r="P94" s="1">
        <f t="shared" ca="1" si="11"/>
        <v>1112</v>
      </c>
    </row>
    <row r="95" spans="1:16" x14ac:dyDescent="0.3">
      <c r="A95">
        <v>2093</v>
      </c>
      <c r="B95" t="s">
        <v>47</v>
      </c>
      <c r="C95" t="s">
        <v>22</v>
      </c>
      <c r="D95" s="1">
        <v>45560</v>
      </c>
      <c r="E95" s="1">
        <v>45565</v>
      </c>
      <c r="F95" t="s">
        <v>12</v>
      </c>
      <c r="G95">
        <v>5</v>
      </c>
      <c r="H95">
        <v>1899.59</v>
      </c>
      <c r="I95">
        <v>9497.9500000000007</v>
      </c>
      <c r="J95" t="s">
        <v>20</v>
      </c>
      <c r="K95">
        <f t="shared" si="6"/>
        <v>2024</v>
      </c>
      <c r="L95">
        <f t="shared" si="7"/>
        <v>9</v>
      </c>
      <c r="M95" t="str">
        <f t="shared" si="8"/>
        <v>September</v>
      </c>
      <c r="N95">
        <f t="shared" si="9"/>
        <v>3</v>
      </c>
      <c r="O95">
        <f t="shared" si="10"/>
        <v>5</v>
      </c>
      <c r="P95" s="1">
        <f t="shared" ca="1" si="11"/>
        <v>613</v>
      </c>
    </row>
    <row r="96" spans="1:16" x14ac:dyDescent="0.3">
      <c r="A96">
        <v>2094</v>
      </c>
      <c r="B96" t="s">
        <v>30</v>
      </c>
      <c r="C96" t="s">
        <v>11</v>
      </c>
      <c r="D96" s="1">
        <v>45620</v>
      </c>
      <c r="E96" s="1">
        <v>45625</v>
      </c>
      <c r="F96" t="s">
        <v>26</v>
      </c>
      <c r="G96">
        <v>4</v>
      </c>
      <c r="H96">
        <v>3684.35</v>
      </c>
      <c r="I96">
        <v>14737.4</v>
      </c>
      <c r="J96" t="s">
        <v>20</v>
      </c>
      <c r="K96">
        <f t="shared" si="6"/>
        <v>2024</v>
      </c>
      <c r="L96">
        <f t="shared" si="7"/>
        <v>11</v>
      </c>
      <c r="M96" t="str">
        <f t="shared" si="8"/>
        <v>November</v>
      </c>
      <c r="N96">
        <f t="shared" si="9"/>
        <v>7</v>
      </c>
      <c r="O96">
        <f t="shared" si="10"/>
        <v>5</v>
      </c>
      <c r="P96" s="1">
        <f t="shared" ca="1" si="11"/>
        <v>553</v>
      </c>
    </row>
    <row r="97" spans="1:16" x14ac:dyDescent="0.3">
      <c r="A97">
        <v>2095</v>
      </c>
      <c r="B97" t="s">
        <v>30</v>
      </c>
      <c r="C97" t="s">
        <v>22</v>
      </c>
      <c r="D97" s="1">
        <v>45537</v>
      </c>
      <c r="E97" s="1">
        <v>45549</v>
      </c>
      <c r="F97" t="s">
        <v>28</v>
      </c>
      <c r="G97">
        <v>8</v>
      </c>
      <c r="H97">
        <v>2406.42</v>
      </c>
      <c r="I97">
        <v>19251.36</v>
      </c>
      <c r="J97" t="s">
        <v>13</v>
      </c>
      <c r="K97">
        <f t="shared" si="6"/>
        <v>2024</v>
      </c>
      <c r="L97">
        <f t="shared" si="7"/>
        <v>9</v>
      </c>
      <c r="M97" t="str">
        <f t="shared" si="8"/>
        <v>September</v>
      </c>
      <c r="N97">
        <f t="shared" si="9"/>
        <v>1</v>
      </c>
      <c r="O97">
        <f t="shared" si="10"/>
        <v>12</v>
      </c>
      <c r="P97" s="1">
        <f t="shared" ca="1" si="11"/>
        <v>636</v>
      </c>
    </row>
    <row r="98" spans="1:16" x14ac:dyDescent="0.3">
      <c r="A98">
        <v>2096</v>
      </c>
      <c r="B98" t="s">
        <v>49</v>
      </c>
      <c r="C98" t="s">
        <v>31</v>
      </c>
      <c r="D98" s="1">
        <v>45015</v>
      </c>
      <c r="E98" s="1">
        <v>45023</v>
      </c>
      <c r="F98" t="s">
        <v>28</v>
      </c>
      <c r="G98">
        <v>4</v>
      </c>
      <c r="H98">
        <v>1739.17</v>
      </c>
      <c r="I98">
        <v>6956.68</v>
      </c>
      <c r="J98" t="s">
        <v>20</v>
      </c>
      <c r="K98">
        <f t="shared" si="6"/>
        <v>2023</v>
      </c>
      <c r="L98">
        <f t="shared" si="7"/>
        <v>3</v>
      </c>
      <c r="M98" t="str">
        <f t="shared" si="8"/>
        <v>March</v>
      </c>
      <c r="N98">
        <f t="shared" si="9"/>
        <v>4</v>
      </c>
      <c r="O98">
        <f t="shared" si="10"/>
        <v>8</v>
      </c>
      <c r="P98" s="1">
        <f t="shared" ca="1" si="11"/>
        <v>1158</v>
      </c>
    </row>
    <row r="99" spans="1:16" x14ac:dyDescent="0.3">
      <c r="A99">
        <v>2097</v>
      </c>
      <c r="B99" t="s">
        <v>41</v>
      </c>
      <c r="C99" t="s">
        <v>18</v>
      </c>
      <c r="D99" s="1">
        <v>45649</v>
      </c>
      <c r="E99" s="1">
        <v>45656</v>
      </c>
      <c r="F99" t="s">
        <v>16</v>
      </c>
      <c r="G99">
        <v>6</v>
      </c>
      <c r="H99">
        <v>1953.51</v>
      </c>
      <c r="I99">
        <v>11721.06</v>
      </c>
      <c r="J99" t="s">
        <v>20</v>
      </c>
      <c r="K99">
        <f t="shared" si="6"/>
        <v>2024</v>
      </c>
      <c r="L99">
        <f t="shared" si="7"/>
        <v>12</v>
      </c>
      <c r="M99" t="str">
        <f t="shared" si="8"/>
        <v>December</v>
      </c>
      <c r="N99">
        <f t="shared" si="9"/>
        <v>1</v>
      </c>
      <c r="O99">
        <f t="shared" si="10"/>
        <v>7</v>
      </c>
      <c r="P99" s="1">
        <f t="shared" ca="1" si="11"/>
        <v>524</v>
      </c>
    </row>
    <row r="100" spans="1:16" x14ac:dyDescent="0.3">
      <c r="A100">
        <v>2098</v>
      </c>
      <c r="B100" t="s">
        <v>33</v>
      </c>
      <c r="C100" t="s">
        <v>31</v>
      </c>
      <c r="D100" s="1">
        <v>45076</v>
      </c>
      <c r="E100" s="1">
        <v>45081</v>
      </c>
      <c r="F100" t="s">
        <v>26</v>
      </c>
      <c r="G100">
        <v>4</v>
      </c>
      <c r="H100">
        <v>1783.08</v>
      </c>
      <c r="I100">
        <v>7132.32</v>
      </c>
      <c r="J100" t="s">
        <v>13</v>
      </c>
      <c r="K100">
        <f t="shared" si="6"/>
        <v>2023</v>
      </c>
      <c r="L100">
        <f t="shared" si="7"/>
        <v>5</v>
      </c>
      <c r="M100" t="str">
        <f t="shared" si="8"/>
        <v>May</v>
      </c>
      <c r="N100">
        <f t="shared" si="9"/>
        <v>2</v>
      </c>
      <c r="O100">
        <f t="shared" si="10"/>
        <v>5</v>
      </c>
      <c r="P100" s="1">
        <f t="shared" ca="1" si="11"/>
        <v>1097</v>
      </c>
    </row>
    <row r="101" spans="1:16" x14ac:dyDescent="0.3">
      <c r="A101">
        <v>2099</v>
      </c>
      <c r="B101" t="s">
        <v>29</v>
      </c>
      <c r="C101" t="s">
        <v>22</v>
      </c>
      <c r="D101" s="1">
        <v>45553</v>
      </c>
      <c r="E101" s="1">
        <v>45559</v>
      </c>
      <c r="F101" t="s">
        <v>28</v>
      </c>
      <c r="G101">
        <v>5</v>
      </c>
      <c r="H101">
        <v>4908.3999999999996</v>
      </c>
      <c r="I101">
        <v>24542</v>
      </c>
      <c r="J101" t="s">
        <v>13</v>
      </c>
      <c r="K101">
        <f t="shared" si="6"/>
        <v>2024</v>
      </c>
      <c r="L101">
        <f t="shared" si="7"/>
        <v>9</v>
      </c>
      <c r="M101" t="str">
        <f t="shared" si="8"/>
        <v>September</v>
      </c>
      <c r="N101">
        <f t="shared" si="9"/>
        <v>3</v>
      </c>
      <c r="O101">
        <f t="shared" si="10"/>
        <v>6</v>
      </c>
      <c r="P101" s="1">
        <f t="shared" ca="1" si="11"/>
        <v>620</v>
      </c>
    </row>
    <row r="102" spans="1:16" x14ac:dyDescent="0.3">
      <c r="A102">
        <v>2100</v>
      </c>
      <c r="B102" t="s">
        <v>43</v>
      </c>
      <c r="C102" t="s">
        <v>22</v>
      </c>
      <c r="D102" s="1">
        <v>45301</v>
      </c>
      <c r="E102" s="1">
        <v>45305</v>
      </c>
      <c r="F102" t="s">
        <v>12</v>
      </c>
      <c r="G102">
        <v>1</v>
      </c>
      <c r="H102">
        <v>3627.69</v>
      </c>
      <c r="I102">
        <v>3627.69</v>
      </c>
      <c r="J102" t="s">
        <v>13</v>
      </c>
      <c r="K102">
        <f t="shared" si="6"/>
        <v>2024</v>
      </c>
      <c r="L102">
        <f t="shared" si="7"/>
        <v>1</v>
      </c>
      <c r="M102" t="str">
        <f t="shared" si="8"/>
        <v>January</v>
      </c>
      <c r="N102">
        <f t="shared" si="9"/>
        <v>3</v>
      </c>
      <c r="O102">
        <f t="shared" si="10"/>
        <v>4</v>
      </c>
      <c r="P102" s="1">
        <f t="shared" ca="1" si="11"/>
        <v>872</v>
      </c>
    </row>
    <row r="103" spans="1:16" x14ac:dyDescent="0.3">
      <c r="A103">
        <v>2101</v>
      </c>
      <c r="B103" t="s">
        <v>33</v>
      </c>
      <c r="C103" t="s">
        <v>11</v>
      </c>
      <c r="D103" s="1">
        <v>44673</v>
      </c>
      <c r="E103" s="1">
        <v>44683</v>
      </c>
      <c r="F103" t="s">
        <v>12</v>
      </c>
      <c r="G103">
        <v>3</v>
      </c>
      <c r="H103">
        <v>3297.99</v>
      </c>
      <c r="I103">
        <v>9893.9699999999993</v>
      </c>
      <c r="J103" t="s">
        <v>20</v>
      </c>
      <c r="K103">
        <f t="shared" si="6"/>
        <v>2022</v>
      </c>
      <c r="L103">
        <f t="shared" si="7"/>
        <v>4</v>
      </c>
      <c r="M103" t="str">
        <f t="shared" si="8"/>
        <v>April</v>
      </c>
      <c r="N103">
        <f t="shared" si="9"/>
        <v>5</v>
      </c>
      <c r="O103">
        <f t="shared" si="10"/>
        <v>10</v>
      </c>
      <c r="P103" s="1">
        <f t="shared" ca="1" si="11"/>
        <v>1500</v>
      </c>
    </row>
    <row r="104" spans="1:16" x14ac:dyDescent="0.3">
      <c r="A104">
        <v>2102</v>
      </c>
      <c r="B104" t="s">
        <v>23</v>
      </c>
      <c r="C104" t="s">
        <v>11</v>
      </c>
      <c r="D104" s="1">
        <v>45144</v>
      </c>
      <c r="E104" s="1">
        <v>45153</v>
      </c>
      <c r="F104" t="s">
        <v>16</v>
      </c>
      <c r="G104">
        <v>8</v>
      </c>
      <c r="H104">
        <v>1901.32</v>
      </c>
      <c r="I104">
        <v>15210.56</v>
      </c>
      <c r="J104" t="s">
        <v>13</v>
      </c>
      <c r="K104">
        <f t="shared" si="6"/>
        <v>2023</v>
      </c>
      <c r="L104">
        <f t="shared" si="7"/>
        <v>8</v>
      </c>
      <c r="M104" t="str">
        <f t="shared" si="8"/>
        <v>August</v>
      </c>
      <c r="N104">
        <f t="shared" si="9"/>
        <v>7</v>
      </c>
      <c r="O104">
        <f t="shared" si="10"/>
        <v>9</v>
      </c>
      <c r="P104" s="1">
        <f t="shared" ca="1" si="11"/>
        <v>1029</v>
      </c>
    </row>
    <row r="105" spans="1:16" x14ac:dyDescent="0.3">
      <c r="A105">
        <v>2103</v>
      </c>
      <c r="B105" t="s">
        <v>33</v>
      </c>
      <c r="C105" t="s">
        <v>25</v>
      </c>
      <c r="D105" s="1">
        <v>44795</v>
      </c>
      <c r="E105" s="1">
        <v>44810</v>
      </c>
      <c r="F105" t="s">
        <v>26</v>
      </c>
      <c r="G105">
        <v>7</v>
      </c>
      <c r="H105">
        <v>2611.21</v>
      </c>
      <c r="I105">
        <v>18278.47</v>
      </c>
      <c r="J105" t="s">
        <v>13</v>
      </c>
      <c r="K105">
        <f t="shared" si="6"/>
        <v>2022</v>
      </c>
      <c r="L105">
        <f t="shared" si="7"/>
        <v>8</v>
      </c>
      <c r="M105" t="str">
        <f t="shared" si="8"/>
        <v>August</v>
      </c>
      <c r="N105">
        <f t="shared" si="9"/>
        <v>1</v>
      </c>
      <c r="O105">
        <f t="shared" si="10"/>
        <v>15</v>
      </c>
      <c r="P105" s="1">
        <f t="shared" ca="1" si="11"/>
        <v>1378</v>
      </c>
    </row>
    <row r="106" spans="1:16" x14ac:dyDescent="0.3">
      <c r="A106">
        <v>2104</v>
      </c>
      <c r="B106" t="s">
        <v>37</v>
      </c>
      <c r="C106" t="s">
        <v>22</v>
      </c>
      <c r="D106" s="1">
        <v>45184</v>
      </c>
      <c r="E106" s="1">
        <v>45187</v>
      </c>
      <c r="F106" t="s">
        <v>19</v>
      </c>
      <c r="G106">
        <v>2</v>
      </c>
      <c r="H106">
        <v>2922.94</v>
      </c>
      <c r="I106">
        <v>5845.88</v>
      </c>
      <c r="J106" t="s">
        <v>20</v>
      </c>
      <c r="K106">
        <f t="shared" si="6"/>
        <v>2023</v>
      </c>
      <c r="L106">
        <f t="shared" si="7"/>
        <v>9</v>
      </c>
      <c r="M106" t="str">
        <f t="shared" si="8"/>
        <v>September</v>
      </c>
      <c r="N106">
        <f t="shared" si="9"/>
        <v>5</v>
      </c>
      <c r="O106">
        <f t="shared" si="10"/>
        <v>3</v>
      </c>
      <c r="P106" s="1">
        <f t="shared" ca="1" si="11"/>
        <v>989</v>
      </c>
    </row>
    <row r="107" spans="1:16" x14ac:dyDescent="0.3">
      <c r="A107">
        <v>2105</v>
      </c>
      <c r="B107" t="s">
        <v>42</v>
      </c>
      <c r="C107" t="s">
        <v>18</v>
      </c>
      <c r="D107" s="1">
        <v>45024</v>
      </c>
      <c r="E107" s="1">
        <v>45038</v>
      </c>
      <c r="F107" t="s">
        <v>36</v>
      </c>
      <c r="G107">
        <v>7</v>
      </c>
      <c r="H107">
        <v>2417.42</v>
      </c>
      <c r="I107">
        <v>16921.939999999999</v>
      </c>
      <c r="J107" t="s">
        <v>20</v>
      </c>
      <c r="K107">
        <f t="shared" si="6"/>
        <v>2023</v>
      </c>
      <c r="L107">
        <f t="shared" si="7"/>
        <v>4</v>
      </c>
      <c r="M107" t="str">
        <f t="shared" si="8"/>
        <v>April</v>
      </c>
      <c r="N107">
        <f t="shared" si="9"/>
        <v>6</v>
      </c>
      <c r="O107">
        <f t="shared" si="10"/>
        <v>14</v>
      </c>
      <c r="P107" s="1">
        <f t="shared" ca="1" si="11"/>
        <v>1149</v>
      </c>
    </row>
    <row r="108" spans="1:16" x14ac:dyDescent="0.3">
      <c r="A108">
        <v>2106</v>
      </c>
      <c r="B108" t="s">
        <v>43</v>
      </c>
      <c r="C108" t="s">
        <v>18</v>
      </c>
      <c r="D108" s="1">
        <v>45440</v>
      </c>
      <c r="E108" s="1">
        <v>45446</v>
      </c>
      <c r="F108" t="s">
        <v>36</v>
      </c>
      <c r="G108">
        <v>1</v>
      </c>
      <c r="H108">
        <v>3165.27</v>
      </c>
      <c r="I108">
        <v>3165.27</v>
      </c>
      <c r="J108" t="s">
        <v>13</v>
      </c>
      <c r="K108">
        <f t="shared" si="6"/>
        <v>2024</v>
      </c>
      <c r="L108">
        <f t="shared" si="7"/>
        <v>5</v>
      </c>
      <c r="M108" t="str">
        <f t="shared" si="8"/>
        <v>May</v>
      </c>
      <c r="N108">
        <f t="shared" si="9"/>
        <v>2</v>
      </c>
      <c r="O108">
        <f t="shared" si="10"/>
        <v>6</v>
      </c>
      <c r="P108" s="1">
        <f t="shared" ca="1" si="11"/>
        <v>733</v>
      </c>
    </row>
    <row r="109" spans="1:16" x14ac:dyDescent="0.3">
      <c r="A109">
        <v>2107</v>
      </c>
      <c r="B109" t="s">
        <v>44</v>
      </c>
      <c r="C109" t="s">
        <v>22</v>
      </c>
      <c r="D109" s="1">
        <v>44994</v>
      </c>
      <c r="E109" s="1">
        <v>45000</v>
      </c>
      <c r="F109" t="s">
        <v>28</v>
      </c>
      <c r="G109">
        <v>2</v>
      </c>
      <c r="H109">
        <v>1038.17</v>
      </c>
      <c r="I109">
        <v>2076.34</v>
      </c>
      <c r="J109" t="s">
        <v>13</v>
      </c>
      <c r="K109">
        <f t="shared" si="6"/>
        <v>2023</v>
      </c>
      <c r="L109">
        <f t="shared" si="7"/>
        <v>3</v>
      </c>
      <c r="M109" t="str">
        <f t="shared" si="8"/>
        <v>March</v>
      </c>
      <c r="N109">
        <f t="shared" si="9"/>
        <v>4</v>
      </c>
      <c r="O109">
        <f t="shared" si="10"/>
        <v>6</v>
      </c>
      <c r="P109" s="1">
        <f t="shared" ca="1" si="11"/>
        <v>1179</v>
      </c>
    </row>
    <row r="110" spans="1:16" x14ac:dyDescent="0.3">
      <c r="A110">
        <v>2108</v>
      </c>
      <c r="B110" t="s">
        <v>30</v>
      </c>
      <c r="C110" t="s">
        <v>11</v>
      </c>
      <c r="D110" s="1">
        <v>44882</v>
      </c>
      <c r="E110" s="1">
        <v>44884</v>
      </c>
      <c r="F110" t="s">
        <v>16</v>
      </c>
      <c r="G110">
        <v>8</v>
      </c>
      <c r="H110">
        <v>3540.04</v>
      </c>
      <c r="I110">
        <v>28320.32</v>
      </c>
      <c r="J110" t="s">
        <v>20</v>
      </c>
      <c r="K110">
        <f t="shared" si="6"/>
        <v>2022</v>
      </c>
      <c r="L110">
        <f t="shared" si="7"/>
        <v>11</v>
      </c>
      <c r="M110" t="str">
        <f t="shared" si="8"/>
        <v>November</v>
      </c>
      <c r="N110">
        <f t="shared" si="9"/>
        <v>4</v>
      </c>
      <c r="O110">
        <f t="shared" si="10"/>
        <v>2</v>
      </c>
      <c r="P110" s="1">
        <f t="shared" ca="1" si="11"/>
        <v>1291</v>
      </c>
    </row>
    <row r="111" spans="1:16" x14ac:dyDescent="0.3">
      <c r="A111">
        <v>2109</v>
      </c>
      <c r="B111" t="s">
        <v>43</v>
      </c>
      <c r="C111" t="s">
        <v>11</v>
      </c>
      <c r="D111" s="1">
        <v>45036</v>
      </c>
      <c r="E111" s="1">
        <v>45042</v>
      </c>
      <c r="F111" t="s">
        <v>28</v>
      </c>
      <c r="G111">
        <v>5</v>
      </c>
      <c r="H111">
        <v>3604.04</v>
      </c>
      <c r="I111">
        <v>18020.2</v>
      </c>
      <c r="J111" t="s">
        <v>20</v>
      </c>
      <c r="K111">
        <f t="shared" si="6"/>
        <v>2023</v>
      </c>
      <c r="L111">
        <f t="shared" si="7"/>
        <v>4</v>
      </c>
      <c r="M111" t="str">
        <f t="shared" si="8"/>
        <v>April</v>
      </c>
      <c r="N111">
        <f t="shared" si="9"/>
        <v>4</v>
      </c>
      <c r="O111">
        <f t="shared" si="10"/>
        <v>6</v>
      </c>
      <c r="P111" s="1">
        <f t="shared" ca="1" si="11"/>
        <v>1137</v>
      </c>
    </row>
    <row r="112" spans="1:16" x14ac:dyDescent="0.3">
      <c r="A112">
        <v>2110</v>
      </c>
      <c r="B112" t="s">
        <v>49</v>
      </c>
      <c r="C112" t="s">
        <v>15</v>
      </c>
      <c r="D112" s="1">
        <v>45040</v>
      </c>
      <c r="E112" s="1">
        <v>45046</v>
      </c>
      <c r="F112" t="s">
        <v>32</v>
      </c>
      <c r="G112">
        <v>4</v>
      </c>
      <c r="H112">
        <v>2298.15</v>
      </c>
      <c r="I112">
        <v>9192.6</v>
      </c>
      <c r="J112" t="s">
        <v>13</v>
      </c>
      <c r="K112">
        <f t="shared" si="6"/>
        <v>2023</v>
      </c>
      <c r="L112">
        <f t="shared" si="7"/>
        <v>4</v>
      </c>
      <c r="M112" t="str">
        <f t="shared" si="8"/>
        <v>April</v>
      </c>
      <c r="N112">
        <f t="shared" si="9"/>
        <v>1</v>
      </c>
      <c r="O112">
        <f t="shared" si="10"/>
        <v>6</v>
      </c>
      <c r="P112" s="1">
        <f t="shared" ca="1" si="11"/>
        <v>1133</v>
      </c>
    </row>
    <row r="113" spans="1:16" x14ac:dyDescent="0.3">
      <c r="A113">
        <v>2111</v>
      </c>
      <c r="B113" t="s">
        <v>10</v>
      </c>
      <c r="C113" t="s">
        <v>22</v>
      </c>
      <c r="D113" s="1">
        <v>45106</v>
      </c>
      <c r="E113" s="1">
        <v>45121</v>
      </c>
      <c r="F113" t="s">
        <v>19</v>
      </c>
      <c r="G113">
        <v>2</v>
      </c>
      <c r="H113">
        <v>580.29999999999995</v>
      </c>
      <c r="I113">
        <v>1160.5999999999999</v>
      </c>
      <c r="J113" t="s">
        <v>20</v>
      </c>
      <c r="K113">
        <f t="shared" si="6"/>
        <v>2023</v>
      </c>
      <c r="L113">
        <f t="shared" si="7"/>
        <v>6</v>
      </c>
      <c r="M113" t="str">
        <f t="shared" si="8"/>
        <v>June</v>
      </c>
      <c r="N113">
        <f t="shared" si="9"/>
        <v>4</v>
      </c>
      <c r="O113">
        <f t="shared" si="10"/>
        <v>15</v>
      </c>
      <c r="P113" s="1">
        <f t="shared" ca="1" si="11"/>
        <v>1067</v>
      </c>
    </row>
    <row r="114" spans="1:16" x14ac:dyDescent="0.3">
      <c r="A114">
        <v>2112</v>
      </c>
      <c r="B114" t="s">
        <v>42</v>
      </c>
      <c r="C114" t="s">
        <v>15</v>
      </c>
      <c r="D114" s="1">
        <v>45153</v>
      </c>
      <c r="E114" s="1">
        <v>45162</v>
      </c>
      <c r="F114" t="s">
        <v>26</v>
      </c>
      <c r="G114">
        <v>8</v>
      </c>
      <c r="H114">
        <v>3536.79</v>
      </c>
      <c r="I114">
        <v>28294.32</v>
      </c>
      <c r="J114" t="s">
        <v>20</v>
      </c>
      <c r="K114">
        <f t="shared" si="6"/>
        <v>2023</v>
      </c>
      <c r="L114">
        <f t="shared" si="7"/>
        <v>8</v>
      </c>
      <c r="M114" t="str">
        <f t="shared" si="8"/>
        <v>August</v>
      </c>
      <c r="N114">
        <f t="shared" si="9"/>
        <v>2</v>
      </c>
      <c r="O114">
        <f t="shared" si="10"/>
        <v>9</v>
      </c>
      <c r="P114" s="1">
        <f t="shared" ca="1" si="11"/>
        <v>1020</v>
      </c>
    </row>
    <row r="115" spans="1:16" x14ac:dyDescent="0.3">
      <c r="A115">
        <v>2113</v>
      </c>
      <c r="B115" t="s">
        <v>33</v>
      </c>
      <c r="C115" t="s">
        <v>18</v>
      </c>
      <c r="D115" s="1">
        <v>45573</v>
      </c>
      <c r="E115" s="1">
        <v>45582</v>
      </c>
      <c r="F115" t="s">
        <v>26</v>
      </c>
      <c r="G115">
        <v>1</v>
      </c>
      <c r="H115">
        <v>4480.29</v>
      </c>
      <c r="I115">
        <v>4480.29</v>
      </c>
      <c r="J115" t="s">
        <v>20</v>
      </c>
      <c r="K115">
        <f t="shared" si="6"/>
        <v>2024</v>
      </c>
      <c r="L115">
        <f t="shared" si="7"/>
        <v>10</v>
      </c>
      <c r="M115" t="str">
        <f t="shared" si="8"/>
        <v>October</v>
      </c>
      <c r="N115">
        <f t="shared" si="9"/>
        <v>2</v>
      </c>
      <c r="O115">
        <f t="shared" si="10"/>
        <v>9</v>
      </c>
      <c r="P115" s="1">
        <f t="shared" ca="1" si="11"/>
        <v>600</v>
      </c>
    </row>
    <row r="116" spans="1:16" x14ac:dyDescent="0.3">
      <c r="A116">
        <v>2114</v>
      </c>
      <c r="B116" t="s">
        <v>42</v>
      </c>
      <c r="C116" t="s">
        <v>31</v>
      </c>
      <c r="D116" s="1">
        <v>44614</v>
      </c>
      <c r="E116" s="1">
        <v>44617</v>
      </c>
      <c r="F116" t="s">
        <v>19</v>
      </c>
      <c r="G116">
        <v>1</v>
      </c>
      <c r="H116">
        <v>4997.99</v>
      </c>
      <c r="I116">
        <v>4997.99</v>
      </c>
      <c r="J116" t="s">
        <v>20</v>
      </c>
      <c r="K116">
        <f t="shared" si="6"/>
        <v>2022</v>
      </c>
      <c r="L116">
        <f t="shared" si="7"/>
        <v>2</v>
      </c>
      <c r="M116" t="str">
        <f t="shared" si="8"/>
        <v>February</v>
      </c>
      <c r="N116">
        <f t="shared" si="9"/>
        <v>2</v>
      </c>
      <c r="O116">
        <f t="shared" si="10"/>
        <v>3</v>
      </c>
      <c r="P116" s="1">
        <f t="shared" ca="1" si="11"/>
        <v>1559</v>
      </c>
    </row>
    <row r="117" spans="1:16" x14ac:dyDescent="0.3">
      <c r="A117">
        <v>2115</v>
      </c>
      <c r="B117" t="s">
        <v>27</v>
      </c>
      <c r="C117" t="s">
        <v>11</v>
      </c>
      <c r="D117" s="1">
        <v>44920</v>
      </c>
      <c r="E117" s="1">
        <v>44929</v>
      </c>
      <c r="F117" t="s">
        <v>36</v>
      </c>
      <c r="G117">
        <v>8</v>
      </c>
      <c r="H117">
        <v>4605.54</v>
      </c>
      <c r="I117">
        <v>36844.32</v>
      </c>
      <c r="J117" t="s">
        <v>13</v>
      </c>
      <c r="K117">
        <f t="shared" si="6"/>
        <v>2022</v>
      </c>
      <c r="L117">
        <f t="shared" si="7"/>
        <v>12</v>
      </c>
      <c r="M117" t="str">
        <f t="shared" si="8"/>
        <v>December</v>
      </c>
      <c r="N117">
        <f t="shared" si="9"/>
        <v>7</v>
      </c>
      <c r="O117">
        <f t="shared" si="10"/>
        <v>9</v>
      </c>
      <c r="P117" s="1">
        <f t="shared" ca="1" si="11"/>
        <v>1253</v>
      </c>
    </row>
    <row r="118" spans="1:16" x14ac:dyDescent="0.3">
      <c r="A118">
        <v>2116</v>
      </c>
      <c r="B118" t="s">
        <v>27</v>
      </c>
      <c r="C118" t="s">
        <v>25</v>
      </c>
      <c r="D118" s="1">
        <v>45569</v>
      </c>
      <c r="E118" s="1">
        <v>45572</v>
      </c>
      <c r="F118" t="s">
        <v>16</v>
      </c>
      <c r="G118">
        <v>6</v>
      </c>
      <c r="H118">
        <v>2219.2399999999998</v>
      </c>
      <c r="I118">
        <v>13315.44</v>
      </c>
      <c r="J118" t="s">
        <v>20</v>
      </c>
      <c r="K118">
        <f t="shared" si="6"/>
        <v>2024</v>
      </c>
      <c r="L118">
        <f t="shared" si="7"/>
        <v>10</v>
      </c>
      <c r="M118" t="str">
        <f t="shared" si="8"/>
        <v>October</v>
      </c>
      <c r="N118">
        <f t="shared" si="9"/>
        <v>5</v>
      </c>
      <c r="O118">
        <f t="shared" si="10"/>
        <v>3</v>
      </c>
      <c r="P118" s="1">
        <f t="shared" ca="1" si="11"/>
        <v>604</v>
      </c>
    </row>
    <row r="119" spans="1:16" x14ac:dyDescent="0.3">
      <c r="A119">
        <v>2117</v>
      </c>
      <c r="B119" t="s">
        <v>14</v>
      </c>
      <c r="C119" t="s">
        <v>11</v>
      </c>
      <c r="D119" s="1">
        <v>44891</v>
      </c>
      <c r="E119" s="1">
        <v>44898</v>
      </c>
      <c r="F119" t="s">
        <v>16</v>
      </c>
      <c r="G119">
        <v>8</v>
      </c>
      <c r="H119">
        <v>1654.62</v>
      </c>
      <c r="I119">
        <v>13236.96</v>
      </c>
      <c r="J119" t="s">
        <v>20</v>
      </c>
      <c r="K119">
        <f t="shared" si="6"/>
        <v>2022</v>
      </c>
      <c r="L119">
        <f t="shared" si="7"/>
        <v>11</v>
      </c>
      <c r="M119" t="str">
        <f t="shared" si="8"/>
        <v>November</v>
      </c>
      <c r="N119">
        <f t="shared" si="9"/>
        <v>6</v>
      </c>
      <c r="O119">
        <f t="shared" si="10"/>
        <v>7</v>
      </c>
      <c r="P119" s="1">
        <f t="shared" ca="1" si="11"/>
        <v>1282</v>
      </c>
    </row>
    <row r="120" spans="1:16" x14ac:dyDescent="0.3">
      <c r="A120">
        <v>2118</v>
      </c>
      <c r="B120" t="s">
        <v>44</v>
      </c>
      <c r="C120" t="s">
        <v>18</v>
      </c>
      <c r="D120" s="1">
        <v>44637</v>
      </c>
      <c r="E120" s="1">
        <v>44646</v>
      </c>
      <c r="F120" t="s">
        <v>26</v>
      </c>
      <c r="G120">
        <v>6</v>
      </c>
      <c r="H120">
        <v>1486.27</v>
      </c>
      <c r="I120">
        <v>8917.6200000000008</v>
      </c>
      <c r="J120" t="s">
        <v>13</v>
      </c>
      <c r="K120">
        <f t="shared" si="6"/>
        <v>2022</v>
      </c>
      <c r="L120">
        <f t="shared" si="7"/>
        <v>3</v>
      </c>
      <c r="M120" t="str">
        <f t="shared" si="8"/>
        <v>March</v>
      </c>
      <c r="N120">
        <f t="shared" si="9"/>
        <v>4</v>
      </c>
      <c r="O120">
        <f t="shared" si="10"/>
        <v>9</v>
      </c>
      <c r="P120" s="1">
        <f t="shared" ca="1" si="11"/>
        <v>1536</v>
      </c>
    </row>
    <row r="121" spans="1:16" x14ac:dyDescent="0.3">
      <c r="A121">
        <v>2119</v>
      </c>
      <c r="B121" t="s">
        <v>44</v>
      </c>
      <c r="C121" t="s">
        <v>25</v>
      </c>
      <c r="D121" s="1">
        <v>45615</v>
      </c>
      <c r="E121" s="1">
        <v>45630</v>
      </c>
      <c r="F121" t="s">
        <v>26</v>
      </c>
      <c r="G121">
        <v>8</v>
      </c>
      <c r="H121">
        <v>2242.2600000000002</v>
      </c>
      <c r="I121">
        <v>17938.080000000002</v>
      </c>
      <c r="J121" t="s">
        <v>13</v>
      </c>
      <c r="K121">
        <f t="shared" si="6"/>
        <v>2024</v>
      </c>
      <c r="L121">
        <f t="shared" si="7"/>
        <v>11</v>
      </c>
      <c r="M121" t="str">
        <f t="shared" si="8"/>
        <v>November</v>
      </c>
      <c r="N121">
        <f t="shared" si="9"/>
        <v>2</v>
      </c>
      <c r="O121">
        <f t="shared" si="10"/>
        <v>15</v>
      </c>
      <c r="P121" s="1">
        <f t="shared" ca="1" si="11"/>
        <v>558</v>
      </c>
    </row>
    <row r="122" spans="1:16" x14ac:dyDescent="0.3">
      <c r="A122">
        <v>2120</v>
      </c>
      <c r="B122" t="s">
        <v>35</v>
      </c>
      <c r="C122" t="s">
        <v>31</v>
      </c>
      <c r="D122" s="1">
        <v>45582</v>
      </c>
      <c r="E122" s="1">
        <v>45594</v>
      </c>
      <c r="F122" t="s">
        <v>16</v>
      </c>
      <c r="G122">
        <v>1</v>
      </c>
      <c r="H122">
        <v>1256.72</v>
      </c>
      <c r="I122">
        <v>1256.72</v>
      </c>
      <c r="J122" t="s">
        <v>13</v>
      </c>
      <c r="K122">
        <f t="shared" si="6"/>
        <v>2024</v>
      </c>
      <c r="L122">
        <f t="shared" si="7"/>
        <v>10</v>
      </c>
      <c r="M122" t="str">
        <f t="shared" si="8"/>
        <v>October</v>
      </c>
      <c r="N122">
        <f t="shared" si="9"/>
        <v>4</v>
      </c>
      <c r="O122">
        <f t="shared" si="10"/>
        <v>12</v>
      </c>
      <c r="P122" s="1">
        <f t="shared" ca="1" si="11"/>
        <v>591</v>
      </c>
    </row>
    <row r="123" spans="1:16" x14ac:dyDescent="0.3">
      <c r="A123">
        <v>2121</v>
      </c>
      <c r="B123" t="s">
        <v>43</v>
      </c>
      <c r="C123" t="s">
        <v>25</v>
      </c>
      <c r="D123" s="1">
        <v>45554</v>
      </c>
      <c r="E123" s="1">
        <v>45557</v>
      </c>
      <c r="F123" t="s">
        <v>26</v>
      </c>
      <c r="G123">
        <v>4</v>
      </c>
      <c r="H123">
        <v>3635.98</v>
      </c>
      <c r="I123">
        <v>14543.92</v>
      </c>
      <c r="J123" t="s">
        <v>20</v>
      </c>
      <c r="K123">
        <f t="shared" si="6"/>
        <v>2024</v>
      </c>
      <c r="L123">
        <f t="shared" si="7"/>
        <v>9</v>
      </c>
      <c r="M123" t="str">
        <f t="shared" si="8"/>
        <v>September</v>
      </c>
      <c r="N123">
        <f t="shared" si="9"/>
        <v>4</v>
      </c>
      <c r="O123">
        <f t="shared" si="10"/>
        <v>3</v>
      </c>
      <c r="P123" s="1">
        <f t="shared" ca="1" si="11"/>
        <v>619</v>
      </c>
    </row>
    <row r="124" spans="1:16" x14ac:dyDescent="0.3">
      <c r="A124">
        <v>2122</v>
      </c>
      <c r="B124" t="s">
        <v>30</v>
      </c>
      <c r="C124" t="s">
        <v>11</v>
      </c>
      <c r="D124" s="1">
        <v>45397</v>
      </c>
      <c r="E124" s="1">
        <v>45400</v>
      </c>
      <c r="F124" t="s">
        <v>19</v>
      </c>
      <c r="G124">
        <v>2</v>
      </c>
      <c r="H124">
        <v>2468.81</v>
      </c>
      <c r="I124">
        <v>4937.62</v>
      </c>
      <c r="J124" t="s">
        <v>13</v>
      </c>
      <c r="K124">
        <f t="shared" si="6"/>
        <v>2024</v>
      </c>
      <c r="L124">
        <f t="shared" si="7"/>
        <v>4</v>
      </c>
      <c r="M124" t="str">
        <f t="shared" si="8"/>
        <v>April</v>
      </c>
      <c r="N124">
        <f t="shared" si="9"/>
        <v>1</v>
      </c>
      <c r="O124">
        <f t="shared" si="10"/>
        <v>3</v>
      </c>
      <c r="P124" s="1">
        <f t="shared" ca="1" si="11"/>
        <v>776</v>
      </c>
    </row>
    <row r="125" spans="1:16" x14ac:dyDescent="0.3">
      <c r="A125">
        <v>2123</v>
      </c>
      <c r="B125" t="s">
        <v>10</v>
      </c>
      <c r="C125" t="s">
        <v>22</v>
      </c>
      <c r="D125" s="1">
        <v>45582</v>
      </c>
      <c r="E125" s="1">
        <v>45595</v>
      </c>
      <c r="F125" t="s">
        <v>12</v>
      </c>
      <c r="G125">
        <v>5</v>
      </c>
      <c r="H125">
        <v>2252.8000000000002</v>
      </c>
      <c r="I125">
        <v>11264</v>
      </c>
      <c r="J125" t="s">
        <v>20</v>
      </c>
      <c r="K125">
        <f t="shared" si="6"/>
        <v>2024</v>
      </c>
      <c r="L125">
        <f t="shared" si="7"/>
        <v>10</v>
      </c>
      <c r="M125" t="str">
        <f t="shared" si="8"/>
        <v>October</v>
      </c>
      <c r="N125">
        <f t="shared" si="9"/>
        <v>4</v>
      </c>
      <c r="O125">
        <f t="shared" si="10"/>
        <v>13</v>
      </c>
      <c r="P125" s="1">
        <f t="shared" ca="1" si="11"/>
        <v>591</v>
      </c>
    </row>
    <row r="126" spans="1:16" x14ac:dyDescent="0.3">
      <c r="A126">
        <v>2124</v>
      </c>
      <c r="B126" t="s">
        <v>41</v>
      </c>
      <c r="C126" t="s">
        <v>22</v>
      </c>
      <c r="D126" s="1">
        <v>45497</v>
      </c>
      <c r="E126" s="1">
        <v>45507</v>
      </c>
      <c r="F126" t="s">
        <v>19</v>
      </c>
      <c r="G126">
        <v>7</v>
      </c>
      <c r="H126">
        <v>1195.8699999999999</v>
      </c>
      <c r="I126">
        <v>8371.09</v>
      </c>
      <c r="J126" t="s">
        <v>13</v>
      </c>
      <c r="K126">
        <f t="shared" si="6"/>
        <v>2024</v>
      </c>
      <c r="L126">
        <f t="shared" si="7"/>
        <v>7</v>
      </c>
      <c r="M126" t="str">
        <f t="shared" si="8"/>
        <v>July</v>
      </c>
      <c r="N126">
        <f t="shared" si="9"/>
        <v>3</v>
      </c>
      <c r="O126">
        <f t="shared" si="10"/>
        <v>10</v>
      </c>
      <c r="P126" s="1">
        <f t="shared" ca="1" si="11"/>
        <v>676</v>
      </c>
    </row>
    <row r="127" spans="1:16" x14ac:dyDescent="0.3">
      <c r="A127">
        <v>2125</v>
      </c>
      <c r="B127" t="s">
        <v>49</v>
      </c>
      <c r="C127" t="s">
        <v>31</v>
      </c>
      <c r="D127" s="1">
        <v>45411</v>
      </c>
      <c r="E127" s="1">
        <v>45418</v>
      </c>
      <c r="F127" t="s">
        <v>32</v>
      </c>
      <c r="G127">
        <v>5</v>
      </c>
      <c r="H127">
        <v>4156.58</v>
      </c>
      <c r="I127">
        <v>20782.900000000001</v>
      </c>
      <c r="J127" t="s">
        <v>20</v>
      </c>
      <c r="K127">
        <f t="shared" si="6"/>
        <v>2024</v>
      </c>
      <c r="L127">
        <f t="shared" si="7"/>
        <v>4</v>
      </c>
      <c r="M127" t="str">
        <f t="shared" si="8"/>
        <v>April</v>
      </c>
      <c r="N127">
        <f t="shared" si="9"/>
        <v>1</v>
      </c>
      <c r="O127">
        <f t="shared" si="10"/>
        <v>7</v>
      </c>
      <c r="P127" s="1">
        <f t="shared" ca="1" si="11"/>
        <v>762</v>
      </c>
    </row>
    <row r="128" spans="1:16" x14ac:dyDescent="0.3">
      <c r="A128">
        <v>2126</v>
      </c>
      <c r="B128" t="s">
        <v>24</v>
      </c>
      <c r="C128" t="s">
        <v>31</v>
      </c>
      <c r="D128" s="1">
        <v>45564</v>
      </c>
      <c r="E128" s="1">
        <v>45579</v>
      </c>
      <c r="F128" t="s">
        <v>19</v>
      </c>
      <c r="G128">
        <v>8</v>
      </c>
      <c r="H128">
        <v>2831.33</v>
      </c>
      <c r="I128">
        <v>22650.639999999999</v>
      </c>
      <c r="J128" t="s">
        <v>20</v>
      </c>
      <c r="K128">
        <f t="shared" si="6"/>
        <v>2024</v>
      </c>
      <c r="L128">
        <f t="shared" si="7"/>
        <v>9</v>
      </c>
      <c r="M128" t="str">
        <f t="shared" si="8"/>
        <v>September</v>
      </c>
      <c r="N128">
        <f t="shared" si="9"/>
        <v>7</v>
      </c>
      <c r="O128">
        <f t="shared" si="10"/>
        <v>15</v>
      </c>
      <c r="P128" s="1">
        <f t="shared" ca="1" si="11"/>
        <v>609</v>
      </c>
    </row>
    <row r="129" spans="1:16" x14ac:dyDescent="0.3">
      <c r="A129">
        <v>2127</v>
      </c>
      <c r="B129" t="s">
        <v>47</v>
      </c>
      <c r="C129" t="s">
        <v>18</v>
      </c>
      <c r="D129" s="1">
        <v>45334</v>
      </c>
      <c r="E129" s="1">
        <v>45343</v>
      </c>
      <c r="F129" t="s">
        <v>12</v>
      </c>
      <c r="G129">
        <v>4</v>
      </c>
      <c r="H129">
        <v>4909.6400000000003</v>
      </c>
      <c r="I129">
        <v>19638.560000000001</v>
      </c>
      <c r="J129" t="s">
        <v>13</v>
      </c>
      <c r="K129">
        <f t="shared" si="6"/>
        <v>2024</v>
      </c>
      <c r="L129">
        <f t="shared" si="7"/>
        <v>2</v>
      </c>
      <c r="M129" t="str">
        <f t="shared" si="8"/>
        <v>February</v>
      </c>
      <c r="N129">
        <f t="shared" si="9"/>
        <v>1</v>
      </c>
      <c r="O129">
        <f t="shared" si="10"/>
        <v>9</v>
      </c>
      <c r="P129" s="1">
        <f t="shared" ca="1" si="11"/>
        <v>839</v>
      </c>
    </row>
    <row r="130" spans="1:16" x14ac:dyDescent="0.3">
      <c r="A130">
        <v>2128</v>
      </c>
      <c r="B130" t="s">
        <v>27</v>
      </c>
      <c r="C130" t="s">
        <v>25</v>
      </c>
      <c r="D130" s="1">
        <v>45040</v>
      </c>
      <c r="E130" s="1">
        <v>45055</v>
      </c>
      <c r="F130" t="s">
        <v>32</v>
      </c>
      <c r="G130">
        <v>7</v>
      </c>
      <c r="H130">
        <v>505.14</v>
      </c>
      <c r="I130">
        <v>3535.98</v>
      </c>
      <c r="J130" t="s">
        <v>20</v>
      </c>
      <c r="K130">
        <f t="shared" si="6"/>
        <v>2023</v>
      </c>
      <c r="L130">
        <f t="shared" si="7"/>
        <v>4</v>
      </c>
      <c r="M130" t="str">
        <f t="shared" si="8"/>
        <v>April</v>
      </c>
      <c r="N130">
        <f t="shared" si="9"/>
        <v>1</v>
      </c>
      <c r="O130">
        <f t="shared" si="10"/>
        <v>15</v>
      </c>
      <c r="P130" s="1">
        <f t="shared" ca="1" si="11"/>
        <v>1133</v>
      </c>
    </row>
    <row r="131" spans="1:16" x14ac:dyDescent="0.3">
      <c r="A131">
        <v>2129</v>
      </c>
      <c r="B131" t="s">
        <v>48</v>
      </c>
      <c r="C131" t="s">
        <v>25</v>
      </c>
      <c r="D131" s="1">
        <v>45352</v>
      </c>
      <c r="E131" s="1">
        <v>45364</v>
      </c>
      <c r="F131" t="s">
        <v>32</v>
      </c>
      <c r="G131">
        <v>3</v>
      </c>
      <c r="H131">
        <v>2628.04</v>
      </c>
      <c r="I131">
        <v>7884.12</v>
      </c>
      <c r="J131" t="s">
        <v>13</v>
      </c>
      <c r="K131">
        <f t="shared" ref="K131:K194" si="12">YEAR(D131)</f>
        <v>2024</v>
      </c>
      <c r="L131">
        <f t="shared" ref="L131:L194" si="13">MONTH(D131)</f>
        <v>3</v>
      </c>
      <c r="M131" t="str">
        <f t="shared" ref="M131:M194" si="14">TEXT(D131,"MMMM")</f>
        <v>March</v>
      </c>
      <c r="N131">
        <f t="shared" ref="N131:N194" si="15">WEEKDAY(D131,2)</f>
        <v>5</v>
      </c>
      <c r="O131">
        <f t="shared" ref="O131:O194" si="16">DATEDIF(D131,E131,"D")</f>
        <v>12</v>
      </c>
      <c r="P131" s="1">
        <f t="shared" ref="P131:P194" ca="1" si="17">TODAY()-D131</f>
        <v>821</v>
      </c>
    </row>
    <row r="132" spans="1:16" x14ac:dyDescent="0.3">
      <c r="A132">
        <v>2130</v>
      </c>
      <c r="B132" t="s">
        <v>37</v>
      </c>
      <c r="C132" t="s">
        <v>18</v>
      </c>
      <c r="D132" s="1">
        <v>45241</v>
      </c>
      <c r="E132" s="1">
        <v>45256</v>
      </c>
      <c r="F132" t="s">
        <v>26</v>
      </c>
      <c r="G132">
        <v>8</v>
      </c>
      <c r="H132">
        <v>768.64</v>
      </c>
      <c r="I132">
        <v>6149.12</v>
      </c>
      <c r="J132" t="s">
        <v>20</v>
      </c>
      <c r="K132">
        <f t="shared" si="12"/>
        <v>2023</v>
      </c>
      <c r="L132">
        <f t="shared" si="13"/>
        <v>11</v>
      </c>
      <c r="M132" t="str">
        <f t="shared" si="14"/>
        <v>November</v>
      </c>
      <c r="N132">
        <f t="shared" si="15"/>
        <v>6</v>
      </c>
      <c r="O132">
        <f t="shared" si="16"/>
        <v>15</v>
      </c>
      <c r="P132" s="1">
        <f t="shared" ca="1" si="17"/>
        <v>932</v>
      </c>
    </row>
    <row r="133" spans="1:16" x14ac:dyDescent="0.3">
      <c r="A133">
        <v>2131</v>
      </c>
      <c r="B133" t="s">
        <v>21</v>
      </c>
      <c r="C133" t="s">
        <v>15</v>
      </c>
      <c r="D133" s="1">
        <v>44857</v>
      </c>
      <c r="E133" s="1">
        <v>44865</v>
      </c>
      <c r="F133" t="s">
        <v>32</v>
      </c>
      <c r="G133">
        <v>3</v>
      </c>
      <c r="H133">
        <v>651.69000000000005</v>
      </c>
      <c r="I133">
        <v>1955.07</v>
      </c>
      <c r="J133" t="s">
        <v>20</v>
      </c>
      <c r="K133">
        <f t="shared" si="12"/>
        <v>2022</v>
      </c>
      <c r="L133">
        <f t="shared" si="13"/>
        <v>10</v>
      </c>
      <c r="M133" t="str">
        <f t="shared" si="14"/>
        <v>October</v>
      </c>
      <c r="N133">
        <f t="shared" si="15"/>
        <v>7</v>
      </c>
      <c r="O133">
        <f t="shared" si="16"/>
        <v>8</v>
      </c>
      <c r="P133" s="1">
        <f t="shared" ca="1" si="17"/>
        <v>1316</v>
      </c>
    </row>
    <row r="134" spans="1:16" x14ac:dyDescent="0.3">
      <c r="A134">
        <v>2132</v>
      </c>
      <c r="B134" t="s">
        <v>47</v>
      </c>
      <c r="C134" t="s">
        <v>18</v>
      </c>
      <c r="D134" s="1">
        <v>45376</v>
      </c>
      <c r="E134" s="1">
        <v>45388</v>
      </c>
      <c r="F134" t="s">
        <v>26</v>
      </c>
      <c r="G134">
        <v>6</v>
      </c>
      <c r="H134">
        <v>4306</v>
      </c>
      <c r="I134">
        <v>25836</v>
      </c>
      <c r="J134" t="s">
        <v>20</v>
      </c>
      <c r="K134">
        <f t="shared" si="12"/>
        <v>2024</v>
      </c>
      <c r="L134">
        <f t="shared" si="13"/>
        <v>3</v>
      </c>
      <c r="M134" t="str">
        <f t="shared" si="14"/>
        <v>March</v>
      </c>
      <c r="N134">
        <f t="shared" si="15"/>
        <v>1</v>
      </c>
      <c r="O134">
        <f t="shared" si="16"/>
        <v>12</v>
      </c>
      <c r="P134" s="1">
        <f t="shared" ca="1" si="17"/>
        <v>797</v>
      </c>
    </row>
    <row r="135" spans="1:16" x14ac:dyDescent="0.3">
      <c r="A135">
        <v>2133</v>
      </c>
      <c r="B135" t="s">
        <v>47</v>
      </c>
      <c r="C135" t="s">
        <v>15</v>
      </c>
      <c r="D135" s="1">
        <v>45561</v>
      </c>
      <c r="E135" s="1">
        <v>45576</v>
      </c>
      <c r="F135" t="s">
        <v>36</v>
      </c>
      <c r="G135">
        <v>1</v>
      </c>
      <c r="H135">
        <v>3202.06</v>
      </c>
      <c r="I135">
        <v>3202.06</v>
      </c>
      <c r="J135" t="s">
        <v>13</v>
      </c>
      <c r="K135">
        <f t="shared" si="12"/>
        <v>2024</v>
      </c>
      <c r="L135">
        <f t="shared" si="13"/>
        <v>9</v>
      </c>
      <c r="M135" t="str">
        <f t="shared" si="14"/>
        <v>September</v>
      </c>
      <c r="N135">
        <f t="shared" si="15"/>
        <v>4</v>
      </c>
      <c r="O135">
        <f t="shared" si="16"/>
        <v>15</v>
      </c>
      <c r="P135" s="1">
        <f t="shared" ca="1" si="17"/>
        <v>612</v>
      </c>
    </row>
    <row r="136" spans="1:16" x14ac:dyDescent="0.3">
      <c r="A136">
        <v>2134</v>
      </c>
      <c r="B136" t="s">
        <v>10</v>
      </c>
      <c r="C136" t="s">
        <v>15</v>
      </c>
      <c r="D136" s="1">
        <v>45150</v>
      </c>
      <c r="E136" s="1">
        <v>45155</v>
      </c>
      <c r="F136" t="s">
        <v>28</v>
      </c>
      <c r="G136">
        <v>2</v>
      </c>
      <c r="H136">
        <v>2339.67</v>
      </c>
      <c r="I136">
        <v>4679.34</v>
      </c>
      <c r="J136" t="s">
        <v>13</v>
      </c>
      <c r="K136">
        <f t="shared" si="12"/>
        <v>2023</v>
      </c>
      <c r="L136">
        <f t="shared" si="13"/>
        <v>8</v>
      </c>
      <c r="M136" t="str">
        <f t="shared" si="14"/>
        <v>August</v>
      </c>
      <c r="N136">
        <f t="shared" si="15"/>
        <v>6</v>
      </c>
      <c r="O136">
        <f t="shared" si="16"/>
        <v>5</v>
      </c>
      <c r="P136" s="1">
        <f t="shared" ca="1" si="17"/>
        <v>1023</v>
      </c>
    </row>
    <row r="137" spans="1:16" x14ac:dyDescent="0.3">
      <c r="A137">
        <v>2135</v>
      </c>
      <c r="B137" t="s">
        <v>44</v>
      </c>
      <c r="C137" t="s">
        <v>15</v>
      </c>
      <c r="D137" s="1">
        <v>44767</v>
      </c>
      <c r="E137" s="1">
        <v>44776</v>
      </c>
      <c r="F137" t="s">
        <v>19</v>
      </c>
      <c r="G137">
        <v>5</v>
      </c>
      <c r="H137">
        <v>4546.09</v>
      </c>
      <c r="I137">
        <v>22730.45</v>
      </c>
      <c r="J137" t="s">
        <v>13</v>
      </c>
      <c r="K137">
        <f t="shared" si="12"/>
        <v>2022</v>
      </c>
      <c r="L137">
        <f t="shared" si="13"/>
        <v>7</v>
      </c>
      <c r="M137" t="str">
        <f t="shared" si="14"/>
        <v>July</v>
      </c>
      <c r="N137">
        <f t="shared" si="15"/>
        <v>1</v>
      </c>
      <c r="O137">
        <f t="shared" si="16"/>
        <v>9</v>
      </c>
      <c r="P137" s="1">
        <f t="shared" ca="1" si="17"/>
        <v>1406</v>
      </c>
    </row>
    <row r="138" spans="1:16" x14ac:dyDescent="0.3">
      <c r="A138">
        <v>2136</v>
      </c>
      <c r="B138" t="s">
        <v>47</v>
      </c>
      <c r="C138" t="s">
        <v>11</v>
      </c>
      <c r="D138" s="1">
        <v>45162</v>
      </c>
      <c r="E138" s="1">
        <v>45169</v>
      </c>
      <c r="F138" t="s">
        <v>12</v>
      </c>
      <c r="G138">
        <v>7</v>
      </c>
      <c r="H138">
        <v>984.18</v>
      </c>
      <c r="I138">
        <v>6889.26</v>
      </c>
      <c r="J138" t="s">
        <v>20</v>
      </c>
      <c r="K138">
        <f t="shared" si="12"/>
        <v>2023</v>
      </c>
      <c r="L138">
        <f t="shared" si="13"/>
        <v>8</v>
      </c>
      <c r="M138" t="str">
        <f t="shared" si="14"/>
        <v>August</v>
      </c>
      <c r="N138">
        <f t="shared" si="15"/>
        <v>4</v>
      </c>
      <c r="O138">
        <f t="shared" si="16"/>
        <v>7</v>
      </c>
      <c r="P138" s="1">
        <f t="shared" ca="1" si="17"/>
        <v>1011</v>
      </c>
    </row>
    <row r="139" spans="1:16" x14ac:dyDescent="0.3">
      <c r="A139">
        <v>2137</v>
      </c>
      <c r="B139" t="s">
        <v>27</v>
      </c>
      <c r="C139" t="s">
        <v>15</v>
      </c>
      <c r="D139" s="1">
        <v>44930</v>
      </c>
      <c r="E139" s="1">
        <v>44934</v>
      </c>
      <c r="F139" t="s">
        <v>19</v>
      </c>
      <c r="G139">
        <v>2</v>
      </c>
      <c r="H139">
        <v>3164.61</v>
      </c>
      <c r="I139">
        <v>6329.22</v>
      </c>
      <c r="J139" t="s">
        <v>20</v>
      </c>
      <c r="K139">
        <f t="shared" si="12"/>
        <v>2023</v>
      </c>
      <c r="L139">
        <f t="shared" si="13"/>
        <v>1</v>
      </c>
      <c r="M139" t="str">
        <f t="shared" si="14"/>
        <v>January</v>
      </c>
      <c r="N139">
        <f t="shared" si="15"/>
        <v>3</v>
      </c>
      <c r="O139">
        <f t="shared" si="16"/>
        <v>4</v>
      </c>
      <c r="P139" s="1">
        <f t="shared" ca="1" si="17"/>
        <v>1243</v>
      </c>
    </row>
    <row r="140" spans="1:16" x14ac:dyDescent="0.3">
      <c r="A140">
        <v>2138</v>
      </c>
      <c r="B140" t="s">
        <v>42</v>
      </c>
      <c r="C140" t="s">
        <v>15</v>
      </c>
      <c r="D140" s="1">
        <v>45055</v>
      </c>
      <c r="E140" s="1">
        <v>45064</v>
      </c>
      <c r="F140" t="s">
        <v>36</v>
      </c>
      <c r="G140">
        <v>3</v>
      </c>
      <c r="H140">
        <v>1391.29</v>
      </c>
      <c r="I140">
        <v>4173.87</v>
      </c>
      <c r="J140" t="s">
        <v>20</v>
      </c>
      <c r="K140">
        <f t="shared" si="12"/>
        <v>2023</v>
      </c>
      <c r="L140">
        <f t="shared" si="13"/>
        <v>5</v>
      </c>
      <c r="M140" t="str">
        <f t="shared" si="14"/>
        <v>May</v>
      </c>
      <c r="N140">
        <f t="shared" si="15"/>
        <v>2</v>
      </c>
      <c r="O140">
        <f t="shared" si="16"/>
        <v>9</v>
      </c>
      <c r="P140" s="1">
        <f t="shared" ca="1" si="17"/>
        <v>1118</v>
      </c>
    </row>
    <row r="141" spans="1:16" x14ac:dyDescent="0.3">
      <c r="A141">
        <v>2139</v>
      </c>
      <c r="B141" t="s">
        <v>38</v>
      </c>
      <c r="C141" t="s">
        <v>31</v>
      </c>
      <c r="D141" s="1">
        <v>44581</v>
      </c>
      <c r="E141" s="1">
        <v>44595</v>
      </c>
      <c r="F141" t="s">
        <v>16</v>
      </c>
      <c r="G141">
        <v>5</v>
      </c>
      <c r="H141">
        <v>3484.77</v>
      </c>
      <c r="I141">
        <v>17423.849999999999</v>
      </c>
      <c r="J141" t="s">
        <v>13</v>
      </c>
      <c r="K141">
        <f t="shared" si="12"/>
        <v>2022</v>
      </c>
      <c r="L141">
        <f t="shared" si="13"/>
        <v>1</v>
      </c>
      <c r="M141" t="str">
        <f t="shared" si="14"/>
        <v>January</v>
      </c>
      <c r="N141">
        <f t="shared" si="15"/>
        <v>4</v>
      </c>
      <c r="O141">
        <f t="shared" si="16"/>
        <v>14</v>
      </c>
      <c r="P141" s="1">
        <f t="shared" ca="1" si="17"/>
        <v>1592</v>
      </c>
    </row>
    <row r="142" spans="1:16" x14ac:dyDescent="0.3">
      <c r="A142">
        <v>2140</v>
      </c>
      <c r="B142" t="s">
        <v>49</v>
      </c>
      <c r="C142" t="s">
        <v>25</v>
      </c>
      <c r="D142" s="1">
        <v>45269</v>
      </c>
      <c r="E142" s="1">
        <v>45280</v>
      </c>
      <c r="F142" t="s">
        <v>12</v>
      </c>
      <c r="G142">
        <v>7</v>
      </c>
      <c r="H142">
        <v>3544.47</v>
      </c>
      <c r="I142">
        <v>24811.29</v>
      </c>
      <c r="J142" t="s">
        <v>20</v>
      </c>
      <c r="K142">
        <f t="shared" si="12"/>
        <v>2023</v>
      </c>
      <c r="L142">
        <f t="shared" si="13"/>
        <v>12</v>
      </c>
      <c r="M142" t="str">
        <f t="shared" si="14"/>
        <v>December</v>
      </c>
      <c r="N142">
        <f t="shared" si="15"/>
        <v>6</v>
      </c>
      <c r="O142">
        <f t="shared" si="16"/>
        <v>11</v>
      </c>
      <c r="P142" s="1">
        <f t="shared" ca="1" si="17"/>
        <v>904</v>
      </c>
    </row>
    <row r="143" spans="1:16" x14ac:dyDescent="0.3">
      <c r="A143">
        <v>2141</v>
      </c>
      <c r="B143" t="s">
        <v>43</v>
      </c>
      <c r="C143" t="s">
        <v>22</v>
      </c>
      <c r="D143" s="1">
        <v>45349</v>
      </c>
      <c r="E143" s="1">
        <v>45364</v>
      </c>
      <c r="F143" t="s">
        <v>16</v>
      </c>
      <c r="G143">
        <v>2</v>
      </c>
      <c r="H143">
        <v>1414.87</v>
      </c>
      <c r="I143">
        <v>2829.74</v>
      </c>
      <c r="J143" t="s">
        <v>20</v>
      </c>
      <c r="K143">
        <f t="shared" si="12"/>
        <v>2024</v>
      </c>
      <c r="L143">
        <f t="shared" si="13"/>
        <v>2</v>
      </c>
      <c r="M143" t="str">
        <f t="shared" si="14"/>
        <v>February</v>
      </c>
      <c r="N143">
        <f t="shared" si="15"/>
        <v>2</v>
      </c>
      <c r="O143">
        <f t="shared" si="16"/>
        <v>15</v>
      </c>
      <c r="P143" s="1">
        <f t="shared" ca="1" si="17"/>
        <v>824</v>
      </c>
    </row>
    <row r="144" spans="1:16" x14ac:dyDescent="0.3">
      <c r="A144">
        <v>2142</v>
      </c>
      <c r="B144" t="s">
        <v>27</v>
      </c>
      <c r="C144" t="s">
        <v>31</v>
      </c>
      <c r="D144" s="1">
        <v>45166</v>
      </c>
      <c r="E144" s="1">
        <v>45168</v>
      </c>
      <c r="F144" t="s">
        <v>32</v>
      </c>
      <c r="G144">
        <v>7</v>
      </c>
      <c r="H144">
        <v>1590.06</v>
      </c>
      <c r="I144">
        <v>11130.42</v>
      </c>
      <c r="J144" t="s">
        <v>13</v>
      </c>
      <c r="K144">
        <f t="shared" si="12"/>
        <v>2023</v>
      </c>
      <c r="L144">
        <f t="shared" si="13"/>
        <v>8</v>
      </c>
      <c r="M144" t="str">
        <f t="shared" si="14"/>
        <v>August</v>
      </c>
      <c r="N144">
        <f t="shared" si="15"/>
        <v>1</v>
      </c>
      <c r="O144">
        <f t="shared" si="16"/>
        <v>2</v>
      </c>
      <c r="P144" s="1">
        <f t="shared" ca="1" si="17"/>
        <v>1007</v>
      </c>
    </row>
    <row r="145" spans="1:16" x14ac:dyDescent="0.3">
      <c r="A145">
        <v>2143</v>
      </c>
      <c r="B145" t="s">
        <v>42</v>
      </c>
      <c r="C145" t="s">
        <v>15</v>
      </c>
      <c r="D145" s="1">
        <v>45579</v>
      </c>
      <c r="E145" s="1">
        <v>45594</v>
      </c>
      <c r="F145" t="s">
        <v>12</v>
      </c>
      <c r="G145">
        <v>4</v>
      </c>
      <c r="H145">
        <v>3153.21</v>
      </c>
      <c r="I145">
        <v>12612.84</v>
      </c>
      <c r="J145" t="s">
        <v>20</v>
      </c>
      <c r="K145">
        <f t="shared" si="12"/>
        <v>2024</v>
      </c>
      <c r="L145">
        <f t="shared" si="13"/>
        <v>10</v>
      </c>
      <c r="M145" t="str">
        <f t="shared" si="14"/>
        <v>October</v>
      </c>
      <c r="N145">
        <f t="shared" si="15"/>
        <v>1</v>
      </c>
      <c r="O145">
        <f t="shared" si="16"/>
        <v>15</v>
      </c>
      <c r="P145" s="1">
        <f t="shared" ca="1" si="17"/>
        <v>594</v>
      </c>
    </row>
    <row r="146" spans="1:16" x14ac:dyDescent="0.3">
      <c r="A146">
        <v>2144</v>
      </c>
      <c r="B146" t="s">
        <v>17</v>
      </c>
      <c r="C146" t="s">
        <v>15</v>
      </c>
      <c r="D146" s="1">
        <v>44951</v>
      </c>
      <c r="E146" s="1">
        <v>44962</v>
      </c>
      <c r="F146" t="s">
        <v>12</v>
      </c>
      <c r="G146">
        <v>3</v>
      </c>
      <c r="H146">
        <v>3252.77</v>
      </c>
      <c r="I146">
        <v>9758.31</v>
      </c>
      <c r="J146" t="s">
        <v>13</v>
      </c>
      <c r="K146">
        <f t="shared" si="12"/>
        <v>2023</v>
      </c>
      <c r="L146">
        <f t="shared" si="13"/>
        <v>1</v>
      </c>
      <c r="M146" t="str">
        <f t="shared" si="14"/>
        <v>January</v>
      </c>
      <c r="N146">
        <f t="shared" si="15"/>
        <v>3</v>
      </c>
      <c r="O146">
        <f t="shared" si="16"/>
        <v>11</v>
      </c>
      <c r="P146" s="1">
        <f t="shared" ca="1" si="17"/>
        <v>1222</v>
      </c>
    </row>
    <row r="147" spans="1:16" x14ac:dyDescent="0.3">
      <c r="A147">
        <v>2145</v>
      </c>
      <c r="B147" t="s">
        <v>43</v>
      </c>
      <c r="C147" t="s">
        <v>25</v>
      </c>
      <c r="D147" s="1">
        <v>44630</v>
      </c>
      <c r="E147" s="1">
        <v>44641</v>
      </c>
      <c r="F147" t="s">
        <v>12</v>
      </c>
      <c r="G147">
        <v>3</v>
      </c>
      <c r="H147">
        <v>723.63</v>
      </c>
      <c r="I147">
        <v>2170.89</v>
      </c>
      <c r="J147" t="s">
        <v>20</v>
      </c>
      <c r="K147">
        <f t="shared" si="12"/>
        <v>2022</v>
      </c>
      <c r="L147">
        <f t="shared" si="13"/>
        <v>3</v>
      </c>
      <c r="M147" t="str">
        <f t="shared" si="14"/>
        <v>March</v>
      </c>
      <c r="N147">
        <f t="shared" si="15"/>
        <v>4</v>
      </c>
      <c r="O147">
        <f t="shared" si="16"/>
        <v>11</v>
      </c>
      <c r="P147" s="1">
        <f t="shared" ca="1" si="17"/>
        <v>1543</v>
      </c>
    </row>
    <row r="148" spans="1:16" x14ac:dyDescent="0.3">
      <c r="A148">
        <v>2146</v>
      </c>
      <c r="B148" t="s">
        <v>47</v>
      </c>
      <c r="C148" t="s">
        <v>15</v>
      </c>
      <c r="D148" s="1">
        <v>45412</v>
      </c>
      <c r="E148" s="1">
        <v>45416</v>
      </c>
      <c r="F148" t="s">
        <v>19</v>
      </c>
      <c r="G148">
        <v>3</v>
      </c>
      <c r="H148">
        <v>3996.61</v>
      </c>
      <c r="I148">
        <v>11989.83</v>
      </c>
      <c r="J148" t="s">
        <v>20</v>
      </c>
      <c r="K148">
        <f t="shared" si="12"/>
        <v>2024</v>
      </c>
      <c r="L148">
        <f t="shared" si="13"/>
        <v>4</v>
      </c>
      <c r="M148" t="str">
        <f t="shared" si="14"/>
        <v>April</v>
      </c>
      <c r="N148">
        <f t="shared" si="15"/>
        <v>2</v>
      </c>
      <c r="O148">
        <f t="shared" si="16"/>
        <v>4</v>
      </c>
      <c r="P148" s="1">
        <f t="shared" ca="1" si="17"/>
        <v>761</v>
      </c>
    </row>
    <row r="149" spans="1:16" x14ac:dyDescent="0.3">
      <c r="A149">
        <v>2147</v>
      </c>
      <c r="B149" t="s">
        <v>35</v>
      </c>
      <c r="C149" t="s">
        <v>18</v>
      </c>
      <c r="D149" s="1">
        <v>45120</v>
      </c>
      <c r="E149" s="1">
        <v>45135</v>
      </c>
      <c r="F149" t="s">
        <v>19</v>
      </c>
      <c r="G149">
        <v>5</v>
      </c>
      <c r="H149">
        <v>4596.03</v>
      </c>
      <c r="I149">
        <v>22980.15</v>
      </c>
      <c r="J149" t="s">
        <v>20</v>
      </c>
      <c r="K149">
        <f t="shared" si="12"/>
        <v>2023</v>
      </c>
      <c r="L149">
        <f t="shared" si="13"/>
        <v>7</v>
      </c>
      <c r="M149" t="str">
        <f t="shared" si="14"/>
        <v>July</v>
      </c>
      <c r="N149">
        <f t="shared" si="15"/>
        <v>4</v>
      </c>
      <c r="O149">
        <f t="shared" si="16"/>
        <v>15</v>
      </c>
      <c r="P149" s="1">
        <f t="shared" ca="1" si="17"/>
        <v>1053</v>
      </c>
    </row>
    <row r="150" spans="1:16" x14ac:dyDescent="0.3">
      <c r="A150">
        <v>2148</v>
      </c>
      <c r="B150" t="s">
        <v>43</v>
      </c>
      <c r="C150" t="s">
        <v>15</v>
      </c>
      <c r="D150" s="1">
        <v>45255</v>
      </c>
      <c r="E150" s="1">
        <v>45269</v>
      </c>
      <c r="F150" t="s">
        <v>26</v>
      </c>
      <c r="G150">
        <v>8</v>
      </c>
      <c r="H150">
        <v>4825.6000000000004</v>
      </c>
      <c r="I150">
        <v>38604.800000000003</v>
      </c>
      <c r="J150" t="s">
        <v>13</v>
      </c>
      <c r="K150">
        <f t="shared" si="12"/>
        <v>2023</v>
      </c>
      <c r="L150">
        <f t="shared" si="13"/>
        <v>11</v>
      </c>
      <c r="M150" t="str">
        <f t="shared" si="14"/>
        <v>November</v>
      </c>
      <c r="N150">
        <f t="shared" si="15"/>
        <v>6</v>
      </c>
      <c r="O150">
        <f t="shared" si="16"/>
        <v>14</v>
      </c>
      <c r="P150" s="1">
        <f t="shared" ca="1" si="17"/>
        <v>918</v>
      </c>
    </row>
    <row r="151" spans="1:16" x14ac:dyDescent="0.3">
      <c r="A151">
        <v>2149</v>
      </c>
      <c r="B151" t="s">
        <v>44</v>
      </c>
      <c r="C151" t="s">
        <v>22</v>
      </c>
      <c r="D151" s="1">
        <v>45375</v>
      </c>
      <c r="E151" s="1">
        <v>45390</v>
      </c>
      <c r="F151" t="s">
        <v>32</v>
      </c>
      <c r="G151">
        <v>6</v>
      </c>
      <c r="H151">
        <v>724.42</v>
      </c>
      <c r="I151">
        <v>4346.5200000000004</v>
      </c>
      <c r="J151" t="s">
        <v>20</v>
      </c>
      <c r="K151">
        <f t="shared" si="12"/>
        <v>2024</v>
      </c>
      <c r="L151">
        <f t="shared" si="13"/>
        <v>3</v>
      </c>
      <c r="M151" t="str">
        <f t="shared" si="14"/>
        <v>March</v>
      </c>
      <c r="N151">
        <f t="shared" si="15"/>
        <v>7</v>
      </c>
      <c r="O151">
        <f t="shared" si="16"/>
        <v>15</v>
      </c>
      <c r="P151" s="1">
        <f t="shared" ca="1" si="17"/>
        <v>798</v>
      </c>
    </row>
    <row r="152" spans="1:16" x14ac:dyDescent="0.3">
      <c r="A152">
        <v>2150</v>
      </c>
      <c r="B152" t="s">
        <v>21</v>
      </c>
      <c r="C152" t="s">
        <v>31</v>
      </c>
      <c r="D152" s="1">
        <v>44815</v>
      </c>
      <c r="E152" s="1">
        <v>44824</v>
      </c>
      <c r="F152" t="s">
        <v>12</v>
      </c>
      <c r="G152">
        <v>5</v>
      </c>
      <c r="H152">
        <v>3047.43</v>
      </c>
      <c r="I152">
        <v>15237.15</v>
      </c>
      <c r="J152" t="s">
        <v>20</v>
      </c>
      <c r="K152">
        <f t="shared" si="12"/>
        <v>2022</v>
      </c>
      <c r="L152">
        <f t="shared" si="13"/>
        <v>9</v>
      </c>
      <c r="M152" t="str">
        <f t="shared" si="14"/>
        <v>September</v>
      </c>
      <c r="N152">
        <f t="shared" si="15"/>
        <v>7</v>
      </c>
      <c r="O152">
        <f t="shared" si="16"/>
        <v>9</v>
      </c>
      <c r="P152" s="1">
        <f t="shared" ca="1" si="17"/>
        <v>1358</v>
      </c>
    </row>
    <row r="153" spans="1:16" x14ac:dyDescent="0.3">
      <c r="A153">
        <v>2151</v>
      </c>
      <c r="B153" t="s">
        <v>23</v>
      </c>
      <c r="C153" t="s">
        <v>15</v>
      </c>
      <c r="D153" s="1">
        <v>45040</v>
      </c>
      <c r="E153" s="1">
        <v>45049</v>
      </c>
      <c r="F153" t="s">
        <v>26</v>
      </c>
      <c r="G153">
        <v>6</v>
      </c>
      <c r="H153">
        <v>4601.7</v>
      </c>
      <c r="I153">
        <v>27610.2</v>
      </c>
      <c r="J153" t="s">
        <v>13</v>
      </c>
      <c r="K153">
        <f t="shared" si="12"/>
        <v>2023</v>
      </c>
      <c r="L153">
        <f t="shared" si="13"/>
        <v>4</v>
      </c>
      <c r="M153" t="str">
        <f t="shared" si="14"/>
        <v>April</v>
      </c>
      <c r="N153">
        <f t="shared" si="15"/>
        <v>1</v>
      </c>
      <c r="O153">
        <f t="shared" si="16"/>
        <v>9</v>
      </c>
      <c r="P153" s="1">
        <f t="shared" ca="1" si="17"/>
        <v>1133</v>
      </c>
    </row>
    <row r="154" spans="1:16" x14ac:dyDescent="0.3">
      <c r="A154">
        <v>2152</v>
      </c>
      <c r="B154" t="s">
        <v>10</v>
      </c>
      <c r="C154" t="s">
        <v>11</v>
      </c>
      <c r="D154" s="1">
        <v>45512</v>
      </c>
      <c r="E154" s="1">
        <v>45525</v>
      </c>
      <c r="F154" t="s">
        <v>12</v>
      </c>
      <c r="G154">
        <v>7</v>
      </c>
      <c r="H154">
        <v>848.38</v>
      </c>
      <c r="I154">
        <v>5938.66</v>
      </c>
      <c r="J154" t="s">
        <v>13</v>
      </c>
      <c r="K154">
        <f t="shared" si="12"/>
        <v>2024</v>
      </c>
      <c r="L154">
        <f t="shared" si="13"/>
        <v>8</v>
      </c>
      <c r="M154" t="str">
        <f t="shared" si="14"/>
        <v>August</v>
      </c>
      <c r="N154">
        <f t="shared" si="15"/>
        <v>4</v>
      </c>
      <c r="O154">
        <f t="shared" si="16"/>
        <v>13</v>
      </c>
      <c r="P154" s="1">
        <f t="shared" ca="1" si="17"/>
        <v>661</v>
      </c>
    </row>
    <row r="155" spans="1:16" x14ac:dyDescent="0.3">
      <c r="A155">
        <v>2153</v>
      </c>
      <c r="B155" t="s">
        <v>40</v>
      </c>
      <c r="C155" t="s">
        <v>31</v>
      </c>
      <c r="D155" s="1">
        <v>45570</v>
      </c>
      <c r="E155" s="1">
        <v>45573</v>
      </c>
      <c r="F155" t="s">
        <v>26</v>
      </c>
      <c r="G155">
        <v>4</v>
      </c>
      <c r="H155">
        <v>4470.12</v>
      </c>
      <c r="I155">
        <v>17880.48</v>
      </c>
      <c r="J155" t="s">
        <v>13</v>
      </c>
      <c r="K155">
        <f t="shared" si="12"/>
        <v>2024</v>
      </c>
      <c r="L155">
        <f t="shared" si="13"/>
        <v>10</v>
      </c>
      <c r="M155" t="str">
        <f t="shared" si="14"/>
        <v>October</v>
      </c>
      <c r="N155">
        <f t="shared" si="15"/>
        <v>6</v>
      </c>
      <c r="O155">
        <f t="shared" si="16"/>
        <v>3</v>
      </c>
      <c r="P155" s="1">
        <f t="shared" ca="1" si="17"/>
        <v>603</v>
      </c>
    </row>
    <row r="156" spans="1:16" x14ac:dyDescent="0.3">
      <c r="A156">
        <v>2154</v>
      </c>
      <c r="B156" t="s">
        <v>34</v>
      </c>
      <c r="C156" t="s">
        <v>25</v>
      </c>
      <c r="D156" s="1">
        <v>45321</v>
      </c>
      <c r="E156" s="1">
        <v>45333</v>
      </c>
      <c r="F156" t="s">
        <v>28</v>
      </c>
      <c r="G156">
        <v>7</v>
      </c>
      <c r="H156">
        <v>3060.5</v>
      </c>
      <c r="I156">
        <v>21423.5</v>
      </c>
      <c r="J156" t="s">
        <v>13</v>
      </c>
      <c r="K156">
        <f t="shared" si="12"/>
        <v>2024</v>
      </c>
      <c r="L156">
        <f t="shared" si="13"/>
        <v>1</v>
      </c>
      <c r="M156" t="str">
        <f t="shared" si="14"/>
        <v>January</v>
      </c>
      <c r="N156">
        <f t="shared" si="15"/>
        <v>2</v>
      </c>
      <c r="O156">
        <f t="shared" si="16"/>
        <v>12</v>
      </c>
      <c r="P156" s="1">
        <f t="shared" ca="1" si="17"/>
        <v>852</v>
      </c>
    </row>
    <row r="157" spans="1:16" x14ac:dyDescent="0.3">
      <c r="A157">
        <v>2155</v>
      </c>
      <c r="B157" t="s">
        <v>39</v>
      </c>
      <c r="C157" t="s">
        <v>15</v>
      </c>
      <c r="D157" s="1">
        <v>44764</v>
      </c>
      <c r="E157" s="1">
        <v>44779</v>
      </c>
      <c r="F157" t="s">
        <v>16</v>
      </c>
      <c r="G157">
        <v>7</v>
      </c>
      <c r="H157">
        <v>4713.55</v>
      </c>
      <c r="I157">
        <v>32994.85</v>
      </c>
      <c r="J157" t="s">
        <v>20</v>
      </c>
      <c r="K157">
        <f t="shared" si="12"/>
        <v>2022</v>
      </c>
      <c r="L157">
        <f t="shared" si="13"/>
        <v>7</v>
      </c>
      <c r="M157" t="str">
        <f t="shared" si="14"/>
        <v>July</v>
      </c>
      <c r="N157">
        <f t="shared" si="15"/>
        <v>5</v>
      </c>
      <c r="O157">
        <f t="shared" si="16"/>
        <v>15</v>
      </c>
      <c r="P157" s="1">
        <f t="shared" ca="1" si="17"/>
        <v>1409</v>
      </c>
    </row>
    <row r="158" spans="1:16" x14ac:dyDescent="0.3">
      <c r="A158">
        <v>2156</v>
      </c>
      <c r="B158" t="s">
        <v>40</v>
      </c>
      <c r="C158" t="s">
        <v>15</v>
      </c>
      <c r="D158" s="1">
        <v>45320</v>
      </c>
      <c r="E158" s="1">
        <v>45325</v>
      </c>
      <c r="F158" t="s">
        <v>16</v>
      </c>
      <c r="G158">
        <v>8</v>
      </c>
      <c r="H158">
        <v>4767.6099999999997</v>
      </c>
      <c r="I158">
        <v>38140.879999999997</v>
      </c>
      <c r="J158" t="s">
        <v>20</v>
      </c>
      <c r="K158">
        <f t="shared" si="12"/>
        <v>2024</v>
      </c>
      <c r="L158">
        <f t="shared" si="13"/>
        <v>1</v>
      </c>
      <c r="M158" t="str">
        <f t="shared" si="14"/>
        <v>January</v>
      </c>
      <c r="N158">
        <f t="shared" si="15"/>
        <v>1</v>
      </c>
      <c r="O158">
        <f t="shared" si="16"/>
        <v>5</v>
      </c>
      <c r="P158" s="1">
        <f t="shared" ca="1" si="17"/>
        <v>853</v>
      </c>
    </row>
    <row r="159" spans="1:16" x14ac:dyDescent="0.3">
      <c r="A159">
        <v>2157</v>
      </c>
      <c r="B159" t="s">
        <v>23</v>
      </c>
      <c r="C159" t="s">
        <v>15</v>
      </c>
      <c r="D159" s="1">
        <v>45314</v>
      </c>
      <c r="E159" s="1">
        <v>45324</v>
      </c>
      <c r="F159" t="s">
        <v>28</v>
      </c>
      <c r="G159">
        <v>6</v>
      </c>
      <c r="H159">
        <v>584.59</v>
      </c>
      <c r="I159">
        <v>3507.54</v>
      </c>
      <c r="J159" t="s">
        <v>20</v>
      </c>
      <c r="K159">
        <f t="shared" si="12"/>
        <v>2024</v>
      </c>
      <c r="L159">
        <f t="shared" si="13"/>
        <v>1</v>
      </c>
      <c r="M159" t="str">
        <f t="shared" si="14"/>
        <v>January</v>
      </c>
      <c r="N159">
        <f t="shared" si="15"/>
        <v>2</v>
      </c>
      <c r="O159">
        <f t="shared" si="16"/>
        <v>10</v>
      </c>
      <c r="P159" s="1">
        <f t="shared" ca="1" si="17"/>
        <v>859</v>
      </c>
    </row>
    <row r="160" spans="1:16" x14ac:dyDescent="0.3">
      <c r="A160">
        <v>2158</v>
      </c>
      <c r="B160" t="s">
        <v>29</v>
      </c>
      <c r="C160" t="s">
        <v>11</v>
      </c>
      <c r="D160" s="1">
        <v>45493</v>
      </c>
      <c r="E160" s="1">
        <v>45496</v>
      </c>
      <c r="F160" t="s">
        <v>28</v>
      </c>
      <c r="G160">
        <v>4</v>
      </c>
      <c r="H160">
        <v>3316.01</v>
      </c>
      <c r="I160">
        <v>13264.04</v>
      </c>
      <c r="J160" t="s">
        <v>13</v>
      </c>
      <c r="K160">
        <f t="shared" si="12"/>
        <v>2024</v>
      </c>
      <c r="L160">
        <f t="shared" si="13"/>
        <v>7</v>
      </c>
      <c r="M160" t="str">
        <f t="shared" si="14"/>
        <v>July</v>
      </c>
      <c r="N160">
        <f t="shared" si="15"/>
        <v>6</v>
      </c>
      <c r="O160">
        <f t="shared" si="16"/>
        <v>3</v>
      </c>
      <c r="P160" s="1">
        <f t="shared" ca="1" si="17"/>
        <v>680</v>
      </c>
    </row>
    <row r="161" spans="1:16" x14ac:dyDescent="0.3">
      <c r="A161">
        <v>2159</v>
      </c>
      <c r="B161" t="s">
        <v>40</v>
      </c>
      <c r="C161" t="s">
        <v>31</v>
      </c>
      <c r="D161" s="1">
        <v>45060</v>
      </c>
      <c r="E161" s="1">
        <v>45064</v>
      </c>
      <c r="F161" t="s">
        <v>32</v>
      </c>
      <c r="G161">
        <v>4</v>
      </c>
      <c r="H161">
        <v>622.47</v>
      </c>
      <c r="I161">
        <v>2489.88</v>
      </c>
      <c r="J161" t="s">
        <v>13</v>
      </c>
      <c r="K161">
        <f t="shared" si="12"/>
        <v>2023</v>
      </c>
      <c r="L161">
        <f t="shared" si="13"/>
        <v>5</v>
      </c>
      <c r="M161" t="str">
        <f t="shared" si="14"/>
        <v>May</v>
      </c>
      <c r="N161">
        <f t="shared" si="15"/>
        <v>7</v>
      </c>
      <c r="O161">
        <f t="shared" si="16"/>
        <v>4</v>
      </c>
      <c r="P161" s="1">
        <f t="shared" ca="1" si="17"/>
        <v>1113</v>
      </c>
    </row>
    <row r="162" spans="1:16" x14ac:dyDescent="0.3">
      <c r="A162">
        <v>2160</v>
      </c>
      <c r="B162" t="s">
        <v>27</v>
      </c>
      <c r="C162" t="s">
        <v>22</v>
      </c>
      <c r="D162" s="1">
        <v>45039</v>
      </c>
      <c r="E162" s="1">
        <v>45046</v>
      </c>
      <c r="F162" t="s">
        <v>32</v>
      </c>
      <c r="G162">
        <v>3</v>
      </c>
      <c r="H162">
        <v>4006.63</v>
      </c>
      <c r="I162">
        <v>12019.89</v>
      </c>
      <c r="J162" t="s">
        <v>13</v>
      </c>
      <c r="K162">
        <f t="shared" si="12"/>
        <v>2023</v>
      </c>
      <c r="L162">
        <f t="shared" si="13"/>
        <v>4</v>
      </c>
      <c r="M162" t="str">
        <f t="shared" si="14"/>
        <v>April</v>
      </c>
      <c r="N162">
        <f t="shared" si="15"/>
        <v>7</v>
      </c>
      <c r="O162">
        <f t="shared" si="16"/>
        <v>7</v>
      </c>
      <c r="P162" s="1">
        <f t="shared" ca="1" si="17"/>
        <v>1134</v>
      </c>
    </row>
    <row r="163" spans="1:16" x14ac:dyDescent="0.3">
      <c r="A163">
        <v>2161</v>
      </c>
      <c r="B163" t="s">
        <v>33</v>
      </c>
      <c r="C163" t="s">
        <v>22</v>
      </c>
      <c r="D163" s="1">
        <v>44828</v>
      </c>
      <c r="E163" s="1">
        <v>44838</v>
      </c>
      <c r="F163" t="s">
        <v>12</v>
      </c>
      <c r="G163">
        <v>3</v>
      </c>
      <c r="H163">
        <v>816.65</v>
      </c>
      <c r="I163">
        <v>2449.9499999999998</v>
      </c>
      <c r="J163" t="s">
        <v>13</v>
      </c>
      <c r="K163">
        <f t="shared" si="12"/>
        <v>2022</v>
      </c>
      <c r="L163">
        <f t="shared" si="13"/>
        <v>9</v>
      </c>
      <c r="M163" t="str">
        <f t="shared" si="14"/>
        <v>September</v>
      </c>
      <c r="N163">
        <f t="shared" si="15"/>
        <v>6</v>
      </c>
      <c r="O163">
        <f t="shared" si="16"/>
        <v>10</v>
      </c>
      <c r="P163" s="1">
        <f t="shared" ca="1" si="17"/>
        <v>1345</v>
      </c>
    </row>
    <row r="164" spans="1:16" x14ac:dyDescent="0.3">
      <c r="A164">
        <v>2162</v>
      </c>
      <c r="B164" t="s">
        <v>37</v>
      </c>
      <c r="C164" t="s">
        <v>11</v>
      </c>
      <c r="D164" s="1">
        <v>45295</v>
      </c>
      <c r="E164" s="1">
        <v>45309</v>
      </c>
      <c r="F164" t="s">
        <v>32</v>
      </c>
      <c r="G164">
        <v>4</v>
      </c>
      <c r="H164">
        <v>3067.61</v>
      </c>
      <c r="I164">
        <v>12270.44</v>
      </c>
      <c r="J164" t="s">
        <v>13</v>
      </c>
      <c r="K164">
        <f t="shared" si="12"/>
        <v>2024</v>
      </c>
      <c r="L164">
        <f t="shared" si="13"/>
        <v>1</v>
      </c>
      <c r="M164" t="str">
        <f t="shared" si="14"/>
        <v>January</v>
      </c>
      <c r="N164">
        <f t="shared" si="15"/>
        <v>4</v>
      </c>
      <c r="O164">
        <f t="shared" si="16"/>
        <v>14</v>
      </c>
      <c r="P164" s="1">
        <f t="shared" ca="1" si="17"/>
        <v>878</v>
      </c>
    </row>
    <row r="165" spans="1:16" x14ac:dyDescent="0.3">
      <c r="A165">
        <v>2163</v>
      </c>
      <c r="B165" t="s">
        <v>45</v>
      </c>
      <c r="C165" t="s">
        <v>31</v>
      </c>
      <c r="D165" s="1">
        <v>44669</v>
      </c>
      <c r="E165" s="1">
        <v>44673</v>
      </c>
      <c r="F165" t="s">
        <v>28</v>
      </c>
      <c r="G165">
        <v>7</v>
      </c>
      <c r="H165">
        <v>2772.6</v>
      </c>
      <c r="I165">
        <v>19408.2</v>
      </c>
      <c r="J165" t="s">
        <v>13</v>
      </c>
      <c r="K165">
        <f t="shared" si="12"/>
        <v>2022</v>
      </c>
      <c r="L165">
        <f t="shared" si="13"/>
        <v>4</v>
      </c>
      <c r="M165" t="str">
        <f t="shared" si="14"/>
        <v>April</v>
      </c>
      <c r="N165">
        <f t="shared" si="15"/>
        <v>1</v>
      </c>
      <c r="O165">
        <f t="shared" si="16"/>
        <v>4</v>
      </c>
      <c r="P165" s="1">
        <f t="shared" ca="1" si="17"/>
        <v>1504</v>
      </c>
    </row>
    <row r="166" spans="1:16" x14ac:dyDescent="0.3">
      <c r="A166">
        <v>2164</v>
      </c>
      <c r="B166" t="s">
        <v>41</v>
      </c>
      <c r="C166" t="s">
        <v>25</v>
      </c>
      <c r="D166" s="1">
        <v>45303</v>
      </c>
      <c r="E166" s="1">
        <v>45313</v>
      </c>
      <c r="F166" t="s">
        <v>36</v>
      </c>
      <c r="G166">
        <v>2</v>
      </c>
      <c r="H166">
        <v>2424.4299999999998</v>
      </c>
      <c r="I166">
        <v>4848.8599999999997</v>
      </c>
      <c r="J166" t="s">
        <v>13</v>
      </c>
      <c r="K166">
        <f t="shared" si="12"/>
        <v>2024</v>
      </c>
      <c r="L166">
        <f t="shared" si="13"/>
        <v>1</v>
      </c>
      <c r="M166" t="str">
        <f t="shared" si="14"/>
        <v>January</v>
      </c>
      <c r="N166">
        <f t="shared" si="15"/>
        <v>5</v>
      </c>
      <c r="O166">
        <f t="shared" si="16"/>
        <v>10</v>
      </c>
      <c r="P166" s="1">
        <f t="shared" ca="1" si="17"/>
        <v>870</v>
      </c>
    </row>
    <row r="167" spans="1:16" x14ac:dyDescent="0.3">
      <c r="A167">
        <v>2165</v>
      </c>
      <c r="B167" t="s">
        <v>42</v>
      </c>
      <c r="C167" t="s">
        <v>11</v>
      </c>
      <c r="D167" s="1">
        <v>45629</v>
      </c>
      <c r="E167" s="1">
        <v>45635</v>
      </c>
      <c r="F167" t="s">
        <v>16</v>
      </c>
      <c r="G167">
        <v>1</v>
      </c>
      <c r="H167">
        <v>585.88</v>
      </c>
      <c r="I167">
        <v>585.88</v>
      </c>
      <c r="J167" t="s">
        <v>20</v>
      </c>
      <c r="K167">
        <f t="shared" si="12"/>
        <v>2024</v>
      </c>
      <c r="L167">
        <f t="shared" si="13"/>
        <v>12</v>
      </c>
      <c r="M167" t="str">
        <f t="shared" si="14"/>
        <v>December</v>
      </c>
      <c r="N167">
        <f t="shared" si="15"/>
        <v>2</v>
      </c>
      <c r="O167">
        <f t="shared" si="16"/>
        <v>6</v>
      </c>
      <c r="P167" s="1">
        <f t="shared" ca="1" si="17"/>
        <v>544</v>
      </c>
    </row>
    <row r="168" spans="1:16" x14ac:dyDescent="0.3">
      <c r="A168">
        <v>2166</v>
      </c>
      <c r="B168" t="s">
        <v>34</v>
      </c>
      <c r="C168" t="s">
        <v>25</v>
      </c>
      <c r="D168" s="1">
        <v>44783</v>
      </c>
      <c r="E168" s="1">
        <v>44792</v>
      </c>
      <c r="F168" t="s">
        <v>28</v>
      </c>
      <c r="G168">
        <v>8</v>
      </c>
      <c r="H168">
        <v>645.41</v>
      </c>
      <c r="I168">
        <v>5163.28</v>
      </c>
      <c r="J168" t="s">
        <v>13</v>
      </c>
      <c r="K168">
        <f t="shared" si="12"/>
        <v>2022</v>
      </c>
      <c r="L168">
        <f t="shared" si="13"/>
        <v>8</v>
      </c>
      <c r="M168" t="str">
        <f t="shared" si="14"/>
        <v>August</v>
      </c>
      <c r="N168">
        <f t="shared" si="15"/>
        <v>3</v>
      </c>
      <c r="O168">
        <f t="shared" si="16"/>
        <v>9</v>
      </c>
      <c r="P168" s="1">
        <f t="shared" ca="1" si="17"/>
        <v>1390</v>
      </c>
    </row>
    <row r="169" spans="1:16" x14ac:dyDescent="0.3">
      <c r="A169">
        <v>2167</v>
      </c>
      <c r="B169" t="s">
        <v>47</v>
      </c>
      <c r="C169" t="s">
        <v>18</v>
      </c>
      <c r="D169" s="1">
        <v>44865</v>
      </c>
      <c r="E169" s="1">
        <v>44868</v>
      </c>
      <c r="F169" t="s">
        <v>19</v>
      </c>
      <c r="G169">
        <v>5</v>
      </c>
      <c r="H169">
        <v>3234.29</v>
      </c>
      <c r="I169">
        <v>16171.45</v>
      </c>
      <c r="J169" t="s">
        <v>20</v>
      </c>
      <c r="K169">
        <f t="shared" si="12"/>
        <v>2022</v>
      </c>
      <c r="L169">
        <f t="shared" si="13"/>
        <v>10</v>
      </c>
      <c r="M169" t="str">
        <f t="shared" si="14"/>
        <v>October</v>
      </c>
      <c r="N169">
        <f t="shared" si="15"/>
        <v>1</v>
      </c>
      <c r="O169">
        <f t="shared" si="16"/>
        <v>3</v>
      </c>
      <c r="P169" s="1">
        <f t="shared" ca="1" si="17"/>
        <v>1308</v>
      </c>
    </row>
    <row r="170" spans="1:16" x14ac:dyDescent="0.3">
      <c r="A170">
        <v>2168</v>
      </c>
      <c r="B170" t="s">
        <v>34</v>
      </c>
      <c r="C170" t="s">
        <v>18</v>
      </c>
      <c r="D170" s="1">
        <v>45648</v>
      </c>
      <c r="E170" s="1">
        <v>45654</v>
      </c>
      <c r="F170" t="s">
        <v>16</v>
      </c>
      <c r="G170">
        <v>7</v>
      </c>
      <c r="H170">
        <v>766.14</v>
      </c>
      <c r="I170">
        <v>5362.98</v>
      </c>
      <c r="J170" t="s">
        <v>13</v>
      </c>
      <c r="K170">
        <f t="shared" si="12"/>
        <v>2024</v>
      </c>
      <c r="L170">
        <f t="shared" si="13"/>
        <v>12</v>
      </c>
      <c r="M170" t="str">
        <f t="shared" si="14"/>
        <v>December</v>
      </c>
      <c r="N170">
        <f t="shared" si="15"/>
        <v>7</v>
      </c>
      <c r="O170">
        <f t="shared" si="16"/>
        <v>6</v>
      </c>
      <c r="P170" s="1">
        <f t="shared" ca="1" si="17"/>
        <v>525</v>
      </c>
    </row>
    <row r="171" spans="1:16" x14ac:dyDescent="0.3">
      <c r="A171">
        <v>2169</v>
      </c>
      <c r="B171" t="s">
        <v>10</v>
      </c>
      <c r="C171" t="s">
        <v>15</v>
      </c>
      <c r="D171" s="1">
        <v>45002</v>
      </c>
      <c r="E171" s="1">
        <v>45010</v>
      </c>
      <c r="F171" t="s">
        <v>16</v>
      </c>
      <c r="G171">
        <v>4</v>
      </c>
      <c r="H171">
        <v>2244.92</v>
      </c>
      <c r="I171">
        <v>8979.68</v>
      </c>
      <c r="J171" t="s">
        <v>20</v>
      </c>
      <c r="K171">
        <f t="shared" si="12"/>
        <v>2023</v>
      </c>
      <c r="L171">
        <f t="shared" si="13"/>
        <v>3</v>
      </c>
      <c r="M171" t="str">
        <f t="shared" si="14"/>
        <v>March</v>
      </c>
      <c r="N171">
        <f t="shared" si="15"/>
        <v>5</v>
      </c>
      <c r="O171">
        <f t="shared" si="16"/>
        <v>8</v>
      </c>
      <c r="P171" s="1">
        <f t="shared" ca="1" si="17"/>
        <v>1171</v>
      </c>
    </row>
    <row r="172" spans="1:16" x14ac:dyDescent="0.3">
      <c r="A172">
        <v>2170</v>
      </c>
      <c r="B172" t="s">
        <v>34</v>
      </c>
      <c r="C172" t="s">
        <v>25</v>
      </c>
      <c r="D172" s="1">
        <v>44756</v>
      </c>
      <c r="E172" s="1">
        <v>44763</v>
      </c>
      <c r="F172" t="s">
        <v>16</v>
      </c>
      <c r="G172">
        <v>6</v>
      </c>
      <c r="H172">
        <v>3426.01</v>
      </c>
      <c r="I172">
        <v>20556.060000000001</v>
      </c>
      <c r="J172" t="s">
        <v>20</v>
      </c>
      <c r="K172">
        <f t="shared" si="12"/>
        <v>2022</v>
      </c>
      <c r="L172">
        <f t="shared" si="13"/>
        <v>7</v>
      </c>
      <c r="M172" t="str">
        <f t="shared" si="14"/>
        <v>July</v>
      </c>
      <c r="N172">
        <f t="shared" si="15"/>
        <v>4</v>
      </c>
      <c r="O172">
        <f t="shared" si="16"/>
        <v>7</v>
      </c>
      <c r="P172" s="1">
        <f t="shared" ca="1" si="17"/>
        <v>1417</v>
      </c>
    </row>
    <row r="173" spans="1:16" x14ac:dyDescent="0.3">
      <c r="A173">
        <v>2171</v>
      </c>
      <c r="B173" t="s">
        <v>37</v>
      </c>
      <c r="C173" t="s">
        <v>15</v>
      </c>
      <c r="D173" s="1">
        <v>45533</v>
      </c>
      <c r="E173" s="1">
        <v>45536</v>
      </c>
      <c r="F173" t="s">
        <v>26</v>
      </c>
      <c r="G173">
        <v>2</v>
      </c>
      <c r="H173">
        <v>738.18</v>
      </c>
      <c r="I173">
        <v>1476.36</v>
      </c>
      <c r="J173" t="s">
        <v>13</v>
      </c>
      <c r="K173">
        <f t="shared" si="12"/>
        <v>2024</v>
      </c>
      <c r="L173">
        <f t="shared" si="13"/>
        <v>8</v>
      </c>
      <c r="M173" t="str">
        <f t="shared" si="14"/>
        <v>August</v>
      </c>
      <c r="N173">
        <f t="shared" si="15"/>
        <v>4</v>
      </c>
      <c r="O173">
        <f t="shared" si="16"/>
        <v>3</v>
      </c>
      <c r="P173" s="1">
        <f t="shared" ca="1" si="17"/>
        <v>640</v>
      </c>
    </row>
    <row r="174" spans="1:16" x14ac:dyDescent="0.3">
      <c r="A174">
        <v>2172</v>
      </c>
      <c r="B174" t="s">
        <v>24</v>
      </c>
      <c r="C174" t="s">
        <v>15</v>
      </c>
      <c r="D174" s="1">
        <v>45325</v>
      </c>
      <c r="E174" s="1">
        <v>45339</v>
      </c>
      <c r="F174" t="s">
        <v>19</v>
      </c>
      <c r="G174">
        <v>1</v>
      </c>
      <c r="H174">
        <v>3056.39</v>
      </c>
      <c r="I174">
        <v>3056.39</v>
      </c>
      <c r="J174" t="s">
        <v>20</v>
      </c>
      <c r="K174">
        <f t="shared" si="12"/>
        <v>2024</v>
      </c>
      <c r="L174">
        <f t="shared" si="13"/>
        <v>2</v>
      </c>
      <c r="M174" t="str">
        <f t="shared" si="14"/>
        <v>February</v>
      </c>
      <c r="N174">
        <f t="shared" si="15"/>
        <v>6</v>
      </c>
      <c r="O174">
        <f t="shared" si="16"/>
        <v>14</v>
      </c>
      <c r="P174" s="1">
        <f t="shared" ca="1" si="17"/>
        <v>848</v>
      </c>
    </row>
    <row r="175" spans="1:16" x14ac:dyDescent="0.3">
      <c r="A175">
        <v>2173</v>
      </c>
      <c r="B175" t="s">
        <v>14</v>
      </c>
      <c r="C175" t="s">
        <v>11</v>
      </c>
      <c r="D175" s="1">
        <v>45403</v>
      </c>
      <c r="E175" s="1">
        <v>45410</v>
      </c>
      <c r="F175" t="s">
        <v>32</v>
      </c>
      <c r="G175">
        <v>7</v>
      </c>
      <c r="H175">
        <v>4380.03</v>
      </c>
      <c r="I175">
        <v>30660.21</v>
      </c>
      <c r="J175" t="s">
        <v>13</v>
      </c>
      <c r="K175">
        <f t="shared" si="12"/>
        <v>2024</v>
      </c>
      <c r="L175">
        <f t="shared" si="13"/>
        <v>4</v>
      </c>
      <c r="M175" t="str">
        <f t="shared" si="14"/>
        <v>April</v>
      </c>
      <c r="N175">
        <f t="shared" si="15"/>
        <v>7</v>
      </c>
      <c r="O175">
        <f t="shared" si="16"/>
        <v>7</v>
      </c>
      <c r="P175" s="1">
        <f t="shared" ca="1" si="17"/>
        <v>770</v>
      </c>
    </row>
    <row r="176" spans="1:16" x14ac:dyDescent="0.3">
      <c r="A176">
        <v>2174</v>
      </c>
      <c r="B176" t="s">
        <v>43</v>
      </c>
      <c r="C176" t="s">
        <v>18</v>
      </c>
      <c r="D176" s="1">
        <v>45201</v>
      </c>
      <c r="E176" s="1">
        <v>45208</v>
      </c>
      <c r="F176" t="s">
        <v>26</v>
      </c>
      <c r="G176">
        <v>4</v>
      </c>
      <c r="H176">
        <v>1027.23</v>
      </c>
      <c r="I176">
        <v>4108.92</v>
      </c>
      <c r="J176" t="s">
        <v>20</v>
      </c>
      <c r="K176">
        <f t="shared" si="12"/>
        <v>2023</v>
      </c>
      <c r="L176">
        <f t="shared" si="13"/>
        <v>10</v>
      </c>
      <c r="M176" t="str">
        <f t="shared" si="14"/>
        <v>October</v>
      </c>
      <c r="N176">
        <f t="shared" si="15"/>
        <v>1</v>
      </c>
      <c r="O176">
        <f t="shared" si="16"/>
        <v>7</v>
      </c>
      <c r="P176" s="1">
        <f t="shared" ca="1" si="17"/>
        <v>972</v>
      </c>
    </row>
    <row r="177" spans="1:16" x14ac:dyDescent="0.3">
      <c r="A177">
        <v>2175</v>
      </c>
      <c r="B177" t="s">
        <v>17</v>
      </c>
      <c r="C177" t="s">
        <v>11</v>
      </c>
      <c r="D177" s="1">
        <v>45279</v>
      </c>
      <c r="E177" s="1">
        <v>45294</v>
      </c>
      <c r="F177" t="s">
        <v>36</v>
      </c>
      <c r="G177">
        <v>6</v>
      </c>
      <c r="H177">
        <v>839.96</v>
      </c>
      <c r="I177">
        <v>5039.76</v>
      </c>
      <c r="J177" t="s">
        <v>20</v>
      </c>
      <c r="K177">
        <f t="shared" si="12"/>
        <v>2023</v>
      </c>
      <c r="L177">
        <f t="shared" si="13"/>
        <v>12</v>
      </c>
      <c r="M177" t="str">
        <f t="shared" si="14"/>
        <v>December</v>
      </c>
      <c r="N177">
        <f t="shared" si="15"/>
        <v>2</v>
      </c>
      <c r="O177">
        <f t="shared" si="16"/>
        <v>15</v>
      </c>
      <c r="P177" s="1">
        <f t="shared" ca="1" si="17"/>
        <v>894</v>
      </c>
    </row>
    <row r="178" spans="1:16" x14ac:dyDescent="0.3">
      <c r="A178">
        <v>2176</v>
      </c>
      <c r="B178" t="s">
        <v>27</v>
      </c>
      <c r="C178" t="s">
        <v>22</v>
      </c>
      <c r="D178" s="1">
        <v>45440</v>
      </c>
      <c r="E178" s="1">
        <v>45455</v>
      </c>
      <c r="F178" t="s">
        <v>36</v>
      </c>
      <c r="G178">
        <v>1</v>
      </c>
      <c r="H178">
        <v>3162.28</v>
      </c>
      <c r="I178">
        <v>3162.28</v>
      </c>
      <c r="J178" t="s">
        <v>20</v>
      </c>
      <c r="K178">
        <f t="shared" si="12"/>
        <v>2024</v>
      </c>
      <c r="L178">
        <f t="shared" si="13"/>
        <v>5</v>
      </c>
      <c r="M178" t="str">
        <f t="shared" si="14"/>
        <v>May</v>
      </c>
      <c r="N178">
        <f t="shared" si="15"/>
        <v>2</v>
      </c>
      <c r="O178">
        <f t="shared" si="16"/>
        <v>15</v>
      </c>
      <c r="P178" s="1">
        <f t="shared" ca="1" si="17"/>
        <v>733</v>
      </c>
    </row>
    <row r="179" spans="1:16" x14ac:dyDescent="0.3">
      <c r="A179">
        <v>2177</v>
      </c>
      <c r="B179" t="s">
        <v>21</v>
      </c>
      <c r="C179" t="s">
        <v>22</v>
      </c>
      <c r="D179" s="1">
        <v>45121</v>
      </c>
      <c r="E179" s="1">
        <v>45134</v>
      </c>
      <c r="F179" t="s">
        <v>32</v>
      </c>
      <c r="G179">
        <v>5</v>
      </c>
      <c r="H179">
        <v>4631.2299999999996</v>
      </c>
      <c r="I179">
        <v>23156.15</v>
      </c>
      <c r="J179" t="s">
        <v>20</v>
      </c>
      <c r="K179">
        <f t="shared" si="12"/>
        <v>2023</v>
      </c>
      <c r="L179">
        <f t="shared" si="13"/>
        <v>7</v>
      </c>
      <c r="M179" t="str">
        <f t="shared" si="14"/>
        <v>July</v>
      </c>
      <c r="N179">
        <f t="shared" si="15"/>
        <v>5</v>
      </c>
      <c r="O179">
        <f t="shared" si="16"/>
        <v>13</v>
      </c>
      <c r="P179" s="1">
        <f t="shared" ca="1" si="17"/>
        <v>1052</v>
      </c>
    </row>
    <row r="180" spans="1:16" x14ac:dyDescent="0.3">
      <c r="A180">
        <v>2178</v>
      </c>
      <c r="B180" t="s">
        <v>21</v>
      </c>
      <c r="C180" t="s">
        <v>22</v>
      </c>
      <c r="D180" s="1">
        <v>44855</v>
      </c>
      <c r="E180" s="1">
        <v>44866</v>
      </c>
      <c r="F180" t="s">
        <v>28</v>
      </c>
      <c r="G180">
        <v>7</v>
      </c>
      <c r="H180">
        <v>627.04999999999995</v>
      </c>
      <c r="I180">
        <v>4389.3500000000004</v>
      </c>
      <c r="J180" t="s">
        <v>13</v>
      </c>
      <c r="K180">
        <f t="shared" si="12"/>
        <v>2022</v>
      </c>
      <c r="L180">
        <f t="shared" si="13"/>
        <v>10</v>
      </c>
      <c r="M180" t="str">
        <f t="shared" si="14"/>
        <v>October</v>
      </c>
      <c r="N180">
        <f t="shared" si="15"/>
        <v>5</v>
      </c>
      <c r="O180">
        <f t="shared" si="16"/>
        <v>11</v>
      </c>
      <c r="P180" s="1">
        <f t="shared" ca="1" si="17"/>
        <v>1318</v>
      </c>
    </row>
    <row r="181" spans="1:16" x14ac:dyDescent="0.3">
      <c r="A181">
        <v>2179</v>
      </c>
      <c r="B181" t="s">
        <v>49</v>
      </c>
      <c r="C181" t="s">
        <v>15</v>
      </c>
      <c r="D181" s="1">
        <v>45648</v>
      </c>
      <c r="E181" s="1">
        <v>45653</v>
      </c>
      <c r="F181" t="s">
        <v>16</v>
      </c>
      <c r="G181">
        <v>7</v>
      </c>
      <c r="H181">
        <v>2432.14</v>
      </c>
      <c r="I181">
        <v>17024.98</v>
      </c>
      <c r="J181" t="s">
        <v>13</v>
      </c>
      <c r="K181">
        <f t="shared" si="12"/>
        <v>2024</v>
      </c>
      <c r="L181">
        <f t="shared" si="13"/>
        <v>12</v>
      </c>
      <c r="M181" t="str">
        <f t="shared" si="14"/>
        <v>December</v>
      </c>
      <c r="N181">
        <f t="shared" si="15"/>
        <v>7</v>
      </c>
      <c r="O181">
        <f t="shared" si="16"/>
        <v>5</v>
      </c>
      <c r="P181" s="1">
        <f t="shared" ca="1" si="17"/>
        <v>525</v>
      </c>
    </row>
    <row r="182" spans="1:16" x14ac:dyDescent="0.3">
      <c r="A182">
        <v>2180</v>
      </c>
      <c r="B182" t="s">
        <v>46</v>
      </c>
      <c r="C182" t="s">
        <v>31</v>
      </c>
      <c r="D182" s="1">
        <v>45226</v>
      </c>
      <c r="E182" s="1">
        <v>45240</v>
      </c>
      <c r="F182" t="s">
        <v>36</v>
      </c>
      <c r="G182">
        <v>2</v>
      </c>
      <c r="H182">
        <v>4451.71</v>
      </c>
      <c r="I182">
        <v>8903.42</v>
      </c>
      <c r="J182" t="s">
        <v>13</v>
      </c>
      <c r="K182">
        <f t="shared" si="12"/>
        <v>2023</v>
      </c>
      <c r="L182">
        <f t="shared" si="13"/>
        <v>10</v>
      </c>
      <c r="M182" t="str">
        <f t="shared" si="14"/>
        <v>October</v>
      </c>
      <c r="N182">
        <f t="shared" si="15"/>
        <v>5</v>
      </c>
      <c r="O182">
        <f t="shared" si="16"/>
        <v>14</v>
      </c>
      <c r="P182" s="1">
        <f t="shared" ca="1" si="17"/>
        <v>947</v>
      </c>
    </row>
    <row r="183" spans="1:16" x14ac:dyDescent="0.3">
      <c r="A183">
        <v>2181</v>
      </c>
      <c r="B183" t="s">
        <v>45</v>
      </c>
      <c r="C183" t="s">
        <v>18</v>
      </c>
      <c r="D183" s="1">
        <v>44663</v>
      </c>
      <c r="E183" s="1">
        <v>44675</v>
      </c>
      <c r="F183" t="s">
        <v>26</v>
      </c>
      <c r="G183">
        <v>5</v>
      </c>
      <c r="H183">
        <v>2382.63</v>
      </c>
      <c r="I183">
        <v>11913.15</v>
      </c>
      <c r="J183" t="s">
        <v>20</v>
      </c>
      <c r="K183">
        <f t="shared" si="12"/>
        <v>2022</v>
      </c>
      <c r="L183">
        <f t="shared" si="13"/>
        <v>4</v>
      </c>
      <c r="M183" t="str">
        <f t="shared" si="14"/>
        <v>April</v>
      </c>
      <c r="N183">
        <f t="shared" si="15"/>
        <v>2</v>
      </c>
      <c r="O183">
        <f t="shared" si="16"/>
        <v>12</v>
      </c>
      <c r="P183" s="1">
        <f t="shared" ca="1" si="17"/>
        <v>1510</v>
      </c>
    </row>
    <row r="184" spans="1:16" x14ac:dyDescent="0.3">
      <c r="A184">
        <v>2182</v>
      </c>
      <c r="B184" t="s">
        <v>41</v>
      </c>
      <c r="C184" t="s">
        <v>18</v>
      </c>
      <c r="D184" s="1">
        <v>45467</v>
      </c>
      <c r="E184" s="1">
        <v>45475</v>
      </c>
      <c r="F184" t="s">
        <v>12</v>
      </c>
      <c r="G184">
        <v>4</v>
      </c>
      <c r="H184">
        <v>3848.23</v>
      </c>
      <c r="I184">
        <v>15392.92</v>
      </c>
      <c r="J184" t="s">
        <v>13</v>
      </c>
      <c r="K184">
        <f t="shared" si="12"/>
        <v>2024</v>
      </c>
      <c r="L184">
        <f t="shared" si="13"/>
        <v>6</v>
      </c>
      <c r="M184" t="str">
        <f t="shared" si="14"/>
        <v>June</v>
      </c>
      <c r="N184">
        <f t="shared" si="15"/>
        <v>1</v>
      </c>
      <c r="O184">
        <f t="shared" si="16"/>
        <v>8</v>
      </c>
      <c r="P184" s="1">
        <f t="shared" ca="1" si="17"/>
        <v>706</v>
      </c>
    </row>
    <row r="185" spans="1:16" x14ac:dyDescent="0.3">
      <c r="A185">
        <v>2183</v>
      </c>
      <c r="B185" t="s">
        <v>46</v>
      </c>
      <c r="C185" t="s">
        <v>25</v>
      </c>
      <c r="D185" s="1">
        <v>44789</v>
      </c>
      <c r="E185" s="1">
        <v>44795</v>
      </c>
      <c r="F185" t="s">
        <v>28</v>
      </c>
      <c r="G185">
        <v>8</v>
      </c>
      <c r="H185">
        <v>2776.59</v>
      </c>
      <c r="I185">
        <v>22212.720000000001</v>
      </c>
      <c r="J185" t="s">
        <v>20</v>
      </c>
      <c r="K185">
        <f t="shared" si="12"/>
        <v>2022</v>
      </c>
      <c r="L185">
        <f t="shared" si="13"/>
        <v>8</v>
      </c>
      <c r="M185" t="str">
        <f t="shared" si="14"/>
        <v>August</v>
      </c>
      <c r="N185">
        <f t="shared" si="15"/>
        <v>2</v>
      </c>
      <c r="O185">
        <f t="shared" si="16"/>
        <v>6</v>
      </c>
      <c r="P185" s="1">
        <f t="shared" ca="1" si="17"/>
        <v>1384</v>
      </c>
    </row>
    <row r="186" spans="1:16" x14ac:dyDescent="0.3">
      <c r="A186">
        <v>2184</v>
      </c>
      <c r="B186" t="s">
        <v>40</v>
      </c>
      <c r="C186" t="s">
        <v>22</v>
      </c>
      <c r="D186" s="1">
        <v>45371</v>
      </c>
      <c r="E186" s="1">
        <v>45382</v>
      </c>
      <c r="F186" t="s">
        <v>26</v>
      </c>
      <c r="G186">
        <v>1</v>
      </c>
      <c r="H186">
        <v>1260.79</v>
      </c>
      <c r="I186">
        <v>1260.79</v>
      </c>
      <c r="J186" t="s">
        <v>13</v>
      </c>
      <c r="K186">
        <f t="shared" si="12"/>
        <v>2024</v>
      </c>
      <c r="L186">
        <f t="shared" si="13"/>
        <v>3</v>
      </c>
      <c r="M186" t="str">
        <f t="shared" si="14"/>
        <v>March</v>
      </c>
      <c r="N186">
        <f t="shared" si="15"/>
        <v>3</v>
      </c>
      <c r="O186">
        <f t="shared" si="16"/>
        <v>11</v>
      </c>
      <c r="P186" s="1">
        <f t="shared" ca="1" si="17"/>
        <v>802</v>
      </c>
    </row>
    <row r="187" spans="1:16" x14ac:dyDescent="0.3">
      <c r="A187">
        <v>2185</v>
      </c>
      <c r="B187" t="s">
        <v>44</v>
      </c>
      <c r="C187" t="s">
        <v>22</v>
      </c>
      <c r="D187" s="1">
        <v>45085</v>
      </c>
      <c r="E187" s="1">
        <v>45091</v>
      </c>
      <c r="F187" t="s">
        <v>12</v>
      </c>
      <c r="G187">
        <v>2</v>
      </c>
      <c r="H187">
        <v>336.33</v>
      </c>
      <c r="I187">
        <v>672.66</v>
      </c>
      <c r="J187" t="s">
        <v>20</v>
      </c>
      <c r="K187">
        <f t="shared" si="12"/>
        <v>2023</v>
      </c>
      <c r="L187">
        <f t="shared" si="13"/>
        <v>6</v>
      </c>
      <c r="M187" t="str">
        <f t="shared" si="14"/>
        <v>June</v>
      </c>
      <c r="N187">
        <f t="shared" si="15"/>
        <v>4</v>
      </c>
      <c r="O187">
        <f t="shared" si="16"/>
        <v>6</v>
      </c>
      <c r="P187" s="1">
        <f t="shared" ca="1" si="17"/>
        <v>1088</v>
      </c>
    </row>
    <row r="188" spans="1:16" x14ac:dyDescent="0.3">
      <c r="A188">
        <v>2186</v>
      </c>
      <c r="B188" t="s">
        <v>45</v>
      </c>
      <c r="C188" t="s">
        <v>22</v>
      </c>
      <c r="D188" s="1">
        <v>45340</v>
      </c>
      <c r="E188" s="1">
        <v>45350</v>
      </c>
      <c r="F188" t="s">
        <v>28</v>
      </c>
      <c r="G188">
        <v>4</v>
      </c>
      <c r="H188">
        <v>2651.23</v>
      </c>
      <c r="I188">
        <v>10604.92</v>
      </c>
      <c r="J188" t="s">
        <v>20</v>
      </c>
      <c r="K188">
        <f t="shared" si="12"/>
        <v>2024</v>
      </c>
      <c r="L188">
        <f t="shared" si="13"/>
        <v>2</v>
      </c>
      <c r="M188" t="str">
        <f t="shared" si="14"/>
        <v>February</v>
      </c>
      <c r="N188">
        <f t="shared" si="15"/>
        <v>7</v>
      </c>
      <c r="O188">
        <f t="shared" si="16"/>
        <v>10</v>
      </c>
      <c r="P188" s="1">
        <f t="shared" ca="1" si="17"/>
        <v>833</v>
      </c>
    </row>
    <row r="189" spans="1:16" x14ac:dyDescent="0.3">
      <c r="A189">
        <v>2187</v>
      </c>
      <c r="B189" t="s">
        <v>49</v>
      </c>
      <c r="C189" t="s">
        <v>25</v>
      </c>
      <c r="D189" s="1">
        <v>44648</v>
      </c>
      <c r="E189" s="1">
        <v>44656</v>
      </c>
      <c r="F189" t="s">
        <v>26</v>
      </c>
      <c r="G189">
        <v>8</v>
      </c>
      <c r="H189">
        <v>4629.46</v>
      </c>
      <c r="I189">
        <v>37035.68</v>
      </c>
      <c r="J189" t="s">
        <v>20</v>
      </c>
      <c r="K189">
        <f t="shared" si="12"/>
        <v>2022</v>
      </c>
      <c r="L189">
        <f t="shared" si="13"/>
        <v>3</v>
      </c>
      <c r="M189" t="str">
        <f t="shared" si="14"/>
        <v>March</v>
      </c>
      <c r="N189">
        <f t="shared" si="15"/>
        <v>1</v>
      </c>
      <c r="O189">
        <f t="shared" si="16"/>
        <v>8</v>
      </c>
      <c r="P189" s="1">
        <f t="shared" ca="1" si="17"/>
        <v>1525</v>
      </c>
    </row>
    <row r="190" spans="1:16" x14ac:dyDescent="0.3">
      <c r="A190">
        <v>2188</v>
      </c>
      <c r="B190" t="s">
        <v>27</v>
      </c>
      <c r="C190" t="s">
        <v>25</v>
      </c>
      <c r="D190" s="1">
        <v>45390</v>
      </c>
      <c r="E190" s="1">
        <v>45403</v>
      </c>
      <c r="F190" t="s">
        <v>28</v>
      </c>
      <c r="G190">
        <v>7</v>
      </c>
      <c r="H190">
        <v>1660.72</v>
      </c>
      <c r="I190">
        <v>11625.04</v>
      </c>
      <c r="J190" t="s">
        <v>20</v>
      </c>
      <c r="K190">
        <f t="shared" si="12"/>
        <v>2024</v>
      </c>
      <c r="L190">
        <f t="shared" si="13"/>
        <v>4</v>
      </c>
      <c r="M190" t="str">
        <f t="shared" si="14"/>
        <v>April</v>
      </c>
      <c r="N190">
        <f t="shared" si="15"/>
        <v>1</v>
      </c>
      <c r="O190">
        <f t="shared" si="16"/>
        <v>13</v>
      </c>
      <c r="P190" s="1">
        <f t="shared" ca="1" si="17"/>
        <v>783</v>
      </c>
    </row>
    <row r="191" spans="1:16" x14ac:dyDescent="0.3">
      <c r="A191">
        <v>2189</v>
      </c>
      <c r="B191" t="s">
        <v>21</v>
      </c>
      <c r="C191" t="s">
        <v>31</v>
      </c>
      <c r="D191" s="1">
        <v>44913</v>
      </c>
      <c r="E191" s="1">
        <v>44927</v>
      </c>
      <c r="F191" t="s">
        <v>36</v>
      </c>
      <c r="G191">
        <v>8</v>
      </c>
      <c r="H191">
        <v>4210.5200000000004</v>
      </c>
      <c r="I191">
        <v>33684.160000000003</v>
      </c>
      <c r="J191" t="s">
        <v>20</v>
      </c>
      <c r="K191">
        <f t="shared" si="12"/>
        <v>2022</v>
      </c>
      <c r="L191">
        <f t="shared" si="13"/>
        <v>12</v>
      </c>
      <c r="M191" t="str">
        <f t="shared" si="14"/>
        <v>December</v>
      </c>
      <c r="N191">
        <f t="shared" si="15"/>
        <v>7</v>
      </c>
      <c r="O191">
        <f t="shared" si="16"/>
        <v>14</v>
      </c>
      <c r="P191" s="1">
        <f t="shared" ca="1" si="17"/>
        <v>1260</v>
      </c>
    </row>
    <row r="192" spans="1:16" x14ac:dyDescent="0.3">
      <c r="A192">
        <v>2190</v>
      </c>
      <c r="B192" t="s">
        <v>49</v>
      </c>
      <c r="C192" t="s">
        <v>25</v>
      </c>
      <c r="D192" s="1">
        <v>44778</v>
      </c>
      <c r="E192" s="1">
        <v>44783</v>
      </c>
      <c r="F192" t="s">
        <v>16</v>
      </c>
      <c r="G192">
        <v>7</v>
      </c>
      <c r="H192">
        <v>2762.62</v>
      </c>
      <c r="I192">
        <v>19338.34</v>
      </c>
      <c r="J192" t="s">
        <v>20</v>
      </c>
      <c r="K192">
        <f t="shared" si="12"/>
        <v>2022</v>
      </c>
      <c r="L192">
        <f t="shared" si="13"/>
        <v>8</v>
      </c>
      <c r="M192" t="str">
        <f t="shared" si="14"/>
        <v>August</v>
      </c>
      <c r="N192">
        <f t="shared" si="15"/>
        <v>5</v>
      </c>
      <c r="O192">
        <f t="shared" si="16"/>
        <v>5</v>
      </c>
      <c r="P192" s="1">
        <f t="shared" ca="1" si="17"/>
        <v>1395</v>
      </c>
    </row>
    <row r="193" spans="1:16" x14ac:dyDescent="0.3">
      <c r="A193">
        <v>2191</v>
      </c>
      <c r="B193" t="s">
        <v>43</v>
      </c>
      <c r="C193" t="s">
        <v>15</v>
      </c>
      <c r="D193" s="1">
        <v>45257</v>
      </c>
      <c r="E193" s="1">
        <v>45262</v>
      </c>
      <c r="F193" t="s">
        <v>12</v>
      </c>
      <c r="G193">
        <v>3</v>
      </c>
      <c r="H193">
        <v>658.98</v>
      </c>
      <c r="I193">
        <v>1976.94</v>
      </c>
      <c r="J193" t="s">
        <v>13</v>
      </c>
      <c r="K193">
        <f t="shared" si="12"/>
        <v>2023</v>
      </c>
      <c r="L193">
        <f t="shared" si="13"/>
        <v>11</v>
      </c>
      <c r="M193" t="str">
        <f t="shared" si="14"/>
        <v>November</v>
      </c>
      <c r="N193">
        <f t="shared" si="15"/>
        <v>1</v>
      </c>
      <c r="O193">
        <f t="shared" si="16"/>
        <v>5</v>
      </c>
      <c r="P193" s="1">
        <f t="shared" ca="1" si="17"/>
        <v>916</v>
      </c>
    </row>
    <row r="194" spans="1:16" x14ac:dyDescent="0.3">
      <c r="A194">
        <v>2192</v>
      </c>
      <c r="B194" t="s">
        <v>35</v>
      </c>
      <c r="C194" t="s">
        <v>18</v>
      </c>
      <c r="D194" s="1">
        <v>44959</v>
      </c>
      <c r="E194" s="1">
        <v>44973</v>
      </c>
      <c r="F194" t="s">
        <v>12</v>
      </c>
      <c r="G194">
        <v>6</v>
      </c>
      <c r="H194">
        <v>3718.68</v>
      </c>
      <c r="I194">
        <v>22312.080000000002</v>
      </c>
      <c r="J194" t="s">
        <v>13</v>
      </c>
      <c r="K194">
        <f t="shared" si="12"/>
        <v>2023</v>
      </c>
      <c r="L194">
        <f t="shared" si="13"/>
        <v>2</v>
      </c>
      <c r="M194" t="str">
        <f t="shared" si="14"/>
        <v>February</v>
      </c>
      <c r="N194">
        <f t="shared" si="15"/>
        <v>4</v>
      </c>
      <c r="O194">
        <f t="shared" si="16"/>
        <v>14</v>
      </c>
      <c r="P194" s="1">
        <f t="shared" ca="1" si="17"/>
        <v>1214</v>
      </c>
    </row>
    <row r="195" spans="1:16" x14ac:dyDescent="0.3">
      <c r="A195">
        <v>2193</v>
      </c>
      <c r="B195" t="s">
        <v>17</v>
      </c>
      <c r="C195" t="s">
        <v>11</v>
      </c>
      <c r="D195" s="1">
        <v>44861</v>
      </c>
      <c r="E195" s="1">
        <v>44867</v>
      </c>
      <c r="F195" t="s">
        <v>19</v>
      </c>
      <c r="G195">
        <v>3</v>
      </c>
      <c r="H195">
        <v>3131.28</v>
      </c>
      <c r="I195">
        <v>9393.84</v>
      </c>
      <c r="J195" t="s">
        <v>13</v>
      </c>
      <c r="K195">
        <f t="shared" ref="K195:K258" si="18">YEAR(D195)</f>
        <v>2022</v>
      </c>
      <c r="L195">
        <f t="shared" ref="L195:L258" si="19">MONTH(D195)</f>
        <v>10</v>
      </c>
      <c r="M195" t="str">
        <f t="shared" ref="M195:M258" si="20">TEXT(D195,"MMMM")</f>
        <v>October</v>
      </c>
      <c r="N195">
        <f t="shared" ref="N195:N258" si="21">WEEKDAY(D195,2)</f>
        <v>4</v>
      </c>
      <c r="O195">
        <f t="shared" ref="O195:O258" si="22">DATEDIF(D195,E195,"D")</f>
        <v>6</v>
      </c>
      <c r="P195" s="1">
        <f t="shared" ref="P195:P258" ca="1" si="23">TODAY()-D195</f>
        <v>1312</v>
      </c>
    </row>
    <row r="196" spans="1:16" x14ac:dyDescent="0.3">
      <c r="A196">
        <v>2194</v>
      </c>
      <c r="B196" t="s">
        <v>45</v>
      </c>
      <c r="C196" t="s">
        <v>15</v>
      </c>
      <c r="D196" s="1">
        <v>45573</v>
      </c>
      <c r="E196" s="1">
        <v>45582</v>
      </c>
      <c r="F196" t="s">
        <v>32</v>
      </c>
      <c r="G196">
        <v>8</v>
      </c>
      <c r="H196">
        <v>3501.33</v>
      </c>
      <c r="I196">
        <v>28010.639999999999</v>
      </c>
      <c r="J196" t="s">
        <v>20</v>
      </c>
      <c r="K196">
        <f t="shared" si="18"/>
        <v>2024</v>
      </c>
      <c r="L196">
        <f t="shared" si="19"/>
        <v>10</v>
      </c>
      <c r="M196" t="str">
        <f t="shared" si="20"/>
        <v>October</v>
      </c>
      <c r="N196">
        <f t="shared" si="21"/>
        <v>2</v>
      </c>
      <c r="O196">
        <f t="shared" si="22"/>
        <v>9</v>
      </c>
      <c r="P196" s="1">
        <f t="shared" ca="1" si="23"/>
        <v>600</v>
      </c>
    </row>
    <row r="197" spans="1:16" x14ac:dyDescent="0.3">
      <c r="A197">
        <v>2195</v>
      </c>
      <c r="B197" t="s">
        <v>10</v>
      </c>
      <c r="C197" t="s">
        <v>31</v>
      </c>
      <c r="D197" s="1">
        <v>44871</v>
      </c>
      <c r="E197" s="1">
        <v>44880</v>
      </c>
      <c r="F197" t="s">
        <v>26</v>
      </c>
      <c r="G197">
        <v>8</v>
      </c>
      <c r="H197">
        <v>2378.38</v>
      </c>
      <c r="I197">
        <v>19027.04</v>
      </c>
      <c r="J197" t="s">
        <v>20</v>
      </c>
      <c r="K197">
        <f t="shared" si="18"/>
        <v>2022</v>
      </c>
      <c r="L197">
        <f t="shared" si="19"/>
        <v>11</v>
      </c>
      <c r="M197" t="str">
        <f t="shared" si="20"/>
        <v>November</v>
      </c>
      <c r="N197">
        <f t="shared" si="21"/>
        <v>7</v>
      </c>
      <c r="O197">
        <f t="shared" si="22"/>
        <v>9</v>
      </c>
      <c r="P197" s="1">
        <f t="shared" ca="1" si="23"/>
        <v>1302</v>
      </c>
    </row>
    <row r="198" spans="1:16" x14ac:dyDescent="0.3">
      <c r="A198">
        <v>2196</v>
      </c>
      <c r="B198" t="s">
        <v>33</v>
      </c>
      <c r="C198" t="s">
        <v>18</v>
      </c>
      <c r="D198" s="1">
        <v>44677</v>
      </c>
      <c r="E198" s="1">
        <v>44684</v>
      </c>
      <c r="F198" t="s">
        <v>36</v>
      </c>
      <c r="G198">
        <v>2</v>
      </c>
      <c r="H198">
        <v>1758.92</v>
      </c>
      <c r="I198">
        <v>3517.84</v>
      </c>
      <c r="J198" t="s">
        <v>20</v>
      </c>
      <c r="K198">
        <f t="shared" si="18"/>
        <v>2022</v>
      </c>
      <c r="L198">
        <f t="shared" si="19"/>
        <v>4</v>
      </c>
      <c r="M198" t="str">
        <f t="shared" si="20"/>
        <v>April</v>
      </c>
      <c r="N198">
        <f t="shared" si="21"/>
        <v>2</v>
      </c>
      <c r="O198">
        <f t="shared" si="22"/>
        <v>7</v>
      </c>
      <c r="P198" s="1">
        <f t="shared" ca="1" si="23"/>
        <v>1496</v>
      </c>
    </row>
    <row r="199" spans="1:16" x14ac:dyDescent="0.3">
      <c r="A199">
        <v>2197</v>
      </c>
      <c r="B199" t="s">
        <v>40</v>
      </c>
      <c r="C199" t="s">
        <v>11</v>
      </c>
      <c r="D199" s="1">
        <v>45317</v>
      </c>
      <c r="E199" s="1">
        <v>45332</v>
      </c>
      <c r="F199" t="s">
        <v>12</v>
      </c>
      <c r="G199">
        <v>2</v>
      </c>
      <c r="H199">
        <v>3329.93</v>
      </c>
      <c r="I199">
        <v>6659.86</v>
      </c>
      <c r="J199" t="s">
        <v>13</v>
      </c>
      <c r="K199">
        <f t="shared" si="18"/>
        <v>2024</v>
      </c>
      <c r="L199">
        <f t="shared" si="19"/>
        <v>1</v>
      </c>
      <c r="M199" t="str">
        <f t="shared" si="20"/>
        <v>January</v>
      </c>
      <c r="N199">
        <f t="shared" si="21"/>
        <v>5</v>
      </c>
      <c r="O199">
        <f t="shared" si="22"/>
        <v>15</v>
      </c>
      <c r="P199" s="1">
        <f t="shared" ca="1" si="23"/>
        <v>856</v>
      </c>
    </row>
    <row r="200" spans="1:16" x14ac:dyDescent="0.3">
      <c r="A200">
        <v>2198</v>
      </c>
      <c r="B200" t="s">
        <v>42</v>
      </c>
      <c r="C200" t="s">
        <v>18</v>
      </c>
      <c r="D200" s="1">
        <v>45600</v>
      </c>
      <c r="E200" s="1">
        <v>45608</v>
      </c>
      <c r="F200" t="s">
        <v>16</v>
      </c>
      <c r="G200">
        <v>1</v>
      </c>
      <c r="H200">
        <v>2413.75</v>
      </c>
      <c r="I200">
        <v>2413.75</v>
      </c>
      <c r="J200" t="s">
        <v>13</v>
      </c>
      <c r="K200">
        <f t="shared" si="18"/>
        <v>2024</v>
      </c>
      <c r="L200">
        <f t="shared" si="19"/>
        <v>11</v>
      </c>
      <c r="M200" t="str">
        <f t="shared" si="20"/>
        <v>November</v>
      </c>
      <c r="N200">
        <f t="shared" si="21"/>
        <v>1</v>
      </c>
      <c r="O200">
        <f t="shared" si="22"/>
        <v>8</v>
      </c>
      <c r="P200" s="1">
        <f t="shared" ca="1" si="23"/>
        <v>573</v>
      </c>
    </row>
    <row r="201" spans="1:16" x14ac:dyDescent="0.3">
      <c r="A201">
        <v>2199</v>
      </c>
      <c r="B201" t="s">
        <v>47</v>
      </c>
      <c r="C201" t="s">
        <v>18</v>
      </c>
      <c r="D201" s="1">
        <v>45536</v>
      </c>
      <c r="E201" s="1">
        <v>45546</v>
      </c>
      <c r="F201" t="s">
        <v>19</v>
      </c>
      <c r="G201">
        <v>1</v>
      </c>
      <c r="H201">
        <v>2417.46</v>
      </c>
      <c r="I201">
        <v>2417.46</v>
      </c>
      <c r="J201" t="s">
        <v>20</v>
      </c>
      <c r="K201">
        <f t="shared" si="18"/>
        <v>2024</v>
      </c>
      <c r="L201">
        <f t="shared" si="19"/>
        <v>9</v>
      </c>
      <c r="M201" t="str">
        <f t="shared" si="20"/>
        <v>September</v>
      </c>
      <c r="N201">
        <f t="shared" si="21"/>
        <v>7</v>
      </c>
      <c r="O201">
        <f t="shared" si="22"/>
        <v>10</v>
      </c>
      <c r="P201" s="1">
        <f t="shared" ca="1" si="23"/>
        <v>637</v>
      </c>
    </row>
    <row r="202" spans="1:16" x14ac:dyDescent="0.3">
      <c r="A202">
        <v>2200</v>
      </c>
      <c r="B202" t="s">
        <v>48</v>
      </c>
      <c r="C202" t="s">
        <v>11</v>
      </c>
      <c r="D202" s="1">
        <v>45595</v>
      </c>
      <c r="E202" s="1">
        <v>45607</v>
      </c>
      <c r="F202" t="s">
        <v>19</v>
      </c>
      <c r="G202">
        <v>1</v>
      </c>
      <c r="H202">
        <v>1464.4</v>
      </c>
      <c r="I202">
        <v>1464.4</v>
      </c>
      <c r="J202" t="s">
        <v>20</v>
      </c>
      <c r="K202">
        <f t="shared" si="18"/>
        <v>2024</v>
      </c>
      <c r="L202">
        <f t="shared" si="19"/>
        <v>10</v>
      </c>
      <c r="M202" t="str">
        <f t="shared" si="20"/>
        <v>October</v>
      </c>
      <c r="N202">
        <f t="shared" si="21"/>
        <v>3</v>
      </c>
      <c r="O202">
        <f t="shared" si="22"/>
        <v>12</v>
      </c>
      <c r="P202" s="1">
        <f t="shared" ca="1" si="23"/>
        <v>578</v>
      </c>
    </row>
    <row r="203" spans="1:16" x14ac:dyDescent="0.3">
      <c r="A203">
        <v>2201</v>
      </c>
      <c r="B203" t="s">
        <v>38</v>
      </c>
      <c r="C203" t="s">
        <v>18</v>
      </c>
      <c r="D203" s="1">
        <v>45632</v>
      </c>
      <c r="E203" s="1">
        <v>45643</v>
      </c>
      <c r="F203" t="s">
        <v>19</v>
      </c>
      <c r="G203">
        <v>6</v>
      </c>
      <c r="H203">
        <v>2052.4</v>
      </c>
      <c r="I203">
        <v>12314.4</v>
      </c>
      <c r="J203" t="s">
        <v>20</v>
      </c>
      <c r="K203">
        <f t="shared" si="18"/>
        <v>2024</v>
      </c>
      <c r="L203">
        <f t="shared" si="19"/>
        <v>12</v>
      </c>
      <c r="M203" t="str">
        <f t="shared" si="20"/>
        <v>December</v>
      </c>
      <c r="N203">
        <f t="shared" si="21"/>
        <v>5</v>
      </c>
      <c r="O203">
        <f t="shared" si="22"/>
        <v>11</v>
      </c>
      <c r="P203" s="1">
        <f t="shared" ca="1" si="23"/>
        <v>541</v>
      </c>
    </row>
    <row r="204" spans="1:16" x14ac:dyDescent="0.3">
      <c r="A204">
        <v>2202</v>
      </c>
      <c r="B204" t="s">
        <v>34</v>
      </c>
      <c r="C204" t="s">
        <v>25</v>
      </c>
      <c r="D204" s="1">
        <v>45254</v>
      </c>
      <c r="E204" s="1">
        <v>45266</v>
      </c>
      <c r="F204" t="s">
        <v>36</v>
      </c>
      <c r="G204">
        <v>1</v>
      </c>
      <c r="H204">
        <v>4009.37</v>
      </c>
      <c r="I204">
        <v>4009.37</v>
      </c>
      <c r="J204" t="s">
        <v>20</v>
      </c>
      <c r="K204">
        <f t="shared" si="18"/>
        <v>2023</v>
      </c>
      <c r="L204">
        <f t="shared" si="19"/>
        <v>11</v>
      </c>
      <c r="M204" t="str">
        <f t="shared" si="20"/>
        <v>November</v>
      </c>
      <c r="N204">
        <f t="shared" si="21"/>
        <v>5</v>
      </c>
      <c r="O204">
        <f t="shared" si="22"/>
        <v>12</v>
      </c>
      <c r="P204" s="1">
        <f t="shared" ca="1" si="23"/>
        <v>919</v>
      </c>
    </row>
    <row r="205" spans="1:16" x14ac:dyDescent="0.3">
      <c r="A205">
        <v>2203</v>
      </c>
      <c r="B205" t="s">
        <v>49</v>
      </c>
      <c r="C205" t="s">
        <v>31</v>
      </c>
      <c r="D205" s="1">
        <v>44755</v>
      </c>
      <c r="E205" s="1">
        <v>44765</v>
      </c>
      <c r="F205" t="s">
        <v>28</v>
      </c>
      <c r="G205">
        <v>7</v>
      </c>
      <c r="H205">
        <v>1635.49</v>
      </c>
      <c r="I205">
        <v>11448.43</v>
      </c>
      <c r="J205" t="s">
        <v>13</v>
      </c>
      <c r="K205">
        <f t="shared" si="18"/>
        <v>2022</v>
      </c>
      <c r="L205">
        <f t="shared" si="19"/>
        <v>7</v>
      </c>
      <c r="M205" t="str">
        <f t="shared" si="20"/>
        <v>July</v>
      </c>
      <c r="N205">
        <f t="shared" si="21"/>
        <v>3</v>
      </c>
      <c r="O205">
        <f t="shared" si="22"/>
        <v>10</v>
      </c>
      <c r="P205" s="1">
        <f t="shared" ca="1" si="23"/>
        <v>1418</v>
      </c>
    </row>
    <row r="206" spans="1:16" x14ac:dyDescent="0.3">
      <c r="A206">
        <v>2204</v>
      </c>
      <c r="B206" t="s">
        <v>47</v>
      </c>
      <c r="C206" t="s">
        <v>11</v>
      </c>
      <c r="D206" s="1">
        <v>44851</v>
      </c>
      <c r="E206" s="1">
        <v>44858</v>
      </c>
      <c r="F206" t="s">
        <v>12</v>
      </c>
      <c r="G206">
        <v>7</v>
      </c>
      <c r="H206">
        <v>906.07</v>
      </c>
      <c r="I206">
        <v>6342.49</v>
      </c>
      <c r="J206" t="s">
        <v>13</v>
      </c>
      <c r="K206">
        <f t="shared" si="18"/>
        <v>2022</v>
      </c>
      <c r="L206">
        <f t="shared" si="19"/>
        <v>10</v>
      </c>
      <c r="M206" t="str">
        <f t="shared" si="20"/>
        <v>October</v>
      </c>
      <c r="N206">
        <f t="shared" si="21"/>
        <v>1</v>
      </c>
      <c r="O206">
        <f t="shared" si="22"/>
        <v>7</v>
      </c>
      <c r="P206" s="1">
        <f t="shared" ca="1" si="23"/>
        <v>1322</v>
      </c>
    </row>
    <row r="207" spans="1:16" x14ac:dyDescent="0.3">
      <c r="A207">
        <v>2205</v>
      </c>
      <c r="B207" t="s">
        <v>43</v>
      </c>
      <c r="C207" t="s">
        <v>18</v>
      </c>
      <c r="D207" s="1">
        <v>45333</v>
      </c>
      <c r="E207" s="1">
        <v>45345</v>
      </c>
      <c r="F207" t="s">
        <v>32</v>
      </c>
      <c r="G207">
        <v>6</v>
      </c>
      <c r="H207">
        <v>4121.97</v>
      </c>
      <c r="I207">
        <v>24731.82</v>
      </c>
      <c r="J207" t="s">
        <v>13</v>
      </c>
      <c r="K207">
        <f t="shared" si="18"/>
        <v>2024</v>
      </c>
      <c r="L207">
        <f t="shared" si="19"/>
        <v>2</v>
      </c>
      <c r="M207" t="str">
        <f t="shared" si="20"/>
        <v>February</v>
      </c>
      <c r="N207">
        <f t="shared" si="21"/>
        <v>7</v>
      </c>
      <c r="O207">
        <f t="shared" si="22"/>
        <v>12</v>
      </c>
      <c r="P207" s="1">
        <f t="shared" ca="1" si="23"/>
        <v>840</v>
      </c>
    </row>
    <row r="208" spans="1:16" x14ac:dyDescent="0.3">
      <c r="A208">
        <v>2206</v>
      </c>
      <c r="B208" t="s">
        <v>10</v>
      </c>
      <c r="C208" t="s">
        <v>15</v>
      </c>
      <c r="D208" s="1">
        <v>45429</v>
      </c>
      <c r="E208" s="1">
        <v>45439</v>
      </c>
      <c r="F208" t="s">
        <v>12</v>
      </c>
      <c r="G208">
        <v>1</v>
      </c>
      <c r="H208">
        <v>2004.21</v>
      </c>
      <c r="I208">
        <v>2004.21</v>
      </c>
      <c r="J208" t="s">
        <v>13</v>
      </c>
      <c r="K208">
        <f t="shared" si="18"/>
        <v>2024</v>
      </c>
      <c r="L208">
        <f t="shared" si="19"/>
        <v>5</v>
      </c>
      <c r="M208" t="str">
        <f t="shared" si="20"/>
        <v>May</v>
      </c>
      <c r="N208">
        <f t="shared" si="21"/>
        <v>5</v>
      </c>
      <c r="O208">
        <f t="shared" si="22"/>
        <v>10</v>
      </c>
      <c r="P208" s="1">
        <f t="shared" ca="1" si="23"/>
        <v>744</v>
      </c>
    </row>
    <row r="209" spans="1:16" x14ac:dyDescent="0.3">
      <c r="A209">
        <v>2207</v>
      </c>
      <c r="B209" t="s">
        <v>29</v>
      </c>
      <c r="C209" t="s">
        <v>31</v>
      </c>
      <c r="D209" s="1">
        <v>45557</v>
      </c>
      <c r="E209" s="1">
        <v>45562</v>
      </c>
      <c r="F209" t="s">
        <v>19</v>
      </c>
      <c r="G209">
        <v>3</v>
      </c>
      <c r="H209">
        <v>1028.24</v>
      </c>
      <c r="I209">
        <v>3084.72</v>
      </c>
      <c r="J209" t="s">
        <v>20</v>
      </c>
      <c r="K209">
        <f t="shared" si="18"/>
        <v>2024</v>
      </c>
      <c r="L209">
        <f t="shared" si="19"/>
        <v>9</v>
      </c>
      <c r="M209" t="str">
        <f t="shared" si="20"/>
        <v>September</v>
      </c>
      <c r="N209">
        <f t="shared" si="21"/>
        <v>7</v>
      </c>
      <c r="O209">
        <f t="shared" si="22"/>
        <v>5</v>
      </c>
      <c r="P209" s="1">
        <f t="shared" ca="1" si="23"/>
        <v>616</v>
      </c>
    </row>
    <row r="210" spans="1:16" x14ac:dyDescent="0.3">
      <c r="A210">
        <v>2208</v>
      </c>
      <c r="B210" t="s">
        <v>23</v>
      </c>
      <c r="C210" t="s">
        <v>18</v>
      </c>
      <c r="D210" s="1">
        <v>45640</v>
      </c>
      <c r="E210" s="1">
        <v>45642</v>
      </c>
      <c r="F210" t="s">
        <v>28</v>
      </c>
      <c r="G210">
        <v>6</v>
      </c>
      <c r="H210">
        <v>4419.05</v>
      </c>
      <c r="I210">
        <v>26514.3</v>
      </c>
      <c r="J210" t="s">
        <v>13</v>
      </c>
      <c r="K210">
        <f t="shared" si="18"/>
        <v>2024</v>
      </c>
      <c r="L210">
        <f t="shared" si="19"/>
        <v>12</v>
      </c>
      <c r="M210" t="str">
        <f t="shared" si="20"/>
        <v>December</v>
      </c>
      <c r="N210">
        <f t="shared" si="21"/>
        <v>6</v>
      </c>
      <c r="O210">
        <f t="shared" si="22"/>
        <v>2</v>
      </c>
      <c r="P210" s="1">
        <f t="shared" ca="1" si="23"/>
        <v>533</v>
      </c>
    </row>
    <row r="211" spans="1:16" x14ac:dyDescent="0.3">
      <c r="A211">
        <v>2209</v>
      </c>
      <c r="B211" t="s">
        <v>42</v>
      </c>
      <c r="C211" t="s">
        <v>25</v>
      </c>
      <c r="D211" s="1">
        <v>44877</v>
      </c>
      <c r="E211" s="1">
        <v>44881</v>
      </c>
      <c r="F211" t="s">
        <v>19</v>
      </c>
      <c r="G211">
        <v>3</v>
      </c>
      <c r="H211">
        <v>3689.56</v>
      </c>
      <c r="I211">
        <v>11068.68</v>
      </c>
      <c r="J211" t="s">
        <v>13</v>
      </c>
      <c r="K211">
        <f t="shared" si="18"/>
        <v>2022</v>
      </c>
      <c r="L211">
        <f t="shared" si="19"/>
        <v>11</v>
      </c>
      <c r="M211" t="str">
        <f t="shared" si="20"/>
        <v>November</v>
      </c>
      <c r="N211">
        <f t="shared" si="21"/>
        <v>6</v>
      </c>
      <c r="O211">
        <f t="shared" si="22"/>
        <v>4</v>
      </c>
      <c r="P211" s="1">
        <f t="shared" ca="1" si="23"/>
        <v>1296</v>
      </c>
    </row>
    <row r="212" spans="1:16" x14ac:dyDescent="0.3">
      <c r="A212">
        <v>2210</v>
      </c>
      <c r="B212" t="s">
        <v>39</v>
      </c>
      <c r="C212" t="s">
        <v>31</v>
      </c>
      <c r="D212" s="1">
        <v>45048</v>
      </c>
      <c r="E212" s="1">
        <v>45057</v>
      </c>
      <c r="F212" t="s">
        <v>36</v>
      </c>
      <c r="G212">
        <v>5</v>
      </c>
      <c r="H212">
        <v>3836.24</v>
      </c>
      <c r="I212">
        <v>19181.2</v>
      </c>
      <c r="J212" t="s">
        <v>20</v>
      </c>
      <c r="K212">
        <f t="shared" si="18"/>
        <v>2023</v>
      </c>
      <c r="L212">
        <f t="shared" si="19"/>
        <v>5</v>
      </c>
      <c r="M212" t="str">
        <f t="shared" si="20"/>
        <v>May</v>
      </c>
      <c r="N212">
        <f t="shared" si="21"/>
        <v>2</v>
      </c>
      <c r="O212">
        <f t="shared" si="22"/>
        <v>9</v>
      </c>
      <c r="P212" s="1">
        <f t="shared" ca="1" si="23"/>
        <v>1125</v>
      </c>
    </row>
    <row r="213" spans="1:16" x14ac:dyDescent="0.3">
      <c r="A213">
        <v>2211</v>
      </c>
      <c r="B213" t="s">
        <v>17</v>
      </c>
      <c r="C213" t="s">
        <v>18</v>
      </c>
      <c r="D213" s="1">
        <v>45051</v>
      </c>
      <c r="E213" s="1">
        <v>45057</v>
      </c>
      <c r="F213" t="s">
        <v>32</v>
      </c>
      <c r="G213">
        <v>8</v>
      </c>
      <c r="H213">
        <v>4548.68</v>
      </c>
      <c r="I213">
        <v>36389.440000000002</v>
      </c>
      <c r="J213" t="s">
        <v>13</v>
      </c>
      <c r="K213">
        <f t="shared" si="18"/>
        <v>2023</v>
      </c>
      <c r="L213">
        <f t="shared" si="19"/>
        <v>5</v>
      </c>
      <c r="M213" t="str">
        <f t="shared" si="20"/>
        <v>May</v>
      </c>
      <c r="N213">
        <f t="shared" si="21"/>
        <v>5</v>
      </c>
      <c r="O213">
        <f t="shared" si="22"/>
        <v>6</v>
      </c>
      <c r="P213" s="1">
        <f t="shared" ca="1" si="23"/>
        <v>1122</v>
      </c>
    </row>
    <row r="214" spans="1:16" x14ac:dyDescent="0.3">
      <c r="A214">
        <v>2212</v>
      </c>
      <c r="B214" t="s">
        <v>46</v>
      </c>
      <c r="C214" t="s">
        <v>15</v>
      </c>
      <c r="D214" s="1">
        <v>45464</v>
      </c>
      <c r="E214" s="1">
        <v>45473</v>
      </c>
      <c r="F214" t="s">
        <v>32</v>
      </c>
      <c r="G214">
        <v>5</v>
      </c>
      <c r="H214">
        <v>3957.18</v>
      </c>
      <c r="I214">
        <v>19785.900000000001</v>
      </c>
      <c r="J214" t="s">
        <v>20</v>
      </c>
      <c r="K214">
        <f t="shared" si="18"/>
        <v>2024</v>
      </c>
      <c r="L214">
        <f t="shared" si="19"/>
        <v>6</v>
      </c>
      <c r="M214" t="str">
        <f t="shared" si="20"/>
        <v>June</v>
      </c>
      <c r="N214">
        <f t="shared" si="21"/>
        <v>5</v>
      </c>
      <c r="O214">
        <f t="shared" si="22"/>
        <v>9</v>
      </c>
      <c r="P214" s="1">
        <f t="shared" ca="1" si="23"/>
        <v>709</v>
      </c>
    </row>
    <row r="215" spans="1:16" x14ac:dyDescent="0.3">
      <c r="A215">
        <v>2213</v>
      </c>
      <c r="B215" t="s">
        <v>45</v>
      </c>
      <c r="C215" t="s">
        <v>22</v>
      </c>
      <c r="D215" s="1">
        <v>44845</v>
      </c>
      <c r="E215" s="1">
        <v>44860</v>
      </c>
      <c r="F215" t="s">
        <v>12</v>
      </c>
      <c r="G215">
        <v>1</v>
      </c>
      <c r="H215">
        <v>3313.54</v>
      </c>
      <c r="I215">
        <v>3313.54</v>
      </c>
      <c r="J215" t="s">
        <v>20</v>
      </c>
      <c r="K215">
        <f t="shared" si="18"/>
        <v>2022</v>
      </c>
      <c r="L215">
        <f t="shared" si="19"/>
        <v>10</v>
      </c>
      <c r="M215" t="str">
        <f t="shared" si="20"/>
        <v>October</v>
      </c>
      <c r="N215">
        <f t="shared" si="21"/>
        <v>2</v>
      </c>
      <c r="O215">
        <f t="shared" si="22"/>
        <v>15</v>
      </c>
      <c r="P215" s="1">
        <f t="shared" ca="1" si="23"/>
        <v>1328</v>
      </c>
    </row>
    <row r="216" spans="1:16" x14ac:dyDescent="0.3">
      <c r="A216">
        <v>2214</v>
      </c>
      <c r="B216" t="s">
        <v>30</v>
      </c>
      <c r="C216" t="s">
        <v>11</v>
      </c>
      <c r="D216" s="1">
        <v>45618</v>
      </c>
      <c r="E216" s="1">
        <v>45633</v>
      </c>
      <c r="F216" t="s">
        <v>26</v>
      </c>
      <c r="G216">
        <v>5</v>
      </c>
      <c r="H216">
        <v>694.21</v>
      </c>
      <c r="I216">
        <v>3471.05</v>
      </c>
      <c r="J216" t="s">
        <v>13</v>
      </c>
      <c r="K216">
        <f t="shared" si="18"/>
        <v>2024</v>
      </c>
      <c r="L216">
        <f t="shared" si="19"/>
        <v>11</v>
      </c>
      <c r="M216" t="str">
        <f t="shared" si="20"/>
        <v>November</v>
      </c>
      <c r="N216">
        <f t="shared" si="21"/>
        <v>5</v>
      </c>
      <c r="O216">
        <f t="shared" si="22"/>
        <v>15</v>
      </c>
      <c r="P216" s="1">
        <f t="shared" ca="1" si="23"/>
        <v>555</v>
      </c>
    </row>
    <row r="217" spans="1:16" x14ac:dyDescent="0.3">
      <c r="A217">
        <v>2215</v>
      </c>
      <c r="B217" t="s">
        <v>33</v>
      </c>
      <c r="C217" t="s">
        <v>25</v>
      </c>
      <c r="D217" s="1">
        <v>45613</v>
      </c>
      <c r="E217" s="1">
        <v>45617</v>
      </c>
      <c r="F217" t="s">
        <v>32</v>
      </c>
      <c r="G217">
        <v>7</v>
      </c>
      <c r="H217">
        <v>731.05</v>
      </c>
      <c r="I217">
        <v>5117.3500000000004</v>
      </c>
      <c r="J217" t="s">
        <v>13</v>
      </c>
      <c r="K217">
        <f t="shared" si="18"/>
        <v>2024</v>
      </c>
      <c r="L217">
        <f t="shared" si="19"/>
        <v>11</v>
      </c>
      <c r="M217" t="str">
        <f t="shared" si="20"/>
        <v>November</v>
      </c>
      <c r="N217">
        <f t="shared" si="21"/>
        <v>7</v>
      </c>
      <c r="O217">
        <f t="shared" si="22"/>
        <v>4</v>
      </c>
      <c r="P217" s="1">
        <f t="shared" ca="1" si="23"/>
        <v>560</v>
      </c>
    </row>
    <row r="218" spans="1:16" x14ac:dyDescent="0.3">
      <c r="A218">
        <v>2216</v>
      </c>
      <c r="B218" t="s">
        <v>38</v>
      </c>
      <c r="C218" t="s">
        <v>31</v>
      </c>
      <c r="D218" s="1">
        <v>44616</v>
      </c>
      <c r="E218" s="1">
        <v>44624</v>
      </c>
      <c r="F218" t="s">
        <v>26</v>
      </c>
      <c r="G218">
        <v>7</v>
      </c>
      <c r="H218">
        <v>2659.43</v>
      </c>
      <c r="I218">
        <v>18616.009999999998</v>
      </c>
      <c r="J218" t="s">
        <v>13</v>
      </c>
      <c r="K218">
        <f t="shared" si="18"/>
        <v>2022</v>
      </c>
      <c r="L218">
        <f t="shared" si="19"/>
        <v>2</v>
      </c>
      <c r="M218" t="str">
        <f t="shared" si="20"/>
        <v>February</v>
      </c>
      <c r="N218">
        <f t="shared" si="21"/>
        <v>4</v>
      </c>
      <c r="O218">
        <f t="shared" si="22"/>
        <v>8</v>
      </c>
      <c r="P218" s="1">
        <f t="shared" ca="1" si="23"/>
        <v>1557</v>
      </c>
    </row>
    <row r="219" spans="1:16" x14ac:dyDescent="0.3">
      <c r="A219">
        <v>2217</v>
      </c>
      <c r="B219" t="s">
        <v>34</v>
      </c>
      <c r="C219" t="s">
        <v>11</v>
      </c>
      <c r="D219" s="1">
        <v>45329</v>
      </c>
      <c r="E219" s="1">
        <v>45334</v>
      </c>
      <c r="F219" t="s">
        <v>26</v>
      </c>
      <c r="G219">
        <v>6</v>
      </c>
      <c r="H219">
        <v>4674.88</v>
      </c>
      <c r="I219">
        <v>28049.279999999999</v>
      </c>
      <c r="J219" t="s">
        <v>20</v>
      </c>
      <c r="K219">
        <f t="shared" si="18"/>
        <v>2024</v>
      </c>
      <c r="L219">
        <f t="shared" si="19"/>
        <v>2</v>
      </c>
      <c r="M219" t="str">
        <f t="shared" si="20"/>
        <v>February</v>
      </c>
      <c r="N219">
        <f t="shared" si="21"/>
        <v>3</v>
      </c>
      <c r="O219">
        <f t="shared" si="22"/>
        <v>5</v>
      </c>
      <c r="P219" s="1">
        <f t="shared" ca="1" si="23"/>
        <v>844</v>
      </c>
    </row>
    <row r="220" spans="1:16" x14ac:dyDescent="0.3">
      <c r="A220">
        <v>2218</v>
      </c>
      <c r="B220" t="s">
        <v>37</v>
      </c>
      <c r="C220" t="s">
        <v>22</v>
      </c>
      <c r="D220" s="1">
        <v>44640</v>
      </c>
      <c r="E220" s="1">
        <v>44646</v>
      </c>
      <c r="F220" t="s">
        <v>32</v>
      </c>
      <c r="G220">
        <v>8</v>
      </c>
      <c r="H220">
        <v>3571.54</v>
      </c>
      <c r="I220">
        <v>28572.32</v>
      </c>
      <c r="J220" t="s">
        <v>13</v>
      </c>
      <c r="K220">
        <f t="shared" si="18"/>
        <v>2022</v>
      </c>
      <c r="L220">
        <f t="shared" si="19"/>
        <v>3</v>
      </c>
      <c r="M220" t="str">
        <f t="shared" si="20"/>
        <v>March</v>
      </c>
      <c r="N220">
        <f t="shared" si="21"/>
        <v>7</v>
      </c>
      <c r="O220">
        <f t="shared" si="22"/>
        <v>6</v>
      </c>
      <c r="P220" s="1">
        <f t="shared" ca="1" si="23"/>
        <v>1533</v>
      </c>
    </row>
    <row r="221" spans="1:16" x14ac:dyDescent="0.3">
      <c r="A221">
        <v>2219</v>
      </c>
      <c r="B221" t="s">
        <v>44</v>
      </c>
      <c r="C221" t="s">
        <v>15</v>
      </c>
      <c r="D221" s="1">
        <v>45522</v>
      </c>
      <c r="E221" s="1">
        <v>45531</v>
      </c>
      <c r="F221" t="s">
        <v>36</v>
      </c>
      <c r="G221">
        <v>1</v>
      </c>
      <c r="H221">
        <v>4557.53</v>
      </c>
      <c r="I221">
        <v>4557.53</v>
      </c>
      <c r="J221" t="s">
        <v>13</v>
      </c>
      <c r="K221">
        <f t="shared" si="18"/>
        <v>2024</v>
      </c>
      <c r="L221">
        <f t="shared" si="19"/>
        <v>8</v>
      </c>
      <c r="M221" t="str">
        <f t="shared" si="20"/>
        <v>August</v>
      </c>
      <c r="N221">
        <f t="shared" si="21"/>
        <v>7</v>
      </c>
      <c r="O221">
        <f t="shared" si="22"/>
        <v>9</v>
      </c>
      <c r="P221" s="1">
        <f t="shared" ca="1" si="23"/>
        <v>651</v>
      </c>
    </row>
    <row r="222" spans="1:16" x14ac:dyDescent="0.3">
      <c r="A222">
        <v>2220</v>
      </c>
      <c r="B222" t="s">
        <v>33</v>
      </c>
      <c r="C222" t="s">
        <v>22</v>
      </c>
      <c r="D222" s="1">
        <v>44868</v>
      </c>
      <c r="E222" s="1">
        <v>44878</v>
      </c>
      <c r="F222" t="s">
        <v>28</v>
      </c>
      <c r="G222">
        <v>7</v>
      </c>
      <c r="H222">
        <v>822.58</v>
      </c>
      <c r="I222">
        <v>5758.06</v>
      </c>
      <c r="J222" t="s">
        <v>20</v>
      </c>
      <c r="K222">
        <f t="shared" si="18"/>
        <v>2022</v>
      </c>
      <c r="L222">
        <f t="shared" si="19"/>
        <v>11</v>
      </c>
      <c r="M222" t="str">
        <f t="shared" si="20"/>
        <v>November</v>
      </c>
      <c r="N222">
        <f t="shared" si="21"/>
        <v>4</v>
      </c>
      <c r="O222">
        <f t="shared" si="22"/>
        <v>10</v>
      </c>
      <c r="P222" s="1">
        <f t="shared" ca="1" si="23"/>
        <v>1305</v>
      </c>
    </row>
    <row r="223" spans="1:16" x14ac:dyDescent="0.3">
      <c r="A223">
        <v>2221</v>
      </c>
      <c r="B223" t="s">
        <v>17</v>
      </c>
      <c r="C223" t="s">
        <v>31</v>
      </c>
      <c r="D223" s="1">
        <v>44811</v>
      </c>
      <c r="E223" s="1">
        <v>44813</v>
      </c>
      <c r="F223" t="s">
        <v>19</v>
      </c>
      <c r="G223">
        <v>7</v>
      </c>
      <c r="H223">
        <v>3303.07</v>
      </c>
      <c r="I223">
        <v>23121.49</v>
      </c>
      <c r="J223" t="s">
        <v>20</v>
      </c>
      <c r="K223">
        <f t="shared" si="18"/>
        <v>2022</v>
      </c>
      <c r="L223">
        <f t="shared" si="19"/>
        <v>9</v>
      </c>
      <c r="M223" t="str">
        <f t="shared" si="20"/>
        <v>September</v>
      </c>
      <c r="N223">
        <f t="shared" si="21"/>
        <v>3</v>
      </c>
      <c r="O223">
        <f t="shared" si="22"/>
        <v>2</v>
      </c>
      <c r="P223" s="1">
        <f t="shared" ca="1" si="23"/>
        <v>1362</v>
      </c>
    </row>
    <row r="224" spans="1:16" x14ac:dyDescent="0.3">
      <c r="A224">
        <v>2222</v>
      </c>
      <c r="B224" t="s">
        <v>49</v>
      </c>
      <c r="C224" t="s">
        <v>11</v>
      </c>
      <c r="D224" s="1">
        <v>45585</v>
      </c>
      <c r="E224" s="1">
        <v>45596</v>
      </c>
      <c r="F224" t="s">
        <v>36</v>
      </c>
      <c r="G224">
        <v>1</v>
      </c>
      <c r="H224">
        <v>3270.19</v>
      </c>
      <c r="I224">
        <v>3270.19</v>
      </c>
      <c r="J224" t="s">
        <v>13</v>
      </c>
      <c r="K224">
        <f t="shared" si="18"/>
        <v>2024</v>
      </c>
      <c r="L224">
        <f t="shared" si="19"/>
        <v>10</v>
      </c>
      <c r="M224" t="str">
        <f t="shared" si="20"/>
        <v>October</v>
      </c>
      <c r="N224">
        <f t="shared" si="21"/>
        <v>7</v>
      </c>
      <c r="O224">
        <f t="shared" si="22"/>
        <v>11</v>
      </c>
      <c r="P224" s="1">
        <f t="shared" ca="1" si="23"/>
        <v>588</v>
      </c>
    </row>
    <row r="225" spans="1:16" x14ac:dyDescent="0.3">
      <c r="A225">
        <v>2223</v>
      </c>
      <c r="B225" t="s">
        <v>48</v>
      </c>
      <c r="C225" t="s">
        <v>22</v>
      </c>
      <c r="D225" s="1">
        <v>45158</v>
      </c>
      <c r="E225" s="1">
        <v>45166</v>
      </c>
      <c r="F225" t="s">
        <v>26</v>
      </c>
      <c r="G225">
        <v>6</v>
      </c>
      <c r="H225">
        <v>1430.65</v>
      </c>
      <c r="I225">
        <v>8583.9</v>
      </c>
      <c r="J225" t="s">
        <v>20</v>
      </c>
      <c r="K225">
        <f t="shared" si="18"/>
        <v>2023</v>
      </c>
      <c r="L225">
        <f t="shared" si="19"/>
        <v>8</v>
      </c>
      <c r="M225" t="str">
        <f t="shared" si="20"/>
        <v>August</v>
      </c>
      <c r="N225">
        <f t="shared" si="21"/>
        <v>7</v>
      </c>
      <c r="O225">
        <f t="shared" si="22"/>
        <v>8</v>
      </c>
      <c r="P225" s="1">
        <f t="shared" ca="1" si="23"/>
        <v>1015</v>
      </c>
    </row>
    <row r="226" spans="1:16" x14ac:dyDescent="0.3">
      <c r="A226">
        <v>2224</v>
      </c>
      <c r="B226" t="s">
        <v>45</v>
      </c>
      <c r="C226" t="s">
        <v>15</v>
      </c>
      <c r="D226" s="1">
        <v>44737</v>
      </c>
      <c r="E226" s="1">
        <v>44747</v>
      </c>
      <c r="F226" t="s">
        <v>12</v>
      </c>
      <c r="G226">
        <v>2</v>
      </c>
      <c r="H226">
        <v>4781</v>
      </c>
      <c r="I226">
        <v>9562</v>
      </c>
      <c r="J226" t="s">
        <v>13</v>
      </c>
      <c r="K226">
        <f t="shared" si="18"/>
        <v>2022</v>
      </c>
      <c r="L226">
        <f t="shared" si="19"/>
        <v>6</v>
      </c>
      <c r="M226" t="str">
        <f t="shared" si="20"/>
        <v>June</v>
      </c>
      <c r="N226">
        <f t="shared" si="21"/>
        <v>6</v>
      </c>
      <c r="O226">
        <f t="shared" si="22"/>
        <v>10</v>
      </c>
      <c r="P226" s="1">
        <f t="shared" ca="1" si="23"/>
        <v>1436</v>
      </c>
    </row>
    <row r="227" spans="1:16" x14ac:dyDescent="0.3">
      <c r="A227">
        <v>2225</v>
      </c>
      <c r="B227" t="s">
        <v>34</v>
      </c>
      <c r="C227" t="s">
        <v>25</v>
      </c>
      <c r="D227" s="1">
        <v>44651</v>
      </c>
      <c r="E227" s="1">
        <v>44663</v>
      </c>
      <c r="F227" t="s">
        <v>16</v>
      </c>
      <c r="G227">
        <v>6</v>
      </c>
      <c r="H227">
        <v>1492.16</v>
      </c>
      <c r="I227">
        <v>8952.9599999999991</v>
      </c>
      <c r="J227" t="s">
        <v>13</v>
      </c>
      <c r="K227">
        <f t="shared" si="18"/>
        <v>2022</v>
      </c>
      <c r="L227">
        <f t="shared" si="19"/>
        <v>3</v>
      </c>
      <c r="M227" t="str">
        <f t="shared" si="20"/>
        <v>March</v>
      </c>
      <c r="N227">
        <f t="shared" si="21"/>
        <v>4</v>
      </c>
      <c r="O227">
        <f t="shared" si="22"/>
        <v>12</v>
      </c>
      <c r="P227" s="1">
        <f t="shared" ca="1" si="23"/>
        <v>1522</v>
      </c>
    </row>
    <row r="228" spans="1:16" x14ac:dyDescent="0.3">
      <c r="A228">
        <v>2226</v>
      </c>
      <c r="B228" t="s">
        <v>46</v>
      </c>
      <c r="C228" t="s">
        <v>11</v>
      </c>
      <c r="D228" s="1">
        <v>45268</v>
      </c>
      <c r="E228" s="1">
        <v>45273</v>
      </c>
      <c r="F228" t="s">
        <v>28</v>
      </c>
      <c r="G228">
        <v>2</v>
      </c>
      <c r="H228">
        <v>3926.06</v>
      </c>
      <c r="I228">
        <v>7852.12</v>
      </c>
      <c r="J228" t="s">
        <v>20</v>
      </c>
      <c r="K228">
        <f t="shared" si="18"/>
        <v>2023</v>
      </c>
      <c r="L228">
        <f t="shared" si="19"/>
        <v>12</v>
      </c>
      <c r="M228" t="str">
        <f t="shared" si="20"/>
        <v>December</v>
      </c>
      <c r="N228">
        <f t="shared" si="21"/>
        <v>5</v>
      </c>
      <c r="O228">
        <f t="shared" si="22"/>
        <v>5</v>
      </c>
      <c r="P228" s="1">
        <f t="shared" ca="1" si="23"/>
        <v>905</v>
      </c>
    </row>
    <row r="229" spans="1:16" x14ac:dyDescent="0.3">
      <c r="A229">
        <v>2227</v>
      </c>
      <c r="B229" t="s">
        <v>37</v>
      </c>
      <c r="C229" t="s">
        <v>11</v>
      </c>
      <c r="D229" s="1">
        <v>45283</v>
      </c>
      <c r="E229" s="1">
        <v>45293</v>
      </c>
      <c r="F229" t="s">
        <v>12</v>
      </c>
      <c r="G229">
        <v>3</v>
      </c>
      <c r="H229">
        <v>4202.8</v>
      </c>
      <c r="I229">
        <v>12608.4</v>
      </c>
      <c r="J229" t="s">
        <v>20</v>
      </c>
      <c r="K229">
        <f t="shared" si="18"/>
        <v>2023</v>
      </c>
      <c r="L229">
        <f t="shared" si="19"/>
        <v>12</v>
      </c>
      <c r="M229" t="str">
        <f t="shared" si="20"/>
        <v>December</v>
      </c>
      <c r="N229">
        <f t="shared" si="21"/>
        <v>6</v>
      </c>
      <c r="O229">
        <f t="shared" si="22"/>
        <v>10</v>
      </c>
      <c r="P229" s="1">
        <f t="shared" ca="1" si="23"/>
        <v>890</v>
      </c>
    </row>
    <row r="230" spans="1:16" x14ac:dyDescent="0.3">
      <c r="A230">
        <v>2228</v>
      </c>
      <c r="B230" t="s">
        <v>48</v>
      </c>
      <c r="C230" t="s">
        <v>25</v>
      </c>
      <c r="D230" s="1">
        <v>44935</v>
      </c>
      <c r="E230" s="1">
        <v>44949</v>
      </c>
      <c r="F230" t="s">
        <v>19</v>
      </c>
      <c r="G230">
        <v>2</v>
      </c>
      <c r="H230">
        <v>3665.41</v>
      </c>
      <c r="I230">
        <v>7330.82</v>
      </c>
      <c r="J230" t="s">
        <v>20</v>
      </c>
      <c r="K230">
        <f t="shared" si="18"/>
        <v>2023</v>
      </c>
      <c r="L230">
        <f t="shared" si="19"/>
        <v>1</v>
      </c>
      <c r="M230" t="str">
        <f t="shared" si="20"/>
        <v>January</v>
      </c>
      <c r="N230">
        <f t="shared" si="21"/>
        <v>1</v>
      </c>
      <c r="O230">
        <f t="shared" si="22"/>
        <v>14</v>
      </c>
      <c r="P230" s="1">
        <f t="shared" ca="1" si="23"/>
        <v>1238</v>
      </c>
    </row>
    <row r="231" spans="1:16" x14ac:dyDescent="0.3">
      <c r="A231">
        <v>2229</v>
      </c>
      <c r="B231" t="s">
        <v>40</v>
      </c>
      <c r="C231" t="s">
        <v>31</v>
      </c>
      <c r="D231" s="1">
        <v>44974</v>
      </c>
      <c r="E231" s="1">
        <v>44976</v>
      </c>
      <c r="F231" t="s">
        <v>32</v>
      </c>
      <c r="G231">
        <v>4</v>
      </c>
      <c r="H231">
        <v>4463.21</v>
      </c>
      <c r="I231">
        <v>17852.84</v>
      </c>
      <c r="J231" t="s">
        <v>20</v>
      </c>
      <c r="K231">
        <f t="shared" si="18"/>
        <v>2023</v>
      </c>
      <c r="L231">
        <f t="shared" si="19"/>
        <v>2</v>
      </c>
      <c r="M231" t="str">
        <f t="shared" si="20"/>
        <v>February</v>
      </c>
      <c r="N231">
        <f t="shared" si="21"/>
        <v>5</v>
      </c>
      <c r="O231">
        <f t="shared" si="22"/>
        <v>2</v>
      </c>
      <c r="P231" s="1">
        <f t="shared" ca="1" si="23"/>
        <v>1199</v>
      </c>
    </row>
    <row r="232" spans="1:16" x14ac:dyDescent="0.3">
      <c r="A232">
        <v>2230</v>
      </c>
      <c r="B232" t="s">
        <v>43</v>
      </c>
      <c r="C232" t="s">
        <v>18</v>
      </c>
      <c r="D232" s="1">
        <v>45377</v>
      </c>
      <c r="E232" s="1">
        <v>45392</v>
      </c>
      <c r="F232" t="s">
        <v>36</v>
      </c>
      <c r="G232">
        <v>8</v>
      </c>
      <c r="H232">
        <v>1490.57</v>
      </c>
      <c r="I232">
        <v>11924.56</v>
      </c>
      <c r="J232" t="s">
        <v>13</v>
      </c>
      <c r="K232">
        <f t="shared" si="18"/>
        <v>2024</v>
      </c>
      <c r="L232">
        <f t="shared" si="19"/>
        <v>3</v>
      </c>
      <c r="M232" t="str">
        <f t="shared" si="20"/>
        <v>March</v>
      </c>
      <c r="N232">
        <f t="shared" si="21"/>
        <v>2</v>
      </c>
      <c r="O232">
        <f t="shared" si="22"/>
        <v>15</v>
      </c>
      <c r="P232" s="1">
        <f t="shared" ca="1" si="23"/>
        <v>796</v>
      </c>
    </row>
    <row r="233" spans="1:16" x14ac:dyDescent="0.3">
      <c r="A233">
        <v>2231</v>
      </c>
      <c r="B233" t="s">
        <v>43</v>
      </c>
      <c r="C233" t="s">
        <v>31</v>
      </c>
      <c r="D233" s="1">
        <v>44659</v>
      </c>
      <c r="E233" s="1">
        <v>44674</v>
      </c>
      <c r="F233" t="s">
        <v>28</v>
      </c>
      <c r="G233">
        <v>6</v>
      </c>
      <c r="H233">
        <v>1584.12</v>
      </c>
      <c r="I233">
        <v>9504.7199999999993</v>
      </c>
      <c r="J233" t="s">
        <v>20</v>
      </c>
      <c r="K233">
        <f t="shared" si="18"/>
        <v>2022</v>
      </c>
      <c r="L233">
        <f t="shared" si="19"/>
        <v>4</v>
      </c>
      <c r="M233" t="str">
        <f t="shared" si="20"/>
        <v>April</v>
      </c>
      <c r="N233">
        <f t="shared" si="21"/>
        <v>5</v>
      </c>
      <c r="O233">
        <f t="shared" si="22"/>
        <v>15</v>
      </c>
      <c r="P233" s="1">
        <f t="shared" ca="1" si="23"/>
        <v>1514</v>
      </c>
    </row>
    <row r="234" spans="1:16" x14ac:dyDescent="0.3">
      <c r="A234">
        <v>2232</v>
      </c>
      <c r="B234" t="s">
        <v>39</v>
      </c>
      <c r="C234" t="s">
        <v>25</v>
      </c>
      <c r="D234" s="1">
        <v>45462</v>
      </c>
      <c r="E234" s="1">
        <v>45470</v>
      </c>
      <c r="F234" t="s">
        <v>12</v>
      </c>
      <c r="G234">
        <v>3</v>
      </c>
      <c r="H234">
        <v>2632.16</v>
      </c>
      <c r="I234">
        <v>7896.48</v>
      </c>
      <c r="J234" t="s">
        <v>20</v>
      </c>
      <c r="K234">
        <f t="shared" si="18"/>
        <v>2024</v>
      </c>
      <c r="L234">
        <f t="shared" si="19"/>
        <v>6</v>
      </c>
      <c r="M234" t="str">
        <f t="shared" si="20"/>
        <v>June</v>
      </c>
      <c r="N234">
        <f t="shared" si="21"/>
        <v>3</v>
      </c>
      <c r="O234">
        <f t="shared" si="22"/>
        <v>8</v>
      </c>
      <c r="P234" s="1">
        <f t="shared" ca="1" si="23"/>
        <v>711</v>
      </c>
    </row>
    <row r="235" spans="1:16" x14ac:dyDescent="0.3">
      <c r="A235">
        <v>2233</v>
      </c>
      <c r="B235" t="s">
        <v>46</v>
      </c>
      <c r="C235" t="s">
        <v>18</v>
      </c>
      <c r="D235" s="1">
        <v>45108</v>
      </c>
      <c r="E235" s="1">
        <v>45122</v>
      </c>
      <c r="F235" t="s">
        <v>26</v>
      </c>
      <c r="G235">
        <v>7</v>
      </c>
      <c r="H235">
        <v>670.96</v>
      </c>
      <c r="I235">
        <v>4696.72</v>
      </c>
      <c r="J235" t="s">
        <v>13</v>
      </c>
      <c r="K235">
        <f t="shared" si="18"/>
        <v>2023</v>
      </c>
      <c r="L235">
        <f t="shared" si="19"/>
        <v>7</v>
      </c>
      <c r="M235" t="str">
        <f t="shared" si="20"/>
        <v>July</v>
      </c>
      <c r="N235">
        <f t="shared" si="21"/>
        <v>6</v>
      </c>
      <c r="O235">
        <f t="shared" si="22"/>
        <v>14</v>
      </c>
      <c r="P235" s="1">
        <f t="shared" ca="1" si="23"/>
        <v>1065</v>
      </c>
    </row>
    <row r="236" spans="1:16" x14ac:dyDescent="0.3">
      <c r="A236">
        <v>2234</v>
      </c>
      <c r="B236" t="s">
        <v>30</v>
      </c>
      <c r="C236" t="s">
        <v>31</v>
      </c>
      <c r="D236" s="1">
        <v>45219</v>
      </c>
      <c r="E236" s="1">
        <v>45222</v>
      </c>
      <c r="F236" t="s">
        <v>26</v>
      </c>
      <c r="G236">
        <v>6</v>
      </c>
      <c r="H236">
        <v>3406.32</v>
      </c>
      <c r="I236">
        <v>20437.919999999998</v>
      </c>
      <c r="J236" t="s">
        <v>20</v>
      </c>
      <c r="K236">
        <f t="shared" si="18"/>
        <v>2023</v>
      </c>
      <c r="L236">
        <f t="shared" si="19"/>
        <v>10</v>
      </c>
      <c r="M236" t="str">
        <f t="shared" si="20"/>
        <v>October</v>
      </c>
      <c r="N236">
        <f t="shared" si="21"/>
        <v>5</v>
      </c>
      <c r="O236">
        <f t="shared" si="22"/>
        <v>3</v>
      </c>
      <c r="P236" s="1">
        <f t="shared" ca="1" si="23"/>
        <v>954</v>
      </c>
    </row>
    <row r="237" spans="1:16" x14ac:dyDescent="0.3">
      <c r="A237">
        <v>2235</v>
      </c>
      <c r="B237" t="s">
        <v>38</v>
      </c>
      <c r="C237" t="s">
        <v>18</v>
      </c>
      <c r="D237" s="1">
        <v>45434</v>
      </c>
      <c r="E237" s="1">
        <v>45438</v>
      </c>
      <c r="F237" t="s">
        <v>28</v>
      </c>
      <c r="G237">
        <v>8</v>
      </c>
      <c r="H237">
        <v>1952.27</v>
      </c>
      <c r="I237">
        <v>15618.16</v>
      </c>
      <c r="J237" t="s">
        <v>13</v>
      </c>
      <c r="K237">
        <f t="shared" si="18"/>
        <v>2024</v>
      </c>
      <c r="L237">
        <f t="shared" si="19"/>
        <v>5</v>
      </c>
      <c r="M237" t="str">
        <f t="shared" si="20"/>
        <v>May</v>
      </c>
      <c r="N237">
        <f t="shared" si="21"/>
        <v>3</v>
      </c>
      <c r="O237">
        <f t="shared" si="22"/>
        <v>4</v>
      </c>
      <c r="P237" s="1">
        <f t="shared" ca="1" si="23"/>
        <v>739</v>
      </c>
    </row>
    <row r="238" spans="1:16" x14ac:dyDescent="0.3">
      <c r="A238">
        <v>2236</v>
      </c>
      <c r="B238" t="s">
        <v>24</v>
      </c>
      <c r="C238" t="s">
        <v>31</v>
      </c>
      <c r="D238" s="1">
        <v>45452</v>
      </c>
      <c r="E238" s="1">
        <v>45458</v>
      </c>
      <c r="F238" t="s">
        <v>28</v>
      </c>
      <c r="G238">
        <v>1</v>
      </c>
      <c r="H238">
        <v>652.69000000000005</v>
      </c>
      <c r="I238">
        <v>652.69000000000005</v>
      </c>
      <c r="J238" t="s">
        <v>20</v>
      </c>
      <c r="K238">
        <f t="shared" si="18"/>
        <v>2024</v>
      </c>
      <c r="L238">
        <f t="shared" si="19"/>
        <v>6</v>
      </c>
      <c r="M238" t="str">
        <f t="shared" si="20"/>
        <v>June</v>
      </c>
      <c r="N238">
        <f t="shared" si="21"/>
        <v>7</v>
      </c>
      <c r="O238">
        <f t="shared" si="22"/>
        <v>6</v>
      </c>
      <c r="P238" s="1">
        <f t="shared" ca="1" si="23"/>
        <v>721</v>
      </c>
    </row>
    <row r="239" spans="1:16" x14ac:dyDescent="0.3">
      <c r="A239">
        <v>2237</v>
      </c>
      <c r="B239" t="s">
        <v>46</v>
      </c>
      <c r="C239" t="s">
        <v>18</v>
      </c>
      <c r="D239" s="1">
        <v>44889</v>
      </c>
      <c r="E239" s="1">
        <v>44891</v>
      </c>
      <c r="F239" t="s">
        <v>19</v>
      </c>
      <c r="G239">
        <v>8</v>
      </c>
      <c r="H239">
        <v>463.56</v>
      </c>
      <c r="I239">
        <v>3708.48</v>
      </c>
      <c r="J239" t="s">
        <v>13</v>
      </c>
      <c r="K239">
        <f t="shared" si="18"/>
        <v>2022</v>
      </c>
      <c r="L239">
        <f t="shared" si="19"/>
        <v>11</v>
      </c>
      <c r="M239" t="str">
        <f t="shared" si="20"/>
        <v>November</v>
      </c>
      <c r="N239">
        <f t="shared" si="21"/>
        <v>4</v>
      </c>
      <c r="O239">
        <f t="shared" si="22"/>
        <v>2</v>
      </c>
      <c r="P239" s="1">
        <f t="shared" ca="1" si="23"/>
        <v>1284</v>
      </c>
    </row>
    <row r="240" spans="1:16" x14ac:dyDescent="0.3">
      <c r="A240">
        <v>2238</v>
      </c>
      <c r="B240" t="s">
        <v>17</v>
      </c>
      <c r="C240" t="s">
        <v>15</v>
      </c>
      <c r="D240" s="1">
        <v>45312</v>
      </c>
      <c r="E240" s="1">
        <v>45319</v>
      </c>
      <c r="F240" t="s">
        <v>16</v>
      </c>
      <c r="G240">
        <v>1</v>
      </c>
      <c r="H240">
        <v>3143.95</v>
      </c>
      <c r="I240">
        <v>3143.95</v>
      </c>
      <c r="J240" t="s">
        <v>20</v>
      </c>
      <c r="K240">
        <f t="shared" si="18"/>
        <v>2024</v>
      </c>
      <c r="L240">
        <f t="shared" si="19"/>
        <v>1</v>
      </c>
      <c r="M240" t="str">
        <f t="shared" si="20"/>
        <v>January</v>
      </c>
      <c r="N240">
        <f t="shared" si="21"/>
        <v>7</v>
      </c>
      <c r="O240">
        <f t="shared" si="22"/>
        <v>7</v>
      </c>
      <c r="P240" s="1">
        <f t="shared" ca="1" si="23"/>
        <v>861</v>
      </c>
    </row>
    <row r="241" spans="1:16" x14ac:dyDescent="0.3">
      <c r="A241">
        <v>2239</v>
      </c>
      <c r="B241" t="s">
        <v>46</v>
      </c>
      <c r="C241" t="s">
        <v>31</v>
      </c>
      <c r="D241" s="1">
        <v>45471</v>
      </c>
      <c r="E241" s="1">
        <v>45485</v>
      </c>
      <c r="F241" t="s">
        <v>26</v>
      </c>
      <c r="G241">
        <v>3</v>
      </c>
      <c r="H241">
        <v>2788.46</v>
      </c>
      <c r="I241">
        <v>8365.3799999999992</v>
      </c>
      <c r="J241" t="s">
        <v>20</v>
      </c>
      <c r="K241">
        <f t="shared" si="18"/>
        <v>2024</v>
      </c>
      <c r="L241">
        <f t="shared" si="19"/>
        <v>6</v>
      </c>
      <c r="M241" t="str">
        <f t="shared" si="20"/>
        <v>June</v>
      </c>
      <c r="N241">
        <f t="shared" si="21"/>
        <v>5</v>
      </c>
      <c r="O241">
        <f t="shared" si="22"/>
        <v>14</v>
      </c>
      <c r="P241" s="1">
        <f t="shared" ca="1" si="23"/>
        <v>702</v>
      </c>
    </row>
    <row r="242" spans="1:16" x14ac:dyDescent="0.3">
      <c r="A242">
        <v>2240</v>
      </c>
      <c r="B242" t="s">
        <v>47</v>
      </c>
      <c r="C242" t="s">
        <v>15</v>
      </c>
      <c r="D242" s="1">
        <v>45132</v>
      </c>
      <c r="E242" s="1">
        <v>45137</v>
      </c>
      <c r="F242" t="s">
        <v>26</v>
      </c>
      <c r="G242">
        <v>1</v>
      </c>
      <c r="H242">
        <v>3757.67</v>
      </c>
      <c r="I242">
        <v>3757.67</v>
      </c>
      <c r="J242" t="s">
        <v>20</v>
      </c>
      <c r="K242">
        <f t="shared" si="18"/>
        <v>2023</v>
      </c>
      <c r="L242">
        <f t="shared" si="19"/>
        <v>7</v>
      </c>
      <c r="M242" t="str">
        <f t="shared" si="20"/>
        <v>July</v>
      </c>
      <c r="N242">
        <f t="shared" si="21"/>
        <v>2</v>
      </c>
      <c r="O242">
        <f t="shared" si="22"/>
        <v>5</v>
      </c>
      <c r="P242" s="1">
        <f t="shared" ca="1" si="23"/>
        <v>1041</v>
      </c>
    </row>
    <row r="243" spans="1:16" x14ac:dyDescent="0.3">
      <c r="A243">
        <v>2241</v>
      </c>
      <c r="B243" t="s">
        <v>35</v>
      </c>
      <c r="C243" t="s">
        <v>25</v>
      </c>
      <c r="D243" s="1">
        <v>44803</v>
      </c>
      <c r="E243" s="1">
        <v>44809</v>
      </c>
      <c r="F243" t="s">
        <v>32</v>
      </c>
      <c r="G243">
        <v>5</v>
      </c>
      <c r="H243">
        <v>3608.98</v>
      </c>
      <c r="I243">
        <v>18044.900000000001</v>
      </c>
      <c r="J243" t="s">
        <v>13</v>
      </c>
      <c r="K243">
        <f t="shared" si="18"/>
        <v>2022</v>
      </c>
      <c r="L243">
        <f t="shared" si="19"/>
        <v>8</v>
      </c>
      <c r="M243" t="str">
        <f t="shared" si="20"/>
        <v>August</v>
      </c>
      <c r="N243">
        <f t="shared" si="21"/>
        <v>2</v>
      </c>
      <c r="O243">
        <f t="shared" si="22"/>
        <v>6</v>
      </c>
      <c r="P243" s="1">
        <f t="shared" ca="1" si="23"/>
        <v>1370</v>
      </c>
    </row>
    <row r="244" spans="1:16" x14ac:dyDescent="0.3">
      <c r="A244">
        <v>2242</v>
      </c>
      <c r="B244" t="s">
        <v>42</v>
      </c>
      <c r="C244" t="s">
        <v>31</v>
      </c>
      <c r="D244" s="1">
        <v>45567</v>
      </c>
      <c r="E244" s="1">
        <v>45572</v>
      </c>
      <c r="F244" t="s">
        <v>26</v>
      </c>
      <c r="G244">
        <v>3</v>
      </c>
      <c r="H244">
        <v>4308.28</v>
      </c>
      <c r="I244">
        <v>12924.84</v>
      </c>
      <c r="J244" t="s">
        <v>20</v>
      </c>
      <c r="K244">
        <f t="shared" si="18"/>
        <v>2024</v>
      </c>
      <c r="L244">
        <f t="shared" si="19"/>
        <v>10</v>
      </c>
      <c r="M244" t="str">
        <f t="shared" si="20"/>
        <v>October</v>
      </c>
      <c r="N244">
        <f t="shared" si="21"/>
        <v>3</v>
      </c>
      <c r="O244">
        <f t="shared" si="22"/>
        <v>5</v>
      </c>
      <c r="P244" s="1">
        <f t="shared" ca="1" si="23"/>
        <v>606</v>
      </c>
    </row>
    <row r="245" spans="1:16" x14ac:dyDescent="0.3">
      <c r="A245">
        <v>2243</v>
      </c>
      <c r="B245" t="s">
        <v>45</v>
      </c>
      <c r="C245" t="s">
        <v>15</v>
      </c>
      <c r="D245" s="1">
        <v>45473</v>
      </c>
      <c r="E245" s="1">
        <v>45476</v>
      </c>
      <c r="F245" t="s">
        <v>32</v>
      </c>
      <c r="G245">
        <v>6</v>
      </c>
      <c r="H245">
        <v>3438.85</v>
      </c>
      <c r="I245">
        <v>20633.099999999999</v>
      </c>
      <c r="J245" t="s">
        <v>13</v>
      </c>
      <c r="K245">
        <f t="shared" si="18"/>
        <v>2024</v>
      </c>
      <c r="L245">
        <f t="shared" si="19"/>
        <v>6</v>
      </c>
      <c r="M245" t="str">
        <f t="shared" si="20"/>
        <v>June</v>
      </c>
      <c r="N245">
        <f t="shared" si="21"/>
        <v>7</v>
      </c>
      <c r="O245">
        <f t="shared" si="22"/>
        <v>3</v>
      </c>
      <c r="P245" s="1">
        <f t="shared" ca="1" si="23"/>
        <v>700</v>
      </c>
    </row>
    <row r="246" spans="1:16" x14ac:dyDescent="0.3">
      <c r="A246">
        <v>2244</v>
      </c>
      <c r="B246" t="s">
        <v>30</v>
      </c>
      <c r="C246" t="s">
        <v>18</v>
      </c>
      <c r="D246" s="1">
        <v>45156</v>
      </c>
      <c r="E246" s="1">
        <v>45162</v>
      </c>
      <c r="F246" t="s">
        <v>32</v>
      </c>
      <c r="G246">
        <v>3</v>
      </c>
      <c r="H246">
        <v>3645.5</v>
      </c>
      <c r="I246">
        <v>10936.5</v>
      </c>
      <c r="J246" t="s">
        <v>13</v>
      </c>
      <c r="K246">
        <f t="shared" si="18"/>
        <v>2023</v>
      </c>
      <c r="L246">
        <f t="shared" si="19"/>
        <v>8</v>
      </c>
      <c r="M246" t="str">
        <f t="shared" si="20"/>
        <v>August</v>
      </c>
      <c r="N246">
        <f t="shared" si="21"/>
        <v>5</v>
      </c>
      <c r="O246">
        <f t="shared" si="22"/>
        <v>6</v>
      </c>
      <c r="P246" s="1">
        <f t="shared" ca="1" si="23"/>
        <v>1017</v>
      </c>
    </row>
    <row r="247" spans="1:16" x14ac:dyDescent="0.3">
      <c r="A247">
        <v>2245</v>
      </c>
      <c r="B247" t="s">
        <v>46</v>
      </c>
      <c r="C247" t="s">
        <v>18</v>
      </c>
      <c r="D247" s="1">
        <v>45021</v>
      </c>
      <c r="E247" s="1">
        <v>45024</v>
      </c>
      <c r="F247" t="s">
        <v>19</v>
      </c>
      <c r="G247">
        <v>3</v>
      </c>
      <c r="H247">
        <v>1412.66</v>
      </c>
      <c r="I247">
        <v>4237.9799999999996</v>
      </c>
      <c r="J247" t="s">
        <v>20</v>
      </c>
      <c r="K247">
        <f t="shared" si="18"/>
        <v>2023</v>
      </c>
      <c r="L247">
        <f t="shared" si="19"/>
        <v>4</v>
      </c>
      <c r="M247" t="str">
        <f t="shared" si="20"/>
        <v>April</v>
      </c>
      <c r="N247">
        <f t="shared" si="21"/>
        <v>3</v>
      </c>
      <c r="O247">
        <f t="shared" si="22"/>
        <v>3</v>
      </c>
      <c r="P247" s="1">
        <f t="shared" ca="1" si="23"/>
        <v>1152</v>
      </c>
    </row>
    <row r="248" spans="1:16" x14ac:dyDescent="0.3">
      <c r="A248">
        <v>2246</v>
      </c>
      <c r="B248" t="s">
        <v>21</v>
      </c>
      <c r="C248" t="s">
        <v>31</v>
      </c>
      <c r="D248" s="1">
        <v>45317</v>
      </c>
      <c r="E248" s="1">
        <v>45326</v>
      </c>
      <c r="F248" t="s">
        <v>32</v>
      </c>
      <c r="G248">
        <v>3</v>
      </c>
      <c r="H248">
        <v>3176.16</v>
      </c>
      <c r="I248">
        <v>9528.48</v>
      </c>
      <c r="J248" t="s">
        <v>13</v>
      </c>
      <c r="K248">
        <f t="shared" si="18"/>
        <v>2024</v>
      </c>
      <c r="L248">
        <f t="shared" si="19"/>
        <v>1</v>
      </c>
      <c r="M248" t="str">
        <f t="shared" si="20"/>
        <v>January</v>
      </c>
      <c r="N248">
        <f t="shared" si="21"/>
        <v>5</v>
      </c>
      <c r="O248">
        <f t="shared" si="22"/>
        <v>9</v>
      </c>
      <c r="P248" s="1">
        <f t="shared" ca="1" si="23"/>
        <v>856</v>
      </c>
    </row>
    <row r="249" spans="1:16" x14ac:dyDescent="0.3">
      <c r="A249">
        <v>2247</v>
      </c>
      <c r="B249" t="s">
        <v>49</v>
      </c>
      <c r="C249" t="s">
        <v>31</v>
      </c>
      <c r="D249" s="1">
        <v>45377</v>
      </c>
      <c r="E249" s="1">
        <v>45390</v>
      </c>
      <c r="F249" t="s">
        <v>28</v>
      </c>
      <c r="G249">
        <v>8</v>
      </c>
      <c r="H249">
        <v>2770.77</v>
      </c>
      <c r="I249">
        <v>22166.16</v>
      </c>
      <c r="J249" t="s">
        <v>20</v>
      </c>
      <c r="K249">
        <f t="shared" si="18"/>
        <v>2024</v>
      </c>
      <c r="L249">
        <f t="shared" si="19"/>
        <v>3</v>
      </c>
      <c r="M249" t="str">
        <f t="shared" si="20"/>
        <v>March</v>
      </c>
      <c r="N249">
        <f t="shared" si="21"/>
        <v>2</v>
      </c>
      <c r="O249">
        <f t="shared" si="22"/>
        <v>13</v>
      </c>
      <c r="P249" s="1">
        <f t="shared" ca="1" si="23"/>
        <v>796</v>
      </c>
    </row>
    <row r="250" spans="1:16" x14ac:dyDescent="0.3">
      <c r="A250">
        <v>2248</v>
      </c>
      <c r="B250" t="s">
        <v>27</v>
      </c>
      <c r="C250" t="s">
        <v>11</v>
      </c>
      <c r="D250" s="1">
        <v>44818</v>
      </c>
      <c r="E250" s="1">
        <v>44825</v>
      </c>
      <c r="F250" t="s">
        <v>28</v>
      </c>
      <c r="G250">
        <v>2</v>
      </c>
      <c r="H250">
        <v>2414.88</v>
      </c>
      <c r="I250">
        <v>4829.76</v>
      </c>
      <c r="J250" t="s">
        <v>20</v>
      </c>
      <c r="K250">
        <f t="shared" si="18"/>
        <v>2022</v>
      </c>
      <c r="L250">
        <f t="shared" si="19"/>
        <v>9</v>
      </c>
      <c r="M250" t="str">
        <f t="shared" si="20"/>
        <v>September</v>
      </c>
      <c r="N250">
        <f t="shared" si="21"/>
        <v>3</v>
      </c>
      <c r="O250">
        <f t="shared" si="22"/>
        <v>7</v>
      </c>
      <c r="P250" s="1">
        <f t="shared" ca="1" si="23"/>
        <v>1355</v>
      </c>
    </row>
    <row r="251" spans="1:16" x14ac:dyDescent="0.3">
      <c r="A251">
        <v>2249</v>
      </c>
      <c r="B251" t="s">
        <v>37</v>
      </c>
      <c r="C251" t="s">
        <v>18</v>
      </c>
      <c r="D251" s="1">
        <v>44934</v>
      </c>
      <c r="E251" s="1">
        <v>44948</v>
      </c>
      <c r="F251" t="s">
        <v>19</v>
      </c>
      <c r="G251">
        <v>7</v>
      </c>
      <c r="H251">
        <v>2663.46</v>
      </c>
      <c r="I251">
        <v>18644.22</v>
      </c>
      <c r="J251" t="s">
        <v>13</v>
      </c>
      <c r="K251">
        <f t="shared" si="18"/>
        <v>2023</v>
      </c>
      <c r="L251">
        <f t="shared" si="19"/>
        <v>1</v>
      </c>
      <c r="M251" t="str">
        <f t="shared" si="20"/>
        <v>January</v>
      </c>
      <c r="N251">
        <f t="shared" si="21"/>
        <v>7</v>
      </c>
      <c r="O251">
        <f t="shared" si="22"/>
        <v>14</v>
      </c>
      <c r="P251" s="1">
        <f t="shared" ca="1" si="23"/>
        <v>1239</v>
      </c>
    </row>
    <row r="252" spans="1:16" x14ac:dyDescent="0.3">
      <c r="A252">
        <v>2250</v>
      </c>
      <c r="B252" t="s">
        <v>23</v>
      </c>
      <c r="C252" t="s">
        <v>18</v>
      </c>
      <c r="D252" s="1">
        <v>44875</v>
      </c>
      <c r="E252" s="1">
        <v>44881</v>
      </c>
      <c r="F252" t="s">
        <v>19</v>
      </c>
      <c r="G252">
        <v>3</v>
      </c>
      <c r="H252">
        <v>1816.51</v>
      </c>
      <c r="I252">
        <v>5449.53</v>
      </c>
      <c r="J252" t="s">
        <v>13</v>
      </c>
      <c r="K252">
        <f t="shared" si="18"/>
        <v>2022</v>
      </c>
      <c r="L252">
        <f t="shared" si="19"/>
        <v>11</v>
      </c>
      <c r="M252" t="str">
        <f t="shared" si="20"/>
        <v>November</v>
      </c>
      <c r="N252">
        <f t="shared" si="21"/>
        <v>4</v>
      </c>
      <c r="O252">
        <f t="shared" si="22"/>
        <v>6</v>
      </c>
      <c r="P252" s="1">
        <f t="shared" ca="1" si="23"/>
        <v>1298</v>
      </c>
    </row>
    <row r="253" spans="1:16" x14ac:dyDescent="0.3">
      <c r="A253">
        <v>2251</v>
      </c>
      <c r="B253" t="s">
        <v>46</v>
      </c>
      <c r="C253" t="s">
        <v>18</v>
      </c>
      <c r="D253" s="1">
        <v>45143</v>
      </c>
      <c r="E253" s="1">
        <v>45158</v>
      </c>
      <c r="F253" t="s">
        <v>26</v>
      </c>
      <c r="G253">
        <v>5</v>
      </c>
      <c r="H253">
        <v>1222.6199999999999</v>
      </c>
      <c r="I253">
        <v>6113.1</v>
      </c>
      <c r="J253" t="s">
        <v>20</v>
      </c>
      <c r="K253">
        <f t="shared" si="18"/>
        <v>2023</v>
      </c>
      <c r="L253">
        <f t="shared" si="19"/>
        <v>8</v>
      </c>
      <c r="M253" t="str">
        <f t="shared" si="20"/>
        <v>August</v>
      </c>
      <c r="N253">
        <f t="shared" si="21"/>
        <v>6</v>
      </c>
      <c r="O253">
        <f t="shared" si="22"/>
        <v>15</v>
      </c>
      <c r="P253" s="1">
        <f t="shared" ca="1" si="23"/>
        <v>1030</v>
      </c>
    </row>
    <row r="254" spans="1:16" x14ac:dyDescent="0.3">
      <c r="A254">
        <v>2252</v>
      </c>
      <c r="B254" t="s">
        <v>37</v>
      </c>
      <c r="C254" t="s">
        <v>15</v>
      </c>
      <c r="D254" s="1">
        <v>45182</v>
      </c>
      <c r="E254" s="1">
        <v>45193</v>
      </c>
      <c r="F254" t="s">
        <v>36</v>
      </c>
      <c r="G254">
        <v>2</v>
      </c>
      <c r="H254">
        <v>2662.09</v>
      </c>
      <c r="I254">
        <v>5324.18</v>
      </c>
      <c r="J254" t="s">
        <v>13</v>
      </c>
      <c r="K254">
        <f t="shared" si="18"/>
        <v>2023</v>
      </c>
      <c r="L254">
        <f t="shared" si="19"/>
        <v>9</v>
      </c>
      <c r="M254" t="str">
        <f t="shared" si="20"/>
        <v>September</v>
      </c>
      <c r="N254">
        <f t="shared" si="21"/>
        <v>3</v>
      </c>
      <c r="O254">
        <f t="shared" si="22"/>
        <v>11</v>
      </c>
      <c r="P254" s="1">
        <f t="shared" ca="1" si="23"/>
        <v>991</v>
      </c>
    </row>
    <row r="255" spans="1:16" x14ac:dyDescent="0.3">
      <c r="A255">
        <v>2253</v>
      </c>
      <c r="B255" t="s">
        <v>27</v>
      </c>
      <c r="C255" t="s">
        <v>18</v>
      </c>
      <c r="D255" s="1">
        <v>44877</v>
      </c>
      <c r="E255" s="1">
        <v>44881</v>
      </c>
      <c r="F255" t="s">
        <v>28</v>
      </c>
      <c r="G255">
        <v>6</v>
      </c>
      <c r="H255">
        <v>4259.8900000000003</v>
      </c>
      <c r="I255">
        <v>25559.34</v>
      </c>
      <c r="J255" t="s">
        <v>13</v>
      </c>
      <c r="K255">
        <f t="shared" si="18"/>
        <v>2022</v>
      </c>
      <c r="L255">
        <f t="shared" si="19"/>
        <v>11</v>
      </c>
      <c r="M255" t="str">
        <f t="shared" si="20"/>
        <v>November</v>
      </c>
      <c r="N255">
        <f t="shared" si="21"/>
        <v>6</v>
      </c>
      <c r="O255">
        <f t="shared" si="22"/>
        <v>4</v>
      </c>
      <c r="P255" s="1">
        <f t="shared" ca="1" si="23"/>
        <v>1296</v>
      </c>
    </row>
    <row r="256" spans="1:16" x14ac:dyDescent="0.3">
      <c r="A256">
        <v>2254</v>
      </c>
      <c r="B256" t="s">
        <v>21</v>
      </c>
      <c r="C256" t="s">
        <v>11</v>
      </c>
      <c r="D256" s="1">
        <v>44655</v>
      </c>
      <c r="E256" s="1">
        <v>44667</v>
      </c>
      <c r="F256" t="s">
        <v>32</v>
      </c>
      <c r="G256">
        <v>5</v>
      </c>
      <c r="H256">
        <v>3360.31</v>
      </c>
      <c r="I256">
        <v>16801.55</v>
      </c>
      <c r="J256" t="s">
        <v>20</v>
      </c>
      <c r="K256">
        <f t="shared" si="18"/>
        <v>2022</v>
      </c>
      <c r="L256">
        <f t="shared" si="19"/>
        <v>4</v>
      </c>
      <c r="M256" t="str">
        <f t="shared" si="20"/>
        <v>April</v>
      </c>
      <c r="N256">
        <f t="shared" si="21"/>
        <v>1</v>
      </c>
      <c r="O256">
        <f t="shared" si="22"/>
        <v>12</v>
      </c>
      <c r="P256" s="1">
        <f t="shared" ca="1" si="23"/>
        <v>1518</v>
      </c>
    </row>
    <row r="257" spans="1:16" x14ac:dyDescent="0.3">
      <c r="A257">
        <v>2255</v>
      </c>
      <c r="B257" t="s">
        <v>42</v>
      </c>
      <c r="C257" t="s">
        <v>15</v>
      </c>
      <c r="D257" s="1">
        <v>44624</v>
      </c>
      <c r="E257" s="1">
        <v>44633</v>
      </c>
      <c r="F257" t="s">
        <v>28</v>
      </c>
      <c r="G257">
        <v>5</v>
      </c>
      <c r="H257">
        <v>3316.96</v>
      </c>
      <c r="I257">
        <v>16584.8</v>
      </c>
      <c r="J257" t="s">
        <v>20</v>
      </c>
      <c r="K257">
        <f t="shared" si="18"/>
        <v>2022</v>
      </c>
      <c r="L257">
        <f t="shared" si="19"/>
        <v>3</v>
      </c>
      <c r="M257" t="str">
        <f t="shared" si="20"/>
        <v>March</v>
      </c>
      <c r="N257">
        <f t="shared" si="21"/>
        <v>5</v>
      </c>
      <c r="O257">
        <f t="shared" si="22"/>
        <v>9</v>
      </c>
      <c r="P257" s="1">
        <f t="shared" ca="1" si="23"/>
        <v>1549</v>
      </c>
    </row>
    <row r="258" spans="1:16" x14ac:dyDescent="0.3">
      <c r="A258">
        <v>2256</v>
      </c>
      <c r="B258" t="s">
        <v>41</v>
      </c>
      <c r="C258" t="s">
        <v>22</v>
      </c>
      <c r="D258" s="1">
        <v>45393</v>
      </c>
      <c r="E258" s="1">
        <v>45399</v>
      </c>
      <c r="F258" t="s">
        <v>16</v>
      </c>
      <c r="G258">
        <v>2</v>
      </c>
      <c r="H258">
        <v>3536.48</v>
      </c>
      <c r="I258">
        <v>7072.96</v>
      </c>
      <c r="J258" t="s">
        <v>13</v>
      </c>
      <c r="K258">
        <f t="shared" si="18"/>
        <v>2024</v>
      </c>
      <c r="L258">
        <f t="shared" si="19"/>
        <v>4</v>
      </c>
      <c r="M258" t="str">
        <f t="shared" si="20"/>
        <v>April</v>
      </c>
      <c r="N258">
        <f t="shared" si="21"/>
        <v>4</v>
      </c>
      <c r="O258">
        <f t="shared" si="22"/>
        <v>6</v>
      </c>
      <c r="P258" s="1">
        <f t="shared" ca="1" si="23"/>
        <v>780</v>
      </c>
    </row>
    <row r="259" spans="1:16" x14ac:dyDescent="0.3">
      <c r="A259">
        <v>2257</v>
      </c>
      <c r="B259" t="s">
        <v>38</v>
      </c>
      <c r="C259" t="s">
        <v>25</v>
      </c>
      <c r="D259" s="1">
        <v>45553</v>
      </c>
      <c r="E259" s="1">
        <v>45562</v>
      </c>
      <c r="F259" t="s">
        <v>19</v>
      </c>
      <c r="G259">
        <v>6</v>
      </c>
      <c r="H259">
        <v>3151.3</v>
      </c>
      <c r="I259">
        <v>18907.8</v>
      </c>
      <c r="J259" t="s">
        <v>20</v>
      </c>
      <c r="K259">
        <f t="shared" ref="K259:K322" si="24">YEAR(D259)</f>
        <v>2024</v>
      </c>
      <c r="L259">
        <f t="shared" ref="L259:L322" si="25">MONTH(D259)</f>
        <v>9</v>
      </c>
      <c r="M259" t="str">
        <f t="shared" ref="M259:M322" si="26">TEXT(D259,"MMMM")</f>
        <v>September</v>
      </c>
      <c r="N259">
        <f t="shared" ref="N259:N322" si="27">WEEKDAY(D259,2)</f>
        <v>3</v>
      </c>
      <c r="O259">
        <f t="shared" ref="O259:O322" si="28">DATEDIF(D259,E259,"D")</f>
        <v>9</v>
      </c>
      <c r="P259" s="1">
        <f t="shared" ref="P259:P322" ca="1" si="29">TODAY()-D259</f>
        <v>620</v>
      </c>
    </row>
    <row r="260" spans="1:16" x14ac:dyDescent="0.3">
      <c r="A260">
        <v>2258</v>
      </c>
      <c r="B260" t="s">
        <v>48</v>
      </c>
      <c r="C260" t="s">
        <v>31</v>
      </c>
      <c r="D260" s="1">
        <v>45269</v>
      </c>
      <c r="E260" s="1">
        <v>45277</v>
      </c>
      <c r="F260" t="s">
        <v>19</v>
      </c>
      <c r="G260">
        <v>6</v>
      </c>
      <c r="H260">
        <v>2720.41</v>
      </c>
      <c r="I260">
        <v>16322.46</v>
      </c>
      <c r="J260" t="s">
        <v>13</v>
      </c>
      <c r="K260">
        <f t="shared" si="24"/>
        <v>2023</v>
      </c>
      <c r="L260">
        <f t="shared" si="25"/>
        <v>12</v>
      </c>
      <c r="M260" t="str">
        <f t="shared" si="26"/>
        <v>December</v>
      </c>
      <c r="N260">
        <f t="shared" si="27"/>
        <v>6</v>
      </c>
      <c r="O260">
        <f t="shared" si="28"/>
        <v>8</v>
      </c>
      <c r="P260" s="1">
        <f t="shared" ca="1" si="29"/>
        <v>904</v>
      </c>
    </row>
    <row r="261" spans="1:16" x14ac:dyDescent="0.3">
      <c r="A261">
        <v>2259</v>
      </c>
      <c r="B261" t="s">
        <v>47</v>
      </c>
      <c r="C261" t="s">
        <v>22</v>
      </c>
      <c r="D261" s="1">
        <v>45517</v>
      </c>
      <c r="E261" s="1">
        <v>45520</v>
      </c>
      <c r="F261" t="s">
        <v>12</v>
      </c>
      <c r="G261">
        <v>8</v>
      </c>
      <c r="H261">
        <v>1465.22</v>
      </c>
      <c r="I261">
        <v>11721.76</v>
      </c>
      <c r="J261" t="s">
        <v>13</v>
      </c>
      <c r="K261">
        <f t="shared" si="24"/>
        <v>2024</v>
      </c>
      <c r="L261">
        <f t="shared" si="25"/>
        <v>8</v>
      </c>
      <c r="M261" t="str">
        <f t="shared" si="26"/>
        <v>August</v>
      </c>
      <c r="N261">
        <f t="shared" si="27"/>
        <v>2</v>
      </c>
      <c r="O261">
        <f t="shared" si="28"/>
        <v>3</v>
      </c>
      <c r="P261" s="1">
        <f t="shared" ca="1" si="29"/>
        <v>656</v>
      </c>
    </row>
    <row r="262" spans="1:16" x14ac:dyDescent="0.3">
      <c r="A262">
        <v>2260</v>
      </c>
      <c r="B262" t="s">
        <v>40</v>
      </c>
      <c r="C262" t="s">
        <v>31</v>
      </c>
      <c r="D262" s="1">
        <v>45348</v>
      </c>
      <c r="E262" s="1">
        <v>45363</v>
      </c>
      <c r="F262" t="s">
        <v>36</v>
      </c>
      <c r="G262">
        <v>7</v>
      </c>
      <c r="H262">
        <v>1466.87</v>
      </c>
      <c r="I262">
        <v>10268.09</v>
      </c>
      <c r="J262" t="s">
        <v>13</v>
      </c>
      <c r="K262">
        <f t="shared" si="24"/>
        <v>2024</v>
      </c>
      <c r="L262">
        <f t="shared" si="25"/>
        <v>2</v>
      </c>
      <c r="M262" t="str">
        <f t="shared" si="26"/>
        <v>February</v>
      </c>
      <c r="N262">
        <f t="shared" si="27"/>
        <v>1</v>
      </c>
      <c r="O262">
        <f t="shared" si="28"/>
        <v>15</v>
      </c>
      <c r="P262" s="1">
        <f t="shared" ca="1" si="29"/>
        <v>825</v>
      </c>
    </row>
    <row r="263" spans="1:16" x14ac:dyDescent="0.3">
      <c r="A263">
        <v>2261</v>
      </c>
      <c r="B263" t="s">
        <v>47</v>
      </c>
      <c r="C263" t="s">
        <v>18</v>
      </c>
      <c r="D263" s="1">
        <v>45202</v>
      </c>
      <c r="E263" s="1">
        <v>45207</v>
      </c>
      <c r="F263" t="s">
        <v>32</v>
      </c>
      <c r="G263">
        <v>3</v>
      </c>
      <c r="H263">
        <v>2641.85</v>
      </c>
      <c r="I263">
        <v>7925.55</v>
      </c>
      <c r="J263" t="s">
        <v>20</v>
      </c>
      <c r="K263">
        <f t="shared" si="24"/>
        <v>2023</v>
      </c>
      <c r="L263">
        <f t="shared" si="25"/>
        <v>10</v>
      </c>
      <c r="M263" t="str">
        <f t="shared" si="26"/>
        <v>October</v>
      </c>
      <c r="N263">
        <f t="shared" si="27"/>
        <v>2</v>
      </c>
      <c r="O263">
        <f t="shared" si="28"/>
        <v>5</v>
      </c>
      <c r="P263" s="1">
        <f t="shared" ca="1" si="29"/>
        <v>971</v>
      </c>
    </row>
    <row r="264" spans="1:16" x14ac:dyDescent="0.3">
      <c r="A264">
        <v>2262</v>
      </c>
      <c r="B264" t="s">
        <v>41</v>
      </c>
      <c r="C264" t="s">
        <v>31</v>
      </c>
      <c r="D264" s="1">
        <v>45580</v>
      </c>
      <c r="E264" s="1">
        <v>45582</v>
      </c>
      <c r="F264" t="s">
        <v>26</v>
      </c>
      <c r="G264">
        <v>7</v>
      </c>
      <c r="H264">
        <v>2675.59</v>
      </c>
      <c r="I264">
        <v>18729.13</v>
      </c>
      <c r="J264" t="s">
        <v>13</v>
      </c>
      <c r="K264">
        <f t="shared" si="24"/>
        <v>2024</v>
      </c>
      <c r="L264">
        <f t="shared" si="25"/>
        <v>10</v>
      </c>
      <c r="M264" t="str">
        <f t="shared" si="26"/>
        <v>October</v>
      </c>
      <c r="N264">
        <f t="shared" si="27"/>
        <v>2</v>
      </c>
      <c r="O264">
        <f t="shared" si="28"/>
        <v>2</v>
      </c>
      <c r="P264" s="1">
        <f t="shared" ca="1" si="29"/>
        <v>593</v>
      </c>
    </row>
    <row r="265" spans="1:16" x14ac:dyDescent="0.3">
      <c r="A265">
        <v>2263</v>
      </c>
      <c r="B265" t="s">
        <v>29</v>
      </c>
      <c r="C265" t="s">
        <v>18</v>
      </c>
      <c r="D265" s="1">
        <v>45284</v>
      </c>
      <c r="E265" s="1">
        <v>45286</v>
      </c>
      <c r="F265" t="s">
        <v>26</v>
      </c>
      <c r="G265">
        <v>5</v>
      </c>
      <c r="H265">
        <v>2626</v>
      </c>
      <c r="I265">
        <v>13130</v>
      </c>
      <c r="J265" t="s">
        <v>20</v>
      </c>
      <c r="K265">
        <f t="shared" si="24"/>
        <v>2023</v>
      </c>
      <c r="L265">
        <f t="shared" si="25"/>
        <v>12</v>
      </c>
      <c r="M265" t="str">
        <f t="shared" si="26"/>
        <v>December</v>
      </c>
      <c r="N265">
        <f t="shared" si="27"/>
        <v>7</v>
      </c>
      <c r="O265">
        <f t="shared" si="28"/>
        <v>2</v>
      </c>
      <c r="P265" s="1">
        <f t="shared" ca="1" si="29"/>
        <v>889</v>
      </c>
    </row>
    <row r="266" spans="1:16" x14ac:dyDescent="0.3">
      <c r="A266">
        <v>2264</v>
      </c>
      <c r="B266" t="s">
        <v>43</v>
      </c>
      <c r="C266" t="s">
        <v>18</v>
      </c>
      <c r="D266" s="1">
        <v>44578</v>
      </c>
      <c r="E266" s="1">
        <v>44593</v>
      </c>
      <c r="F266" t="s">
        <v>26</v>
      </c>
      <c r="G266">
        <v>7</v>
      </c>
      <c r="H266">
        <v>929.49</v>
      </c>
      <c r="I266">
        <v>6506.43</v>
      </c>
      <c r="J266" t="s">
        <v>20</v>
      </c>
      <c r="K266">
        <f t="shared" si="24"/>
        <v>2022</v>
      </c>
      <c r="L266">
        <f t="shared" si="25"/>
        <v>1</v>
      </c>
      <c r="M266" t="str">
        <f t="shared" si="26"/>
        <v>January</v>
      </c>
      <c r="N266">
        <f t="shared" si="27"/>
        <v>1</v>
      </c>
      <c r="O266">
        <f t="shared" si="28"/>
        <v>15</v>
      </c>
      <c r="P266" s="1">
        <f t="shared" ca="1" si="29"/>
        <v>1595</v>
      </c>
    </row>
    <row r="267" spans="1:16" x14ac:dyDescent="0.3">
      <c r="A267">
        <v>2265</v>
      </c>
      <c r="B267" t="s">
        <v>24</v>
      </c>
      <c r="C267" t="s">
        <v>31</v>
      </c>
      <c r="D267" s="1">
        <v>45387</v>
      </c>
      <c r="E267" s="1">
        <v>45394</v>
      </c>
      <c r="F267" t="s">
        <v>26</v>
      </c>
      <c r="G267">
        <v>7</v>
      </c>
      <c r="H267">
        <v>540.44000000000005</v>
      </c>
      <c r="I267">
        <v>3783.08</v>
      </c>
      <c r="J267" t="s">
        <v>13</v>
      </c>
      <c r="K267">
        <f t="shared" si="24"/>
        <v>2024</v>
      </c>
      <c r="L267">
        <f t="shared" si="25"/>
        <v>4</v>
      </c>
      <c r="M267" t="str">
        <f t="shared" si="26"/>
        <v>April</v>
      </c>
      <c r="N267">
        <f t="shared" si="27"/>
        <v>5</v>
      </c>
      <c r="O267">
        <f t="shared" si="28"/>
        <v>7</v>
      </c>
      <c r="P267" s="1">
        <f t="shared" ca="1" si="29"/>
        <v>786</v>
      </c>
    </row>
    <row r="268" spans="1:16" x14ac:dyDescent="0.3">
      <c r="A268">
        <v>2266</v>
      </c>
      <c r="B268" t="s">
        <v>46</v>
      </c>
      <c r="C268" t="s">
        <v>18</v>
      </c>
      <c r="D268" s="1">
        <v>45153</v>
      </c>
      <c r="E268" s="1">
        <v>45156</v>
      </c>
      <c r="F268" t="s">
        <v>16</v>
      </c>
      <c r="G268">
        <v>8</v>
      </c>
      <c r="H268">
        <v>3892.7</v>
      </c>
      <c r="I268">
        <v>31141.599999999999</v>
      </c>
      <c r="J268" t="s">
        <v>20</v>
      </c>
      <c r="K268">
        <f t="shared" si="24"/>
        <v>2023</v>
      </c>
      <c r="L268">
        <f t="shared" si="25"/>
        <v>8</v>
      </c>
      <c r="M268" t="str">
        <f t="shared" si="26"/>
        <v>August</v>
      </c>
      <c r="N268">
        <f t="shared" si="27"/>
        <v>2</v>
      </c>
      <c r="O268">
        <f t="shared" si="28"/>
        <v>3</v>
      </c>
      <c r="P268" s="1">
        <f t="shared" ca="1" si="29"/>
        <v>1020</v>
      </c>
    </row>
    <row r="269" spans="1:16" x14ac:dyDescent="0.3">
      <c r="A269">
        <v>2267</v>
      </c>
      <c r="B269" t="s">
        <v>42</v>
      </c>
      <c r="C269" t="s">
        <v>15</v>
      </c>
      <c r="D269" s="1">
        <v>44805</v>
      </c>
      <c r="E269" s="1">
        <v>44809</v>
      </c>
      <c r="F269" t="s">
        <v>26</v>
      </c>
      <c r="G269">
        <v>7</v>
      </c>
      <c r="H269">
        <v>2054.0300000000002</v>
      </c>
      <c r="I269">
        <v>14378.21</v>
      </c>
      <c r="J269" t="s">
        <v>20</v>
      </c>
      <c r="K269">
        <f t="shared" si="24"/>
        <v>2022</v>
      </c>
      <c r="L269">
        <f t="shared" si="25"/>
        <v>9</v>
      </c>
      <c r="M269" t="str">
        <f t="shared" si="26"/>
        <v>September</v>
      </c>
      <c r="N269">
        <f t="shared" si="27"/>
        <v>4</v>
      </c>
      <c r="O269">
        <f t="shared" si="28"/>
        <v>4</v>
      </c>
      <c r="P269" s="1">
        <f t="shared" ca="1" si="29"/>
        <v>1368</v>
      </c>
    </row>
    <row r="270" spans="1:16" x14ac:dyDescent="0.3">
      <c r="A270">
        <v>2268</v>
      </c>
      <c r="B270" t="s">
        <v>30</v>
      </c>
      <c r="C270" t="s">
        <v>31</v>
      </c>
      <c r="D270" s="1">
        <v>44857</v>
      </c>
      <c r="E270" s="1">
        <v>44862</v>
      </c>
      <c r="F270" t="s">
        <v>36</v>
      </c>
      <c r="G270">
        <v>7</v>
      </c>
      <c r="H270">
        <v>2650.37</v>
      </c>
      <c r="I270">
        <v>18552.59</v>
      </c>
      <c r="J270" t="s">
        <v>13</v>
      </c>
      <c r="K270">
        <f t="shared" si="24"/>
        <v>2022</v>
      </c>
      <c r="L270">
        <f t="shared" si="25"/>
        <v>10</v>
      </c>
      <c r="M270" t="str">
        <f t="shared" si="26"/>
        <v>October</v>
      </c>
      <c r="N270">
        <f t="shared" si="27"/>
        <v>7</v>
      </c>
      <c r="O270">
        <f t="shared" si="28"/>
        <v>5</v>
      </c>
      <c r="P270" s="1">
        <f t="shared" ca="1" si="29"/>
        <v>1316</v>
      </c>
    </row>
    <row r="271" spans="1:16" x14ac:dyDescent="0.3">
      <c r="A271">
        <v>2269</v>
      </c>
      <c r="B271" t="s">
        <v>40</v>
      </c>
      <c r="C271" t="s">
        <v>22</v>
      </c>
      <c r="D271" s="1">
        <v>45244</v>
      </c>
      <c r="E271" s="1">
        <v>45258</v>
      </c>
      <c r="F271" t="s">
        <v>16</v>
      </c>
      <c r="G271">
        <v>8</v>
      </c>
      <c r="H271">
        <v>1000.02</v>
      </c>
      <c r="I271">
        <v>8000.16</v>
      </c>
      <c r="J271" t="s">
        <v>13</v>
      </c>
      <c r="K271">
        <f t="shared" si="24"/>
        <v>2023</v>
      </c>
      <c r="L271">
        <f t="shared" si="25"/>
        <v>11</v>
      </c>
      <c r="M271" t="str">
        <f t="shared" si="26"/>
        <v>November</v>
      </c>
      <c r="N271">
        <f t="shared" si="27"/>
        <v>2</v>
      </c>
      <c r="O271">
        <f t="shared" si="28"/>
        <v>14</v>
      </c>
      <c r="P271" s="1">
        <f t="shared" ca="1" si="29"/>
        <v>929</v>
      </c>
    </row>
    <row r="272" spans="1:16" x14ac:dyDescent="0.3">
      <c r="A272">
        <v>2270</v>
      </c>
      <c r="B272" t="s">
        <v>47</v>
      </c>
      <c r="C272" t="s">
        <v>18</v>
      </c>
      <c r="D272" s="1">
        <v>45214</v>
      </c>
      <c r="E272" s="1">
        <v>45218</v>
      </c>
      <c r="F272" t="s">
        <v>16</v>
      </c>
      <c r="G272">
        <v>5</v>
      </c>
      <c r="H272">
        <v>3090.51</v>
      </c>
      <c r="I272">
        <v>15452.55</v>
      </c>
      <c r="J272" t="s">
        <v>20</v>
      </c>
      <c r="K272">
        <f t="shared" si="24"/>
        <v>2023</v>
      </c>
      <c r="L272">
        <f t="shared" si="25"/>
        <v>10</v>
      </c>
      <c r="M272" t="str">
        <f t="shared" si="26"/>
        <v>October</v>
      </c>
      <c r="N272">
        <f t="shared" si="27"/>
        <v>7</v>
      </c>
      <c r="O272">
        <f t="shared" si="28"/>
        <v>4</v>
      </c>
      <c r="P272" s="1">
        <f t="shared" ca="1" si="29"/>
        <v>959</v>
      </c>
    </row>
    <row r="273" spans="1:16" x14ac:dyDescent="0.3">
      <c r="A273">
        <v>2271</v>
      </c>
      <c r="B273" t="s">
        <v>48</v>
      </c>
      <c r="C273" t="s">
        <v>18</v>
      </c>
      <c r="D273" s="1">
        <v>45175</v>
      </c>
      <c r="E273" s="1">
        <v>45184</v>
      </c>
      <c r="F273" t="s">
        <v>32</v>
      </c>
      <c r="G273">
        <v>1</v>
      </c>
      <c r="H273">
        <v>2031.28</v>
      </c>
      <c r="I273">
        <v>2031.28</v>
      </c>
      <c r="J273" t="s">
        <v>13</v>
      </c>
      <c r="K273">
        <f t="shared" si="24"/>
        <v>2023</v>
      </c>
      <c r="L273">
        <f t="shared" si="25"/>
        <v>9</v>
      </c>
      <c r="M273" t="str">
        <f t="shared" si="26"/>
        <v>September</v>
      </c>
      <c r="N273">
        <f t="shared" si="27"/>
        <v>3</v>
      </c>
      <c r="O273">
        <f t="shared" si="28"/>
        <v>9</v>
      </c>
      <c r="P273" s="1">
        <f t="shared" ca="1" si="29"/>
        <v>998</v>
      </c>
    </row>
    <row r="274" spans="1:16" x14ac:dyDescent="0.3">
      <c r="A274">
        <v>2272</v>
      </c>
      <c r="B274" t="s">
        <v>39</v>
      </c>
      <c r="C274" t="s">
        <v>18</v>
      </c>
      <c r="D274" s="1">
        <v>45192</v>
      </c>
      <c r="E274" s="1">
        <v>45206</v>
      </c>
      <c r="F274" t="s">
        <v>28</v>
      </c>
      <c r="G274">
        <v>1</v>
      </c>
      <c r="H274">
        <v>3105.48</v>
      </c>
      <c r="I274">
        <v>3105.48</v>
      </c>
      <c r="J274" t="s">
        <v>20</v>
      </c>
      <c r="K274">
        <f t="shared" si="24"/>
        <v>2023</v>
      </c>
      <c r="L274">
        <f t="shared" si="25"/>
        <v>9</v>
      </c>
      <c r="M274" t="str">
        <f t="shared" si="26"/>
        <v>September</v>
      </c>
      <c r="N274">
        <f t="shared" si="27"/>
        <v>6</v>
      </c>
      <c r="O274">
        <f t="shared" si="28"/>
        <v>14</v>
      </c>
      <c r="P274" s="1">
        <f t="shared" ca="1" si="29"/>
        <v>981</v>
      </c>
    </row>
    <row r="275" spans="1:16" x14ac:dyDescent="0.3">
      <c r="A275">
        <v>2273</v>
      </c>
      <c r="B275" t="s">
        <v>10</v>
      </c>
      <c r="C275" t="s">
        <v>18</v>
      </c>
      <c r="D275" s="1">
        <v>45028</v>
      </c>
      <c r="E275" s="1">
        <v>45041</v>
      </c>
      <c r="F275" t="s">
        <v>26</v>
      </c>
      <c r="G275">
        <v>8</v>
      </c>
      <c r="H275">
        <v>1101.4100000000001</v>
      </c>
      <c r="I275">
        <v>8811.2800000000007</v>
      </c>
      <c r="J275" t="s">
        <v>20</v>
      </c>
      <c r="K275">
        <f t="shared" si="24"/>
        <v>2023</v>
      </c>
      <c r="L275">
        <f t="shared" si="25"/>
        <v>4</v>
      </c>
      <c r="M275" t="str">
        <f t="shared" si="26"/>
        <v>April</v>
      </c>
      <c r="N275">
        <f t="shared" si="27"/>
        <v>3</v>
      </c>
      <c r="O275">
        <f t="shared" si="28"/>
        <v>13</v>
      </c>
      <c r="P275" s="1">
        <f t="shared" ca="1" si="29"/>
        <v>1145</v>
      </c>
    </row>
    <row r="276" spans="1:16" x14ac:dyDescent="0.3">
      <c r="A276">
        <v>2274</v>
      </c>
      <c r="B276" t="s">
        <v>37</v>
      </c>
      <c r="C276" t="s">
        <v>15</v>
      </c>
      <c r="D276" s="1">
        <v>45058</v>
      </c>
      <c r="E276" s="1">
        <v>45060</v>
      </c>
      <c r="F276" t="s">
        <v>36</v>
      </c>
      <c r="G276">
        <v>2</v>
      </c>
      <c r="H276">
        <v>1196.69</v>
      </c>
      <c r="I276">
        <v>2393.38</v>
      </c>
      <c r="J276" t="s">
        <v>20</v>
      </c>
      <c r="K276">
        <f t="shared" si="24"/>
        <v>2023</v>
      </c>
      <c r="L276">
        <f t="shared" si="25"/>
        <v>5</v>
      </c>
      <c r="M276" t="str">
        <f t="shared" si="26"/>
        <v>May</v>
      </c>
      <c r="N276">
        <f t="shared" si="27"/>
        <v>5</v>
      </c>
      <c r="O276">
        <f t="shared" si="28"/>
        <v>2</v>
      </c>
      <c r="P276" s="1">
        <f t="shared" ca="1" si="29"/>
        <v>1115</v>
      </c>
    </row>
    <row r="277" spans="1:16" x14ac:dyDescent="0.3">
      <c r="A277">
        <v>2275</v>
      </c>
      <c r="B277" t="s">
        <v>47</v>
      </c>
      <c r="C277" t="s">
        <v>25</v>
      </c>
      <c r="D277" s="1">
        <v>44872</v>
      </c>
      <c r="E277" s="1">
        <v>44880</v>
      </c>
      <c r="F277" t="s">
        <v>28</v>
      </c>
      <c r="G277">
        <v>4</v>
      </c>
      <c r="H277">
        <v>2228.77</v>
      </c>
      <c r="I277">
        <v>8915.08</v>
      </c>
      <c r="J277" t="s">
        <v>20</v>
      </c>
      <c r="K277">
        <f t="shared" si="24"/>
        <v>2022</v>
      </c>
      <c r="L277">
        <f t="shared" si="25"/>
        <v>11</v>
      </c>
      <c r="M277" t="str">
        <f t="shared" si="26"/>
        <v>November</v>
      </c>
      <c r="N277">
        <f t="shared" si="27"/>
        <v>1</v>
      </c>
      <c r="O277">
        <f t="shared" si="28"/>
        <v>8</v>
      </c>
      <c r="P277" s="1">
        <f t="shared" ca="1" si="29"/>
        <v>1301</v>
      </c>
    </row>
    <row r="278" spans="1:16" x14ac:dyDescent="0.3">
      <c r="A278">
        <v>2276</v>
      </c>
      <c r="B278" t="s">
        <v>24</v>
      </c>
      <c r="C278" t="s">
        <v>15</v>
      </c>
      <c r="D278" s="1">
        <v>44689</v>
      </c>
      <c r="E278" s="1">
        <v>44702</v>
      </c>
      <c r="F278" t="s">
        <v>19</v>
      </c>
      <c r="G278">
        <v>4</v>
      </c>
      <c r="H278">
        <v>2936.17</v>
      </c>
      <c r="I278">
        <v>11744.68</v>
      </c>
      <c r="J278" t="s">
        <v>20</v>
      </c>
      <c r="K278">
        <f t="shared" si="24"/>
        <v>2022</v>
      </c>
      <c r="L278">
        <f t="shared" si="25"/>
        <v>5</v>
      </c>
      <c r="M278" t="str">
        <f t="shared" si="26"/>
        <v>May</v>
      </c>
      <c r="N278">
        <f t="shared" si="27"/>
        <v>7</v>
      </c>
      <c r="O278">
        <f t="shared" si="28"/>
        <v>13</v>
      </c>
      <c r="P278" s="1">
        <f t="shared" ca="1" si="29"/>
        <v>1484</v>
      </c>
    </row>
    <row r="279" spans="1:16" x14ac:dyDescent="0.3">
      <c r="A279">
        <v>2277</v>
      </c>
      <c r="B279" t="s">
        <v>35</v>
      </c>
      <c r="C279" t="s">
        <v>25</v>
      </c>
      <c r="D279" s="1">
        <v>45204</v>
      </c>
      <c r="E279" s="1">
        <v>45208</v>
      </c>
      <c r="F279" t="s">
        <v>16</v>
      </c>
      <c r="G279">
        <v>6</v>
      </c>
      <c r="H279">
        <v>2867.48</v>
      </c>
      <c r="I279">
        <v>17204.88</v>
      </c>
      <c r="J279" t="s">
        <v>20</v>
      </c>
      <c r="K279">
        <f t="shared" si="24"/>
        <v>2023</v>
      </c>
      <c r="L279">
        <f t="shared" si="25"/>
        <v>10</v>
      </c>
      <c r="M279" t="str">
        <f t="shared" si="26"/>
        <v>October</v>
      </c>
      <c r="N279">
        <f t="shared" si="27"/>
        <v>4</v>
      </c>
      <c r="O279">
        <f t="shared" si="28"/>
        <v>4</v>
      </c>
      <c r="P279" s="1">
        <f t="shared" ca="1" si="29"/>
        <v>969</v>
      </c>
    </row>
    <row r="280" spans="1:16" x14ac:dyDescent="0.3">
      <c r="A280">
        <v>2278</v>
      </c>
      <c r="B280" t="s">
        <v>42</v>
      </c>
      <c r="C280" t="s">
        <v>25</v>
      </c>
      <c r="D280" s="1">
        <v>44955</v>
      </c>
      <c r="E280" s="1">
        <v>44960</v>
      </c>
      <c r="F280" t="s">
        <v>12</v>
      </c>
      <c r="G280">
        <v>5</v>
      </c>
      <c r="H280">
        <v>1356.88</v>
      </c>
      <c r="I280">
        <v>6784.4</v>
      </c>
      <c r="J280" t="s">
        <v>20</v>
      </c>
      <c r="K280">
        <f t="shared" si="24"/>
        <v>2023</v>
      </c>
      <c r="L280">
        <f t="shared" si="25"/>
        <v>1</v>
      </c>
      <c r="M280" t="str">
        <f t="shared" si="26"/>
        <v>January</v>
      </c>
      <c r="N280">
        <f t="shared" si="27"/>
        <v>7</v>
      </c>
      <c r="O280">
        <f t="shared" si="28"/>
        <v>5</v>
      </c>
      <c r="P280" s="1">
        <f t="shared" ca="1" si="29"/>
        <v>1218</v>
      </c>
    </row>
    <row r="281" spans="1:16" x14ac:dyDescent="0.3">
      <c r="A281">
        <v>2279</v>
      </c>
      <c r="B281" t="s">
        <v>44</v>
      </c>
      <c r="C281" t="s">
        <v>31</v>
      </c>
      <c r="D281" s="1">
        <v>44986</v>
      </c>
      <c r="E281" s="1">
        <v>44999</v>
      </c>
      <c r="F281" t="s">
        <v>28</v>
      </c>
      <c r="G281">
        <v>8</v>
      </c>
      <c r="H281">
        <v>1790.09</v>
      </c>
      <c r="I281">
        <v>14320.72</v>
      </c>
      <c r="J281" t="s">
        <v>20</v>
      </c>
      <c r="K281">
        <f t="shared" si="24"/>
        <v>2023</v>
      </c>
      <c r="L281">
        <f t="shared" si="25"/>
        <v>3</v>
      </c>
      <c r="M281" t="str">
        <f t="shared" si="26"/>
        <v>March</v>
      </c>
      <c r="N281">
        <f t="shared" si="27"/>
        <v>3</v>
      </c>
      <c r="O281">
        <f t="shared" si="28"/>
        <v>13</v>
      </c>
      <c r="P281" s="1">
        <f t="shared" ca="1" si="29"/>
        <v>1187</v>
      </c>
    </row>
    <row r="282" spans="1:16" x14ac:dyDescent="0.3">
      <c r="A282">
        <v>2280</v>
      </c>
      <c r="B282" t="s">
        <v>30</v>
      </c>
      <c r="C282" t="s">
        <v>15</v>
      </c>
      <c r="D282" s="1">
        <v>45122</v>
      </c>
      <c r="E282" s="1">
        <v>45128</v>
      </c>
      <c r="F282" t="s">
        <v>26</v>
      </c>
      <c r="G282">
        <v>7</v>
      </c>
      <c r="H282">
        <v>4510.07</v>
      </c>
      <c r="I282">
        <v>31570.49</v>
      </c>
      <c r="J282" t="s">
        <v>20</v>
      </c>
      <c r="K282">
        <f t="shared" si="24"/>
        <v>2023</v>
      </c>
      <c r="L282">
        <f t="shared" si="25"/>
        <v>7</v>
      </c>
      <c r="M282" t="str">
        <f t="shared" si="26"/>
        <v>July</v>
      </c>
      <c r="N282">
        <f t="shared" si="27"/>
        <v>6</v>
      </c>
      <c r="O282">
        <f t="shared" si="28"/>
        <v>6</v>
      </c>
      <c r="P282" s="1">
        <f t="shared" ca="1" si="29"/>
        <v>1051</v>
      </c>
    </row>
    <row r="283" spans="1:16" x14ac:dyDescent="0.3">
      <c r="A283">
        <v>2281</v>
      </c>
      <c r="B283" t="s">
        <v>46</v>
      </c>
      <c r="C283" t="s">
        <v>22</v>
      </c>
      <c r="D283" s="1">
        <v>45156</v>
      </c>
      <c r="E283" s="1">
        <v>45158</v>
      </c>
      <c r="F283" t="s">
        <v>12</v>
      </c>
      <c r="G283">
        <v>2</v>
      </c>
      <c r="H283">
        <v>1927.91</v>
      </c>
      <c r="I283">
        <v>3855.82</v>
      </c>
      <c r="J283" t="s">
        <v>20</v>
      </c>
      <c r="K283">
        <f t="shared" si="24"/>
        <v>2023</v>
      </c>
      <c r="L283">
        <f t="shared" si="25"/>
        <v>8</v>
      </c>
      <c r="M283" t="str">
        <f t="shared" si="26"/>
        <v>August</v>
      </c>
      <c r="N283">
        <f t="shared" si="27"/>
        <v>5</v>
      </c>
      <c r="O283">
        <f t="shared" si="28"/>
        <v>2</v>
      </c>
      <c r="P283" s="1">
        <f t="shared" ca="1" si="29"/>
        <v>1017</v>
      </c>
    </row>
    <row r="284" spans="1:16" x14ac:dyDescent="0.3">
      <c r="A284">
        <v>2282</v>
      </c>
      <c r="B284" t="s">
        <v>10</v>
      </c>
      <c r="C284" t="s">
        <v>31</v>
      </c>
      <c r="D284" s="1">
        <v>45543</v>
      </c>
      <c r="E284" s="1">
        <v>45548</v>
      </c>
      <c r="F284" t="s">
        <v>19</v>
      </c>
      <c r="G284">
        <v>5</v>
      </c>
      <c r="H284">
        <v>4685.21</v>
      </c>
      <c r="I284">
        <v>23426.05</v>
      </c>
      <c r="J284" t="s">
        <v>20</v>
      </c>
      <c r="K284">
        <f t="shared" si="24"/>
        <v>2024</v>
      </c>
      <c r="L284">
        <f t="shared" si="25"/>
        <v>9</v>
      </c>
      <c r="M284" t="str">
        <f t="shared" si="26"/>
        <v>September</v>
      </c>
      <c r="N284">
        <f t="shared" si="27"/>
        <v>7</v>
      </c>
      <c r="O284">
        <f t="shared" si="28"/>
        <v>5</v>
      </c>
      <c r="P284" s="1">
        <f t="shared" ca="1" si="29"/>
        <v>630</v>
      </c>
    </row>
    <row r="285" spans="1:16" x14ac:dyDescent="0.3">
      <c r="A285">
        <v>2283</v>
      </c>
      <c r="B285" t="s">
        <v>37</v>
      </c>
      <c r="C285" t="s">
        <v>11</v>
      </c>
      <c r="D285" s="1">
        <v>45052</v>
      </c>
      <c r="E285" s="1">
        <v>45057</v>
      </c>
      <c r="F285" t="s">
        <v>26</v>
      </c>
      <c r="G285">
        <v>4</v>
      </c>
      <c r="H285">
        <v>3298.34</v>
      </c>
      <c r="I285">
        <v>13193.36</v>
      </c>
      <c r="J285" t="s">
        <v>13</v>
      </c>
      <c r="K285">
        <f t="shared" si="24"/>
        <v>2023</v>
      </c>
      <c r="L285">
        <f t="shared" si="25"/>
        <v>5</v>
      </c>
      <c r="M285" t="str">
        <f t="shared" si="26"/>
        <v>May</v>
      </c>
      <c r="N285">
        <f t="shared" si="27"/>
        <v>6</v>
      </c>
      <c r="O285">
        <f t="shared" si="28"/>
        <v>5</v>
      </c>
      <c r="P285" s="1">
        <f t="shared" ca="1" si="29"/>
        <v>1121</v>
      </c>
    </row>
    <row r="286" spans="1:16" x14ac:dyDescent="0.3">
      <c r="A286">
        <v>2284</v>
      </c>
      <c r="B286" t="s">
        <v>23</v>
      </c>
      <c r="C286" t="s">
        <v>25</v>
      </c>
      <c r="D286" s="1">
        <v>45238</v>
      </c>
      <c r="E286" s="1">
        <v>45251</v>
      </c>
      <c r="F286" t="s">
        <v>16</v>
      </c>
      <c r="G286">
        <v>2</v>
      </c>
      <c r="H286">
        <v>3501.6</v>
      </c>
      <c r="I286">
        <v>7003.2</v>
      </c>
      <c r="J286" t="s">
        <v>13</v>
      </c>
      <c r="K286">
        <f t="shared" si="24"/>
        <v>2023</v>
      </c>
      <c r="L286">
        <f t="shared" si="25"/>
        <v>11</v>
      </c>
      <c r="M286" t="str">
        <f t="shared" si="26"/>
        <v>November</v>
      </c>
      <c r="N286">
        <f t="shared" si="27"/>
        <v>3</v>
      </c>
      <c r="O286">
        <f t="shared" si="28"/>
        <v>13</v>
      </c>
      <c r="P286" s="1">
        <f t="shared" ca="1" si="29"/>
        <v>935</v>
      </c>
    </row>
    <row r="287" spans="1:16" x14ac:dyDescent="0.3">
      <c r="A287">
        <v>2285</v>
      </c>
      <c r="B287" t="s">
        <v>21</v>
      </c>
      <c r="C287" t="s">
        <v>18</v>
      </c>
      <c r="D287" s="1">
        <v>44885</v>
      </c>
      <c r="E287" s="1">
        <v>44893</v>
      </c>
      <c r="F287" t="s">
        <v>28</v>
      </c>
      <c r="G287">
        <v>8</v>
      </c>
      <c r="H287">
        <v>2544.0100000000002</v>
      </c>
      <c r="I287">
        <v>20352.080000000002</v>
      </c>
      <c r="J287" t="s">
        <v>13</v>
      </c>
      <c r="K287">
        <f t="shared" si="24"/>
        <v>2022</v>
      </c>
      <c r="L287">
        <f t="shared" si="25"/>
        <v>11</v>
      </c>
      <c r="M287" t="str">
        <f t="shared" si="26"/>
        <v>November</v>
      </c>
      <c r="N287">
        <f t="shared" si="27"/>
        <v>7</v>
      </c>
      <c r="O287">
        <f t="shared" si="28"/>
        <v>8</v>
      </c>
      <c r="P287" s="1">
        <f t="shared" ca="1" si="29"/>
        <v>1288</v>
      </c>
    </row>
    <row r="288" spans="1:16" x14ac:dyDescent="0.3">
      <c r="A288">
        <v>2286</v>
      </c>
      <c r="B288" t="s">
        <v>44</v>
      </c>
      <c r="C288" t="s">
        <v>31</v>
      </c>
      <c r="D288" s="1">
        <v>45219</v>
      </c>
      <c r="E288" s="1">
        <v>45225</v>
      </c>
      <c r="F288" t="s">
        <v>28</v>
      </c>
      <c r="G288">
        <v>1</v>
      </c>
      <c r="H288">
        <v>4567.3</v>
      </c>
      <c r="I288">
        <v>4567.3</v>
      </c>
      <c r="J288" t="s">
        <v>13</v>
      </c>
      <c r="K288">
        <f t="shared" si="24"/>
        <v>2023</v>
      </c>
      <c r="L288">
        <f t="shared" si="25"/>
        <v>10</v>
      </c>
      <c r="M288" t="str">
        <f t="shared" si="26"/>
        <v>October</v>
      </c>
      <c r="N288">
        <f t="shared" si="27"/>
        <v>5</v>
      </c>
      <c r="O288">
        <f t="shared" si="28"/>
        <v>6</v>
      </c>
      <c r="P288" s="1">
        <f t="shared" ca="1" si="29"/>
        <v>954</v>
      </c>
    </row>
    <row r="289" spans="1:16" x14ac:dyDescent="0.3">
      <c r="A289">
        <v>2287</v>
      </c>
      <c r="B289" t="s">
        <v>10</v>
      </c>
      <c r="C289" t="s">
        <v>18</v>
      </c>
      <c r="D289" s="1">
        <v>45037</v>
      </c>
      <c r="E289" s="1">
        <v>45047</v>
      </c>
      <c r="F289" t="s">
        <v>28</v>
      </c>
      <c r="G289">
        <v>1</v>
      </c>
      <c r="H289">
        <v>4592.18</v>
      </c>
      <c r="I289">
        <v>4592.18</v>
      </c>
      <c r="J289" t="s">
        <v>13</v>
      </c>
      <c r="K289">
        <f t="shared" si="24"/>
        <v>2023</v>
      </c>
      <c r="L289">
        <f t="shared" si="25"/>
        <v>4</v>
      </c>
      <c r="M289" t="str">
        <f t="shared" si="26"/>
        <v>April</v>
      </c>
      <c r="N289">
        <f t="shared" si="27"/>
        <v>5</v>
      </c>
      <c r="O289">
        <f t="shared" si="28"/>
        <v>10</v>
      </c>
      <c r="P289" s="1">
        <f t="shared" ca="1" si="29"/>
        <v>1136</v>
      </c>
    </row>
    <row r="290" spans="1:16" x14ac:dyDescent="0.3">
      <c r="A290">
        <v>2288</v>
      </c>
      <c r="B290" t="s">
        <v>39</v>
      </c>
      <c r="C290" t="s">
        <v>22</v>
      </c>
      <c r="D290" s="1">
        <v>44636</v>
      </c>
      <c r="E290" s="1">
        <v>44651</v>
      </c>
      <c r="F290" t="s">
        <v>16</v>
      </c>
      <c r="G290">
        <v>8</v>
      </c>
      <c r="H290">
        <v>1175.6600000000001</v>
      </c>
      <c r="I290">
        <v>9405.2800000000007</v>
      </c>
      <c r="J290" t="s">
        <v>20</v>
      </c>
      <c r="K290">
        <f t="shared" si="24"/>
        <v>2022</v>
      </c>
      <c r="L290">
        <f t="shared" si="25"/>
        <v>3</v>
      </c>
      <c r="M290" t="str">
        <f t="shared" si="26"/>
        <v>March</v>
      </c>
      <c r="N290">
        <f t="shared" si="27"/>
        <v>3</v>
      </c>
      <c r="O290">
        <f t="shared" si="28"/>
        <v>15</v>
      </c>
      <c r="P290" s="1">
        <f t="shared" ca="1" si="29"/>
        <v>1537</v>
      </c>
    </row>
    <row r="291" spans="1:16" x14ac:dyDescent="0.3">
      <c r="A291">
        <v>2289</v>
      </c>
      <c r="B291" t="s">
        <v>40</v>
      </c>
      <c r="C291" t="s">
        <v>11</v>
      </c>
      <c r="D291" s="1">
        <v>45173</v>
      </c>
      <c r="E291" s="1">
        <v>45184</v>
      </c>
      <c r="F291" t="s">
        <v>36</v>
      </c>
      <c r="G291">
        <v>2</v>
      </c>
      <c r="H291">
        <v>4663.74</v>
      </c>
      <c r="I291">
        <v>9327.48</v>
      </c>
      <c r="J291" t="s">
        <v>20</v>
      </c>
      <c r="K291">
        <f t="shared" si="24"/>
        <v>2023</v>
      </c>
      <c r="L291">
        <f t="shared" si="25"/>
        <v>9</v>
      </c>
      <c r="M291" t="str">
        <f t="shared" si="26"/>
        <v>September</v>
      </c>
      <c r="N291">
        <f t="shared" si="27"/>
        <v>1</v>
      </c>
      <c r="O291">
        <f t="shared" si="28"/>
        <v>11</v>
      </c>
      <c r="P291" s="1">
        <f t="shared" ca="1" si="29"/>
        <v>1000</v>
      </c>
    </row>
    <row r="292" spans="1:16" x14ac:dyDescent="0.3">
      <c r="A292">
        <v>2290</v>
      </c>
      <c r="B292" t="s">
        <v>43</v>
      </c>
      <c r="C292" t="s">
        <v>25</v>
      </c>
      <c r="D292" s="1">
        <v>45635</v>
      </c>
      <c r="E292" s="1">
        <v>45644</v>
      </c>
      <c r="F292" t="s">
        <v>19</v>
      </c>
      <c r="G292">
        <v>8</v>
      </c>
      <c r="H292">
        <v>1582.33</v>
      </c>
      <c r="I292">
        <v>12658.64</v>
      </c>
      <c r="J292" t="s">
        <v>13</v>
      </c>
      <c r="K292">
        <f t="shared" si="24"/>
        <v>2024</v>
      </c>
      <c r="L292">
        <f t="shared" si="25"/>
        <v>12</v>
      </c>
      <c r="M292" t="str">
        <f t="shared" si="26"/>
        <v>December</v>
      </c>
      <c r="N292">
        <f t="shared" si="27"/>
        <v>1</v>
      </c>
      <c r="O292">
        <f t="shared" si="28"/>
        <v>9</v>
      </c>
      <c r="P292" s="1">
        <f t="shared" ca="1" si="29"/>
        <v>538</v>
      </c>
    </row>
    <row r="293" spans="1:16" x14ac:dyDescent="0.3">
      <c r="A293">
        <v>2291</v>
      </c>
      <c r="B293" t="s">
        <v>47</v>
      </c>
      <c r="C293" t="s">
        <v>22</v>
      </c>
      <c r="D293" s="1">
        <v>45501</v>
      </c>
      <c r="E293" s="1">
        <v>45513</v>
      </c>
      <c r="F293" t="s">
        <v>12</v>
      </c>
      <c r="G293">
        <v>3</v>
      </c>
      <c r="H293">
        <v>366.2</v>
      </c>
      <c r="I293">
        <v>1098.5999999999999</v>
      </c>
      <c r="J293" t="s">
        <v>20</v>
      </c>
      <c r="K293">
        <f t="shared" si="24"/>
        <v>2024</v>
      </c>
      <c r="L293">
        <f t="shared" si="25"/>
        <v>7</v>
      </c>
      <c r="M293" t="str">
        <f t="shared" si="26"/>
        <v>July</v>
      </c>
      <c r="N293">
        <f t="shared" si="27"/>
        <v>7</v>
      </c>
      <c r="O293">
        <f t="shared" si="28"/>
        <v>12</v>
      </c>
      <c r="P293" s="1">
        <f t="shared" ca="1" si="29"/>
        <v>672</v>
      </c>
    </row>
    <row r="294" spans="1:16" x14ac:dyDescent="0.3">
      <c r="A294">
        <v>2292</v>
      </c>
      <c r="B294" t="s">
        <v>43</v>
      </c>
      <c r="C294" t="s">
        <v>18</v>
      </c>
      <c r="D294" s="1">
        <v>44957</v>
      </c>
      <c r="E294" s="1">
        <v>44961</v>
      </c>
      <c r="F294" t="s">
        <v>36</v>
      </c>
      <c r="G294">
        <v>7</v>
      </c>
      <c r="H294">
        <v>4186.8500000000004</v>
      </c>
      <c r="I294">
        <v>29307.95</v>
      </c>
      <c r="J294" t="s">
        <v>20</v>
      </c>
      <c r="K294">
        <f t="shared" si="24"/>
        <v>2023</v>
      </c>
      <c r="L294">
        <f t="shared" si="25"/>
        <v>1</v>
      </c>
      <c r="M294" t="str">
        <f t="shared" si="26"/>
        <v>January</v>
      </c>
      <c r="N294">
        <f t="shared" si="27"/>
        <v>2</v>
      </c>
      <c r="O294">
        <f t="shared" si="28"/>
        <v>4</v>
      </c>
      <c r="P294" s="1">
        <f t="shared" ca="1" si="29"/>
        <v>1216</v>
      </c>
    </row>
    <row r="295" spans="1:16" x14ac:dyDescent="0.3">
      <c r="A295">
        <v>2293</v>
      </c>
      <c r="B295" t="s">
        <v>49</v>
      </c>
      <c r="C295" t="s">
        <v>25</v>
      </c>
      <c r="D295" s="1">
        <v>44757</v>
      </c>
      <c r="E295" s="1">
        <v>44761</v>
      </c>
      <c r="F295" t="s">
        <v>19</v>
      </c>
      <c r="G295">
        <v>8</v>
      </c>
      <c r="H295">
        <v>1820.93</v>
      </c>
      <c r="I295">
        <v>14567.44</v>
      </c>
      <c r="J295" t="s">
        <v>13</v>
      </c>
      <c r="K295">
        <f t="shared" si="24"/>
        <v>2022</v>
      </c>
      <c r="L295">
        <f t="shared" si="25"/>
        <v>7</v>
      </c>
      <c r="M295" t="str">
        <f t="shared" si="26"/>
        <v>July</v>
      </c>
      <c r="N295">
        <f t="shared" si="27"/>
        <v>5</v>
      </c>
      <c r="O295">
        <f t="shared" si="28"/>
        <v>4</v>
      </c>
      <c r="P295" s="1">
        <f t="shared" ca="1" si="29"/>
        <v>1416</v>
      </c>
    </row>
    <row r="296" spans="1:16" x14ac:dyDescent="0.3">
      <c r="A296">
        <v>2294</v>
      </c>
      <c r="B296" t="s">
        <v>21</v>
      </c>
      <c r="C296" t="s">
        <v>31</v>
      </c>
      <c r="D296" s="1">
        <v>45347</v>
      </c>
      <c r="E296" s="1">
        <v>45352</v>
      </c>
      <c r="F296" t="s">
        <v>16</v>
      </c>
      <c r="G296">
        <v>5</v>
      </c>
      <c r="H296">
        <v>4783.96</v>
      </c>
      <c r="I296">
        <v>23919.8</v>
      </c>
      <c r="J296" t="s">
        <v>20</v>
      </c>
      <c r="K296">
        <f t="shared" si="24"/>
        <v>2024</v>
      </c>
      <c r="L296">
        <f t="shared" si="25"/>
        <v>2</v>
      </c>
      <c r="M296" t="str">
        <f t="shared" si="26"/>
        <v>February</v>
      </c>
      <c r="N296">
        <f t="shared" si="27"/>
        <v>7</v>
      </c>
      <c r="O296">
        <f t="shared" si="28"/>
        <v>5</v>
      </c>
      <c r="P296" s="1">
        <f t="shared" ca="1" si="29"/>
        <v>826</v>
      </c>
    </row>
    <row r="297" spans="1:16" x14ac:dyDescent="0.3">
      <c r="A297">
        <v>2295</v>
      </c>
      <c r="B297" t="s">
        <v>27</v>
      </c>
      <c r="C297" t="s">
        <v>15</v>
      </c>
      <c r="D297" s="1">
        <v>44585</v>
      </c>
      <c r="E297" s="1">
        <v>44591</v>
      </c>
      <c r="F297" t="s">
        <v>28</v>
      </c>
      <c r="G297">
        <v>6</v>
      </c>
      <c r="H297">
        <v>3556.01</v>
      </c>
      <c r="I297">
        <v>21336.06</v>
      </c>
      <c r="J297" t="s">
        <v>13</v>
      </c>
      <c r="K297">
        <f t="shared" si="24"/>
        <v>2022</v>
      </c>
      <c r="L297">
        <f t="shared" si="25"/>
        <v>1</v>
      </c>
      <c r="M297" t="str">
        <f t="shared" si="26"/>
        <v>January</v>
      </c>
      <c r="N297">
        <f t="shared" si="27"/>
        <v>1</v>
      </c>
      <c r="O297">
        <f t="shared" si="28"/>
        <v>6</v>
      </c>
      <c r="P297" s="1">
        <f t="shared" ca="1" si="29"/>
        <v>1588</v>
      </c>
    </row>
    <row r="298" spans="1:16" x14ac:dyDescent="0.3">
      <c r="A298">
        <v>2296</v>
      </c>
      <c r="B298" t="s">
        <v>14</v>
      </c>
      <c r="C298" t="s">
        <v>11</v>
      </c>
      <c r="D298" s="1">
        <v>45515</v>
      </c>
      <c r="E298" s="1">
        <v>45521</v>
      </c>
      <c r="F298" t="s">
        <v>19</v>
      </c>
      <c r="G298">
        <v>7</v>
      </c>
      <c r="H298">
        <v>3524.55</v>
      </c>
      <c r="I298">
        <v>24671.85</v>
      </c>
      <c r="J298" t="s">
        <v>20</v>
      </c>
      <c r="K298">
        <f t="shared" si="24"/>
        <v>2024</v>
      </c>
      <c r="L298">
        <f t="shared" si="25"/>
        <v>8</v>
      </c>
      <c r="M298" t="str">
        <f t="shared" si="26"/>
        <v>August</v>
      </c>
      <c r="N298">
        <f t="shared" si="27"/>
        <v>7</v>
      </c>
      <c r="O298">
        <f t="shared" si="28"/>
        <v>6</v>
      </c>
      <c r="P298" s="1">
        <f t="shared" ca="1" si="29"/>
        <v>658</v>
      </c>
    </row>
    <row r="299" spans="1:16" x14ac:dyDescent="0.3">
      <c r="A299">
        <v>2297</v>
      </c>
      <c r="B299" t="s">
        <v>48</v>
      </c>
      <c r="C299" t="s">
        <v>11</v>
      </c>
      <c r="D299" s="1">
        <v>45166</v>
      </c>
      <c r="E299" s="1">
        <v>45173</v>
      </c>
      <c r="F299" t="s">
        <v>36</v>
      </c>
      <c r="G299">
        <v>4</v>
      </c>
      <c r="H299">
        <v>1329.9</v>
      </c>
      <c r="I299">
        <v>5319.6</v>
      </c>
      <c r="J299" t="s">
        <v>13</v>
      </c>
      <c r="K299">
        <f t="shared" si="24"/>
        <v>2023</v>
      </c>
      <c r="L299">
        <f t="shared" si="25"/>
        <v>8</v>
      </c>
      <c r="M299" t="str">
        <f t="shared" si="26"/>
        <v>August</v>
      </c>
      <c r="N299">
        <f t="shared" si="27"/>
        <v>1</v>
      </c>
      <c r="O299">
        <f t="shared" si="28"/>
        <v>7</v>
      </c>
      <c r="P299" s="1">
        <f t="shared" ca="1" si="29"/>
        <v>1007</v>
      </c>
    </row>
    <row r="300" spans="1:16" x14ac:dyDescent="0.3">
      <c r="A300">
        <v>2298</v>
      </c>
      <c r="B300" t="s">
        <v>41</v>
      </c>
      <c r="C300" t="s">
        <v>22</v>
      </c>
      <c r="D300" s="1">
        <v>45493</v>
      </c>
      <c r="E300" s="1">
        <v>45506</v>
      </c>
      <c r="F300" t="s">
        <v>36</v>
      </c>
      <c r="G300">
        <v>6</v>
      </c>
      <c r="H300">
        <v>2254.4699999999998</v>
      </c>
      <c r="I300">
        <v>13526.82</v>
      </c>
      <c r="J300" t="s">
        <v>20</v>
      </c>
      <c r="K300">
        <f t="shared" si="24"/>
        <v>2024</v>
      </c>
      <c r="L300">
        <f t="shared" si="25"/>
        <v>7</v>
      </c>
      <c r="M300" t="str">
        <f t="shared" si="26"/>
        <v>July</v>
      </c>
      <c r="N300">
        <f t="shared" si="27"/>
        <v>6</v>
      </c>
      <c r="O300">
        <f t="shared" si="28"/>
        <v>13</v>
      </c>
      <c r="P300" s="1">
        <f t="shared" ca="1" si="29"/>
        <v>680</v>
      </c>
    </row>
    <row r="301" spans="1:16" x14ac:dyDescent="0.3">
      <c r="A301">
        <v>2299</v>
      </c>
      <c r="B301" t="s">
        <v>44</v>
      </c>
      <c r="C301" t="s">
        <v>18</v>
      </c>
      <c r="D301" s="1">
        <v>45009</v>
      </c>
      <c r="E301" s="1">
        <v>45023</v>
      </c>
      <c r="F301" t="s">
        <v>19</v>
      </c>
      <c r="G301">
        <v>2</v>
      </c>
      <c r="H301">
        <v>2769.88</v>
      </c>
      <c r="I301">
        <v>5539.76</v>
      </c>
      <c r="J301" t="s">
        <v>20</v>
      </c>
      <c r="K301">
        <f t="shared" si="24"/>
        <v>2023</v>
      </c>
      <c r="L301">
        <f t="shared" si="25"/>
        <v>3</v>
      </c>
      <c r="M301" t="str">
        <f t="shared" si="26"/>
        <v>March</v>
      </c>
      <c r="N301">
        <f t="shared" si="27"/>
        <v>5</v>
      </c>
      <c r="O301">
        <f t="shared" si="28"/>
        <v>14</v>
      </c>
      <c r="P301" s="1">
        <f t="shared" ca="1" si="29"/>
        <v>1164</v>
      </c>
    </row>
    <row r="302" spans="1:16" x14ac:dyDescent="0.3">
      <c r="A302">
        <v>2300</v>
      </c>
      <c r="B302" t="s">
        <v>49</v>
      </c>
      <c r="C302" t="s">
        <v>18</v>
      </c>
      <c r="D302" s="1">
        <v>44791</v>
      </c>
      <c r="E302" s="1">
        <v>44793</v>
      </c>
      <c r="F302" t="s">
        <v>32</v>
      </c>
      <c r="G302">
        <v>4</v>
      </c>
      <c r="H302">
        <v>2991.7</v>
      </c>
      <c r="I302">
        <v>11966.8</v>
      </c>
      <c r="J302" t="s">
        <v>13</v>
      </c>
      <c r="K302">
        <f t="shared" si="24"/>
        <v>2022</v>
      </c>
      <c r="L302">
        <f t="shared" si="25"/>
        <v>8</v>
      </c>
      <c r="M302" t="str">
        <f t="shared" si="26"/>
        <v>August</v>
      </c>
      <c r="N302">
        <f t="shared" si="27"/>
        <v>4</v>
      </c>
      <c r="O302">
        <f t="shared" si="28"/>
        <v>2</v>
      </c>
      <c r="P302" s="1">
        <f t="shared" ca="1" si="29"/>
        <v>1382</v>
      </c>
    </row>
    <row r="303" spans="1:16" x14ac:dyDescent="0.3">
      <c r="A303">
        <v>2301</v>
      </c>
      <c r="B303" t="s">
        <v>45</v>
      </c>
      <c r="C303" t="s">
        <v>31</v>
      </c>
      <c r="D303" s="1">
        <v>45627</v>
      </c>
      <c r="E303" s="1">
        <v>45636</v>
      </c>
      <c r="F303" t="s">
        <v>26</v>
      </c>
      <c r="G303">
        <v>4</v>
      </c>
      <c r="H303">
        <v>3669.51</v>
      </c>
      <c r="I303">
        <v>14678.04</v>
      </c>
      <c r="J303" t="s">
        <v>20</v>
      </c>
      <c r="K303">
        <f t="shared" si="24"/>
        <v>2024</v>
      </c>
      <c r="L303">
        <f t="shared" si="25"/>
        <v>12</v>
      </c>
      <c r="M303" t="str">
        <f t="shared" si="26"/>
        <v>December</v>
      </c>
      <c r="N303">
        <f t="shared" si="27"/>
        <v>7</v>
      </c>
      <c r="O303">
        <f t="shared" si="28"/>
        <v>9</v>
      </c>
      <c r="P303" s="1">
        <f t="shared" ca="1" si="29"/>
        <v>546</v>
      </c>
    </row>
    <row r="304" spans="1:16" x14ac:dyDescent="0.3">
      <c r="A304">
        <v>2302</v>
      </c>
      <c r="B304" t="s">
        <v>49</v>
      </c>
      <c r="C304" t="s">
        <v>18</v>
      </c>
      <c r="D304" s="1">
        <v>45474</v>
      </c>
      <c r="E304" s="1">
        <v>45488</v>
      </c>
      <c r="F304" t="s">
        <v>26</v>
      </c>
      <c r="G304">
        <v>8</v>
      </c>
      <c r="H304">
        <v>920.14</v>
      </c>
      <c r="I304">
        <v>7361.12</v>
      </c>
      <c r="J304" t="s">
        <v>20</v>
      </c>
      <c r="K304">
        <f t="shared" si="24"/>
        <v>2024</v>
      </c>
      <c r="L304">
        <f t="shared" si="25"/>
        <v>7</v>
      </c>
      <c r="M304" t="str">
        <f t="shared" si="26"/>
        <v>July</v>
      </c>
      <c r="N304">
        <f t="shared" si="27"/>
        <v>1</v>
      </c>
      <c r="O304">
        <f t="shared" si="28"/>
        <v>14</v>
      </c>
      <c r="P304" s="1">
        <f t="shared" ca="1" si="29"/>
        <v>699</v>
      </c>
    </row>
    <row r="305" spans="1:16" x14ac:dyDescent="0.3">
      <c r="A305">
        <v>2303</v>
      </c>
      <c r="B305" t="s">
        <v>38</v>
      </c>
      <c r="C305" t="s">
        <v>18</v>
      </c>
      <c r="D305" s="1">
        <v>44680</v>
      </c>
      <c r="E305" s="1">
        <v>44690</v>
      </c>
      <c r="F305" t="s">
        <v>16</v>
      </c>
      <c r="G305">
        <v>5</v>
      </c>
      <c r="H305">
        <v>3699.42</v>
      </c>
      <c r="I305">
        <v>18497.099999999999</v>
      </c>
      <c r="J305" t="s">
        <v>20</v>
      </c>
      <c r="K305">
        <f t="shared" si="24"/>
        <v>2022</v>
      </c>
      <c r="L305">
        <f t="shared" si="25"/>
        <v>4</v>
      </c>
      <c r="M305" t="str">
        <f t="shared" si="26"/>
        <v>April</v>
      </c>
      <c r="N305">
        <f t="shared" si="27"/>
        <v>5</v>
      </c>
      <c r="O305">
        <f t="shared" si="28"/>
        <v>10</v>
      </c>
      <c r="P305" s="1">
        <f t="shared" ca="1" si="29"/>
        <v>1493</v>
      </c>
    </row>
    <row r="306" spans="1:16" x14ac:dyDescent="0.3">
      <c r="A306">
        <v>2304</v>
      </c>
      <c r="B306" t="s">
        <v>33</v>
      </c>
      <c r="C306" t="s">
        <v>11</v>
      </c>
      <c r="D306" s="1">
        <v>45008</v>
      </c>
      <c r="E306" s="1">
        <v>45019</v>
      </c>
      <c r="F306" t="s">
        <v>26</v>
      </c>
      <c r="G306">
        <v>1</v>
      </c>
      <c r="H306">
        <v>2291.38</v>
      </c>
      <c r="I306">
        <v>2291.38</v>
      </c>
      <c r="J306" t="s">
        <v>13</v>
      </c>
      <c r="K306">
        <f t="shared" si="24"/>
        <v>2023</v>
      </c>
      <c r="L306">
        <f t="shared" si="25"/>
        <v>3</v>
      </c>
      <c r="M306" t="str">
        <f t="shared" si="26"/>
        <v>March</v>
      </c>
      <c r="N306">
        <f t="shared" si="27"/>
        <v>4</v>
      </c>
      <c r="O306">
        <f t="shared" si="28"/>
        <v>11</v>
      </c>
      <c r="P306" s="1">
        <f t="shared" ca="1" si="29"/>
        <v>1165</v>
      </c>
    </row>
    <row r="307" spans="1:16" x14ac:dyDescent="0.3">
      <c r="A307">
        <v>2305</v>
      </c>
      <c r="B307" t="s">
        <v>30</v>
      </c>
      <c r="C307" t="s">
        <v>11</v>
      </c>
      <c r="D307" s="1">
        <v>44703</v>
      </c>
      <c r="E307" s="1">
        <v>44712</v>
      </c>
      <c r="F307" t="s">
        <v>26</v>
      </c>
      <c r="G307">
        <v>5</v>
      </c>
      <c r="H307">
        <v>2221.67</v>
      </c>
      <c r="I307">
        <v>11108.35</v>
      </c>
      <c r="J307" t="s">
        <v>13</v>
      </c>
      <c r="K307">
        <f t="shared" si="24"/>
        <v>2022</v>
      </c>
      <c r="L307">
        <f t="shared" si="25"/>
        <v>5</v>
      </c>
      <c r="M307" t="str">
        <f t="shared" si="26"/>
        <v>May</v>
      </c>
      <c r="N307">
        <f t="shared" si="27"/>
        <v>7</v>
      </c>
      <c r="O307">
        <f t="shared" si="28"/>
        <v>9</v>
      </c>
      <c r="P307" s="1">
        <f t="shared" ca="1" si="29"/>
        <v>1470</v>
      </c>
    </row>
    <row r="308" spans="1:16" x14ac:dyDescent="0.3">
      <c r="A308">
        <v>2306</v>
      </c>
      <c r="B308" t="s">
        <v>44</v>
      </c>
      <c r="C308" t="s">
        <v>15</v>
      </c>
      <c r="D308" s="1">
        <v>45422</v>
      </c>
      <c r="E308" s="1">
        <v>45429</v>
      </c>
      <c r="F308" t="s">
        <v>16</v>
      </c>
      <c r="G308">
        <v>8</v>
      </c>
      <c r="H308">
        <v>4387.22</v>
      </c>
      <c r="I308">
        <v>35097.760000000002</v>
      </c>
      <c r="J308" t="s">
        <v>20</v>
      </c>
      <c r="K308">
        <f t="shared" si="24"/>
        <v>2024</v>
      </c>
      <c r="L308">
        <f t="shared" si="25"/>
        <v>5</v>
      </c>
      <c r="M308" t="str">
        <f t="shared" si="26"/>
        <v>May</v>
      </c>
      <c r="N308">
        <f t="shared" si="27"/>
        <v>5</v>
      </c>
      <c r="O308">
        <f t="shared" si="28"/>
        <v>7</v>
      </c>
      <c r="P308" s="1">
        <f t="shared" ca="1" si="29"/>
        <v>751</v>
      </c>
    </row>
    <row r="309" spans="1:16" x14ac:dyDescent="0.3">
      <c r="A309">
        <v>2307</v>
      </c>
      <c r="B309" t="s">
        <v>34</v>
      </c>
      <c r="C309" t="s">
        <v>11</v>
      </c>
      <c r="D309" s="1">
        <v>44834</v>
      </c>
      <c r="E309" s="1">
        <v>44846</v>
      </c>
      <c r="F309" t="s">
        <v>32</v>
      </c>
      <c r="G309">
        <v>6</v>
      </c>
      <c r="H309">
        <v>857.58</v>
      </c>
      <c r="I309">
        <v>5145.4799999999996</v>
      </c>
      <c r="J309" t="s">
        <v>20</v>
      </c>
      <c r="K309">
        <f t="shared" si="24"/>
        <v>2022</v>
      </c>
      <c r="L309">
        <f t="shared" si="25"/>
        <v>9</v>
      </c>
      <c r="M309" t="str">
        <f t="shared" si="26"/>
        <v>September</v>
      </c>
      <c r="N309">
        <f t="shared" si="27"/>
        <v>5</v>
      </c>
      <c r="O309">
        <f t="shared" si="28"/>
        <v>12</v>
      </c>
      <c r="P309" s="1">
        <f t="shared" ca="1" si="29"/>
        <v>1339</v>
      </c>
    </row>
    <row r="310" spans="1:16" x14ac:dyDescent="0.3">
      <c r="A310">
        <v>2308</v>
      </c>
      <c r="B310" t="s">
        <v>35</v>
      </c>
      <c r="C310" t="s">
        <v>22</v>
      </c>
      <c r="D310" s="1">
        <v>45018</v>
      </c>
      <c r="E310" s="1">
        <v>45033</v>
      </c>
      <c r="F310" t="s">
        <v>26</v>
      </c>
      <c r="G310">
        <v>1</v>
      </c>
      <c r="H310">
        <v>4898.91</v>
      </c>
      <c r="I310">
        <v>4898.91</v>
      </c>
      <c r="J310" t="s">
        <v>20</v>
      </c>
      <c r="K310">
        <f t="shared" si="24"/>
        <v>2023</v>
      </c>
      <c r="L310">
        <f t="shared" si="25"/>
        <v>4</v>
      </c>
      <c r="M310" t="str">
        <f t="shared" si="26"/>
        <v>April</v>
      </c>
      <c r="N310">
        <f t="shared" si="27"/>
        <v>7</v>
      </c>
      <c r="O310">
        <f t="shared" si="28"/>
        <v>15</v>
      </c>
      <c r="P310" s="1">
        <f t="shared" ca="1" si="29"/>
        <v>1155</v>
      </c>
    </row>
    <row r="311" spans="1:16" x14ac:dyDescent="0.3">
      <c r="A311">
        <v>2309</v>
      </c>
      <c r="B311" t="s">
        <v>14</v>
      </c>
      <c r="C311" t="s">
        <v>15</v>
      </c>
      <c r="D311" s="1">
        <v>45430</v>
      </c>
      <c r="E311" s="1">
        <v>45440</v>
      </c>
      <c r="F311" t="s">
        <v>16</v>
      </c>
      <c r="G311">
        <v>4</v>
      </c>
      <c r="H311">
        <v>1463.31</v>
      </c>
      <c r="I311">
        <v>5853.24</v>
      </c>
      <c r="J311" t="s">
        <v>20</v>
      </c>
      <c r="K311">
        <f t="shared" si="24"/>
        <v>2024</v>
      </c>
      <c r="L311">
        <f t="shared" si="25"/>
        <v>5</v>
      </c>
      <c r="M311" t="str">
        <f t="shared" si="26"/>
        <v>May</v>
      </c>
      <c r="N311">
        <f t="shared" si="27"/>
        <v>6</v>
      </c>
      <c r="O311">
        <f t="shared" si="28"/>
        <v>10</v>
      </c>
      <c r="P311" s="1">
        <f t="shared" ca="1" si="29"/>
        <v>743</v>
      </c>
    </row>
    <row r="312" spans="1:16" x14ac:dyDescent="0.3">
      <c r="A312">
        <v>2310</v>
      </c>
      <c r="B312" t="s">
        <v>37</v>
      </c>
      <c r="C312" t="s">
        <v>31</v>
      </c>
      <c r="D312" s="1">
        <v>44948</v>
      </c>
      <c r="E312" s="1">
        <v>44961</v>
      </c>
      <c r="F312" t="s">
        <v>32</v>
      </c>
      <c r="G312">
        <v>2</v>
      </c>
      <c r="H312">
        <v>451.42</v>
      </c>
      <c r="I312">
        <v>902.84</v>
      </c>
      <c r="J312" t="s">
        <v>20</v>
      </c>
      <c r="K312">
        <f t="shared" si="24"/>
        <v>2023</v>
      </c>
      <c r="L312">
        <f t="shared" si="25"/>
        <v>1</v>
      </c>
      <c r="M312" t="str">
        <f t="shared" si="26"/>
        <v>January</v>
      </c>
      <c r="N312">
        <f t="shared" si="27"/>
        <v>7</v>
      </c>
      <c r="O312">
        <f t="shared" si="28"/>
        <v>13</v>
      </c>
      <c r="P312" s="1">
        <f t="shared" ca="1" si="29"/>
        <v>1225</v>
      </c>
    </row>
    <row r="313" spans="1:16" x14ac:dyDescent="0.3">
      <c r="A313">
        <v>2311</v>
      </c>
      <c r="B313" t="s">
        <v>42</v>
      </c>
      <c r="C313" t="s">
        <v>11</v>
      </c>
      <c r="D313" s="1">
        <v>45054</v>
      </c>
      <c r="E313" s="1">
        <v>45059</v>
      </c>
      <c r="F313" t="s">
        <v>26</v>
      </c>
      <c r="G313">
        <v>2</v>
      </c>
      <c r="H313">
        <v>3091.54</v>
      </c>
      <c r="I313">
        <v>6183.08</v>
      </c>
      <c r="J313" t="s">
        <v>20</v>
      </c>
      <c r="K313">
        <f t="shared" si="24"/>
        <v>2023</v>
      </c>
      <c r="L313">
        <f t="shared" si="25"/>
        <v>5</v>
      </c>
      <c r="M313" t="str">
        <f t="shared" si="26"/>
        <v>May</v>
      </c>
      <c r="N313">
        <f t="shared" si="27"/>
        <v>1</v>
      </c>
      <c r="O313">
        <f t="shared" si="28"/>
        <v>5</v>
      </c>
      <c r="P313" s="1">
        <f t="shared" ca="1" si="29"/>
        <v>1119</v>
      </c>
    </row>
    <row r="314" spans="1:16" x14ac:dyDescent="0.3">
      <c r="A314">
        <v>2312</v>
      </c>
      <c r="B314" t="s">
        <v>42</v>
      </c>
      <c r="C314" t="s">
        <v>15</v>
      </c>
      <c r="D314" s="1">
        <v>44661</v>
      </c>
      <c r="E314" s="1">
        <v>44666</v>
      </c>
      <c r="F314" t="s">
        <v>28</v>
      </c>
      <c r="G314">
        <v>1</v>
      </c>
      <c r="H314">
        <v>2190.65</v>
      </c>
      <c r="I314">
        <v>2190.65</v>
      </c>
      <c r="J314" t="s">
        <v>13</v>
      </c>
      <c r="K314">
        <f t="shared" si="24"/>
        <v>2022</v>
      </c>
      <c r="L314">
        <f t="shared" si="25"/>
        <v>4</v>
      </c>
      <c r="M314" t="str">
        <f t="shared" si="26"/>
        <v>April</v>
      </c>
      <c r="N314">
        <f t="shared" si="27"/>
        <v>7</v>
      </c>
      <c r="O314">
        <f t="shared" si="28"/>
        <v>5</v>
      </c>
      <c r="P314" s="1">
        <f t="shared" ca="1" si="29"/>
        <v>1512</v>
      </c>
    </row>
    <row r="315" spans="1:16" x14ac:dyDescent="0.3">
      <c r="A315">
        <v>2313</v>
      </c>
      <c r="B315" t="s">
        <v>30</v>
      </c>
      <c r="C315" t="s">
        <v>22</v>
      </c>
      <c r="D315" s="1">
        <v>44677</v>
      </c>
      <c r="E315" s="1">
        <v>44681</v>
      </c>
      <c r="F315" t="s">
        <v>36</v>
      </c>
      <c r="G315">
        <v>5</v>
      </c>
      <c r="H315">
        <v>1400.56</v>
      </c>
      <c r="I315">
        <v>7002.8</v>
      </c>
      <c r="J315" t="s">
        <v>20</v>
      </c>
      <c r="K315">
        <f t="shared" si="24"/>
        <v>2022</v>
      </c>
      <c r="L315">
        <f t="shared" si="25"/>
        <v>4</v>
      </c>
      <c r="M315" t="str">
        <f t="shared" si="26"/>
        <v>April</v>
      </c>
      <c r="N315">
        <f t="shared" si="27"/>
        <v>2</v>
      </c>
      <c r="O315">
        <f t="shared" si="28"/>
        <v>4</v>
      </c>
      <c r="P315" s="1">
        <f t="shared" ca="1" si="29"/>
        <v>1496</v>
      </c>
    </row>
    <row r="316" spans="1:16" x14ac:dyDescent="0.3">
      <c r="A316">
        <v>2314</v>
      </c>
      <c r="B316" t="s">
        <v>27</v>
      </c>
      <c r="C316" t="s">
        <v>18</v>
      </c>
      <c r="D316" s="1">
        <v>45218</v>
      </c>
      <c r="E316" s="1">
        <v>45223</v>
      </c>
      <c r="F316" t="s">
        <v>12</v>
      </c>
      <c r="G316">
        <v>3</v>
      </c>
      <c r="H316">
        <v>4932.7700000000004</v>
      </c>
      <c r="I316">
        <v>14798.31</v>
      </c>
      <c r="J316" t="s">
        <v>13</v>
      </c>
      <c r="K316">
        <f t="shared" si="24"/>
        <v>2023</v>
      </c>
      <c r="L316">
        <f t="shared" si="25"/>
        <v>10</v>
      </c>
      <c r="M316" t="str">
        <f t="shared" si="26"/>
        <v>October</v>
      </c>
      <c r="N316">
        <f t="shared" si="27"/>
        <v>4</v>
      </c>
      <c r="O316">
        <f t="shared" si="28"/>
        <v>5</v>
      </c>
      <c r="P316" s="1">
        <f t="shared" ca="1" si="29"/>
        <v>955</v>
      </c>
    </row>
    <row r="317" spans="1:16" x14ac:dyDescent="0.3">
      <c r="A317">
        <v>2315</v>
      </c>
      <c r="B317" t="s">
        <v>39</v>
      </c>
      <c r="C317" t="s">
        <v>31</v>
      </c>
      <c r="D317" s="1">
        <v>45125</v>
      </c>
      <c r="E317" s="1">
        <v>45127</v>
      </c>
      <c r="F317" t="s">
        <v>36</v>
      </c>
      <c r="G317">
        <v>3</v>
      </c>
      <c r="H317">
        <v>3242.17</v>
      </c>
      <c r="I317">
        <v>9726.51</v>
      </c>
      <c r="J317" t="s">
        <v>20</v>
      </c>
      <c r="K317">
        <f t="shared" si="24"/>
        <v>2023</v>
      </c>
      <c r="L317">
        <f t="shared" si="25"/>
        <v>7</v>
      </c>
      <c r="M317" t="str">
        <f t="shared" si="26"/>
        <v>July</v>
      </c>
      <c r="N317">
        <f t="shared" si="27"/>
        <v>2</v>
      </c>
      <c r="O317">
        <f t="shared" si="28"/>
        <v>2</v>
      </c>
      <c r="P317" s="1">
        <f t="shared" ca="1" si="29"/>
        <v>1048</v>
      </c>
    </row>
    <row r="318" spans="1:16" x14ac:dyDescent="0.3">
      <c r="A318">
        <v>2316</v>
      </c>
      <c r="B318" t="s">
        <v>30</v>
      </c>
      <c r="C318" t="s">
        <v>25</v>
      </c>
      <c r="D318" s="1">
        <v>44658</v>
      </c>
      <c r="E318" s="1">
        <v>44665</v>
      </c>
      <c r="F318" t="s">
        <v>28</v>
      </c>
      <c r="G318">
        <v>7</v>
      </c>
      <c r="H318">
        <v>3993.28</v>
      </c>
      <c r="I318">
        <v>27952.959999999999</v>
      </c>
      <c r="J318" t="s">
        <v>20</v>
      </c>
      <c r="K318">
        <f t="shared" si="24"/>
        <v>2022</v>
      </c>
      <c r="L318">
        <f t="shared" si="25"/>
        <v>4</v>
      </c>
      <c r="M318" t="str">
        <f t="shared" si="26"/>
        <v>April</v>
      </c>
      <c r="N318">
        <f t="shared" si="27"/>
        <v>4</v>
      </c>
      <c r="O318">
        <f t="shared" si="28"/>
        <v>7</v>
      </c>
      <c r="P318" s="1">
        <f t="shared" ca="1" si="29"/>
        <v>1515</v>
      </c>
    </row>
    <row r="319" spans="1:16" x14ac:dyDescent="0.3">
      <c r="A319">
        <v>2317</v>
      </c>
      <c r="B319" t="s">
        <v>48</v>
      </c>
      <c r="C319" t="s">
        <v>25</v>
      </c>
      <c r="D319" s="1">
        <v>45398</v>
      </c>
      <c r="E319" s="1">
        <v>45402</v>
      </c>
      <c r="F319" t="s">
        <v>12</v>
      </c>
      <c r="G319">
        <v>7</v>
      </c>
      <c r="H319">
        <v>1164.23</v>
      </c>
      <c r="I319">
        <v>8149.61</v>
      </c>
      <c r="J319" t="s">
        <v>20</v>
      </c>
      <c r="K319">
        <f t="shared" si="24"/>
        <v>2024</v>
      </c>
      <c r="L319">
        <f t="shared" si="25"/>
        <v>4</v>
      </c>
      <c r="M319" t="str">
        <f t="shared" si="26"/>
        <v>April</v>
      </c>
      <c r="N319">
        <f t="shared" si="27"/>
        <v>2</v>
      </c>
      <c r="O319">
        <f t="shared" si="28"/>
        <v>4</v>
      </c>
      <c r="P319" s="1">
        <f t="shared" ca="1" si="29"/>
        <v>775</v>
      </c>
    </row>
    <row r="320" spans="1:16" x14ac:dyDescent="0.3">
      <c r="A320">
        <v>2318</v>
      </c>
      <c r="B320" t="s">
        <v>17</v>
      </c>
      <c r="C320" t="s">
        <v>22</v>
      </c>
      <c r="D320" s="1">
        <v>45177</v>
      </c>
      <c r="E320" s="1">
        <v>45192</v>
      </c>
      <c r="F320" t="s">
        <v>28</v>
      </c>
      <c r="G320">
        <v>3</v>
      </c>
      <c r="H320">
        <v>4087.15</v>
      </c>
      <c r="I320">
        <v>12261.45</v>
      </c>
      <c r="J320" t="s">
        <v>13</v>
      </c>
      <c r="K320">
        <f t="shared" si="24"/>
        <v>2023</v>
      </c>
      <c r="L320">
        <f t="shared" si="25"/>
        <v>9</v>
      </c>
      <c r="M320" t="str">
        <f t="shared" si="26"/>
        <v>September</v>
      </c>
      <c r="N320">
        <f t="shared" si="27"/>
        <v>5</v>
      </c>
      <c r="O320">
        <f t="shared" si="28"/>
        <v>15</v>
      </c>
      <c r="P320" s="1">
        <f t="shared" ca="1" si="29"/>
        <v>996</v>
      </c>
    </row>
    <row r="321" spans="1:16" x14ac:dyDescent="0.3">
      <c r="A321">
        <v>2319</v>
      </c>
      <c r="B321" t="s">
        <v>30</v>
      </c>
      <c r="C321" t="s">
        <v>25</v>
      </c>
      <c r="D321" s="1">
        <v>45415</v>
      </c>
      <c r="E321" s="1">
        <v>45425</v>
      </c>
      <c r="F321" t="s">
        <v>36</v>
      </c>
      <c r="G321">
        <v>3</v>
      </c>
      <c r="H321">
        <v>2125.5700000000002</v>
      </c>
      <c r="I321">
        <v>6376.71</v>
      </c>
      <c r="J321" t="s">
        <v>20</v>
      </c>
      <c r="K321">
        <f t="shared" si="24"/>
        <v>2024</v>
      </c>
      <c r="L321">
        <f t="shared" si="25"/>
        <v>5</v>
      </c>
      <c r="M321" t="str">
        <f t="shared" si="26"/>
        <v>May</v>
      </c>
      <c r="N321">
        <f t="shared" si="27"/>
        <v>5</v>
      </c>
      <c r="O321">
        <f t="shared" si="28"/>
        <v>10</v>
      </c>
      <c r="P321" s="1">
        <f t="shared" ca="1" si="29"/>
        <v>758</v>
      </c>
    </row>
    <row r="322" spans="1:16" x14ac:dyDescent="0.3">
      <c r="A322">
        <v>2320</v>
      </c>
      <c r="B322" t="s">
        <v>29</v>
      </c>
      <c r="C322" t="s">
        <v>31</v>
      </c>
      <c r="D322" s="1">
        <v>44723</v>
      </c>
      <c r="E322" s="1">
        <v>44732</v>
      </c>
      <c r="F322" t="s">
        <v>32</v>
      </c>
      <c r="G322">
        <v>6</v>
      </c>
      <c r="H322">
        <v>734.58</v>
      </c>
      <c r="I322">
        <v>4407.4799999999996</v>
      </c>
      <c r="J322" t="s">
        <v>13</v>
      </c>
      <c r="K322">
        <f t="shared" si="24"/>
        <v>2022</v>
      </c>
      <c r="L322">
        <f t="shared" si="25"/>
        <v>6</v>
      </c>
      <c r="M322" t="str">
        <f t="shared" si="26"/>
        <v>June</v>
      </c>
      <c r="N322">
        <f t="shared" si="27"/>
        <v>6</v>
      </c>
      <c r="O322">
        <f t="shared" si="28"/>
        <v>9</v>
      </c>
      <c r="P322" s="1">
        <f t="shared" ca="1" si="29"/>
        <v>1450</v>
      </c>
    </row>
    <row r="323" spans="1:16" x14ac:dyDescent="0.3">
      <c r="A323">
        <v>2321</v>
      </c>
      <c r="B323" t="s">
        <v>40</v>
      </c>
      <c r="C323" t="s">
        <v>31</v>
      </c>
      <c r="D323" s="1">
        <v>45334</v>
      </c>
      <c r="E323" s="1">
        <v>45346</v>
      </c>
      <c r="F323" t="s">
        <v>36</v>
      </c>
      <c r="G323">
        <v>1</v>
      </c>
      <c r="H323">
        <v>4406.0200000000004</v>
      </c>
      <c r="I323">
        <v>4406.0200000000004</v>
      </c>
      <c r="J323" t="s">
        <v>13</v>
      </c>
      <c r="K323">
        <f t="shared" ref="K323:K386" si="30">YEAR(D323)</f>
        <v>2024</v>
      </c>
      <c r="L323">
        <f t="shared" ref="L323:L386" si="31">MONTH(D323)</f>
        <v>2</v>
      </c>
      <c r="M323" t="str">
        <f t="shared" ref="M323:M386" si="32">TEXT(D323,"MMMM")</f>
        <v>February</v>
      </c>
      <c r="N323">
        <f t="shared" ref="N323:N386" si="33">WEEKDAY(D323,2)</f>
        <v>1</v>
      </c>
      <c r="O323">
        <f t="shared" ref="O323:O386" si="34">DATEDIF(D323,E323,"D")</f>
        <v>12</v>
      </c>
      <c r="P323" s="1">
        <f t="shared" ref="P323:P386" ca="1" si="35">TODAY()-D323</f>
        <v>839</v>
      </c>
    </row>
    <row r="324" spans="1:16" x14ac:dyDescent="0.3">
      <c r="A324">
        <v>2322</v>
      </c>
      <c r="B324" t="s">
        <v>44</v>
      </c>
      <c r="C324" t="s">
        <v>18</v>
      </c>
      <c r="D324" s="1">
        <v>45006</v>
      </c>
      <c r="E324" s="1">
        <v>45015</v>
      </c>
      <c r="F324" t="s">
        <v>19</v>
      </c>
      <c r="G324">
        <v>6</v>
      </c>
      <c r="H324">
        <v>1724.98</v>
      </c>
      <c r="I324">
        <v>10349.879999999999</v>
      </c>
      <c r="J324" t="s">
        <v>13</v>
      </c>
      <c r="K324">
        <f t="shared" si="30"/>
        <v>2023</v>
      </c>
      <c r="L324">
        <f t="shared" si="31"/>
        <v>3</v>
      </c>
      <c r="M324" t="str">
        <f t="shared" si="32"/>
        <v>March</v>
      </c>
      <c r="N324">
        <f t="shared" si="33"/>
        <v>2</v>
      </c>
      <c r="O324">
        <f t="shared" si="34"/>
        <v>9</v>
      </c>
      <c r="P324" s="1">
        <f t="shared" ca="1" si="35"/>
        <v>1167</v>
      </c>
    </row>
    <row r="325" spans="1:16" x14ac:dyDescent="0.3">
      <c r="A325">
        <v>2323</v>
      </c>
      <c r="B325" t="s">
        <v>29</v>
      </c>
      <c r="C325" t="s">
        <v>22</v>
      </c>
      <c r="D325" s="1">
        <v>44802</v>
      </c>
      <c r="E325" s="1">
        <v>44815</v>
      </c>
      <c r="F325" t="s">
        <v>32</v>
      </c>
      <c r="G325">
        <v>8</v>
      </c>
      <c r="H325">
        <v>4597.87</v>
      </c>
      <c r="I325">
        <v>36782.959999999999</v>
      </c>
      <c r="J325" t="s">
        <v>13</v>
      </c>
      <c r="K325">
        <f t="shared" si="30"/>
        <v>2022</v>
      </c>
      <c r="L325">
        <f t="shared" si="31"/>
        <v>8</v>
      </c>
      <c r="M325" t="str">
        <f t="shared" si="32"/>
        <v>August</v>
      </c>
      <c r="N325">
        <f t="shared" si="33"/>
        <v>1</v>
      </c>
      <c r="O325">
        <f t="shared" si="34"/>
        <v>13</v>
      </c>
      <c r="P325" s="1">
        <f t="shared" ca="1" si="35"/>
        <v>1371</v>
      </c>
    </row>
    <row r="326" spans="1:16" x14ac:dyDescent="0.3">
      <c r="A326">
        <v>2324</v>
      </c>
      <c r="B326" t="s">
        <v>34</v>
      </c>
      <c r="C326" t="s">
        <v>22</v>
      </c>
      <c r="D326" s="1">
        <v>45220</v>
      </c>
      <c r="E326" s="1">
        <v>45234</v>
      </c>
      <c r="F326" t="s">
        <v>12</v>
      </c>
      <c r="G326">
        <v>7</v>
      </c>
      <c r="H326">
        <v>2491.38</v>
      </c>
      <c r="I326">
        <v>17439.66</v>
      </c>
      <c r="J326" t="s">
        <v>20</v>
      </c>
      <c r="K326">
        <f t="shared" si="30"/>
        <v>2023</v>
      </c>
      <c r="L326">
        <f t="shared" si="31"/>
        <v>10</v>
      </c>
      <c r="M326" t="str">
        <f t="shared" si="32"/>
        <v>October</v>
      </c>
      <c r="N326">
        <f t="shared" si="33"/>
        <v>6</v>
      </c>
      <c r="O326">
        <f t="shared" si="34"/>
        <v>14</v>
      </c>
      <c r="P326" s="1">
        <f t="shared" ca="1" si="35"/>
        <v>953</v>
      </c>
    </row>
    <row r="327" spans="1:16" x14ac:dyDescent="0.3">
      <c r="A327">
        <v>2325</v>
      </c>
      <c r="B327" t="s">
        <v>43</v>
      </c>
      <c r="C327" t="s">
        <v>31</v>
      </c>
      <c r="D327" s="1">
        <v>45298</v>
      </c>
      <c r="E327" s="1">
        <v>45308</v>
      </c>
      <c r="F327" t="s">
        <v>16</v>
      </c>
      <c r="G327">
        <v>8</v>
      </c>
      <c r="H327">
        <v>763.46</v>
      </c>
      <c r="I327">
        <v>6107.68</v>
      </c>
      <c r="J327" t="s">
        <v>20</v>
      </c>
      <c r="K327">
        <f t="shared" si="30"/>
        <v>2024</v>
      </c>
      <c r="L327">
        <f t="shared" si="31"/>
        <v>1</v>
      </c>
      <c r="M327" t="str">
        <f t="shared" si="32"/>
        <v>January</v>
      </c>
      <c r="N327">
        <f t="shared" si="33"/>
        <v>7</v>
      </c>
      <c r="O327">
        <f t="shared" si="34"/>
        <v>10</v>
      </c>
      <c r="P327" s="1">
        <f t="shared" ca="1" si="35"/>
        <v>875</v>
      </c>
    </row>
    <row r="328" spans="1:16" x14ac:dyDescent="0.3">
      <c r="A328">
        <v>2326</v>
      </c>
      <c r="B328" t="s">
        <v>44</v>
      </c>
      <c r="C328" t="s">
        <v>31</v>
      </c>
      <c r="D328" s="1">
        <v>44978</v>
      </c>
      <c r="E328" s="1">
        <v>44985</v>
      </c>
      <c r="F328" t="s">
        <v>12</v>
      </c>
      <c r="G328">
        <v>7</v>
      </c>
      <c r="H328">
        <v>514.86</v>
      </c>
      <c r="I328">
        <v>3604.02</v>
      </c>
      <c r="J328" t="s">
        <v>13</v>
      </c>
      <c r="K328">
        <f t="shared" si="30"/>
        <v>2023</v>
      </c>
      <c r="L328">
        <f t="shared" si="31"/>
        <v>2</v>
      </c>
      <c r="M328" t="str">
        <f t="shared" si="32"/>
        <v>February</v>
      </c>
      <c r="N328">
        <f t="shared" si="33"/>
        <v>2</v>
      </c>
      <c r="O328">
        <f t="shared" si="34"/>
        <v>7</v>
      </c>
      <c r="P328" s="1">
        <f t="shared" ca="1" si="35"/>
        <v>1195</v>
      </c>
    </row>
    <row r="329" spans="1:16" x14ac:dyDescent="0.3">
      <c r="A329">
        <v>2327</v>
      </c>
      <c r="B329" t="s">
        <v>24</v>
      </c>
      <c r="C329" t="s">
        <v>22</v>
      </c>
      <c r="D329" s="1">
        <v>44595</v>
      </c>
      <c r="E329" s="1">
        <v>44601</v>
      </c>
      <c r="F329" t="s">
        <v>36</v>
      </c>
      <c r="G329">
        <v>7</v>
      </c>
      <c r="H329">
        <v>1687.4</v>
      </c>
      <c r="I329">
        <v>11811.8</v>
      </c>
      <c r="J329" t="s">
        <v>13</v>
      </c>
      <c r="K329">
        <f t="shared" si="30"/>
        <v>2022</v>
      </c>
      <c r="L329">
        <f t="shared" si="31"/>
        <v>2</v>
      </c>
      <c r="M329" t="str">
        <f t="shared" si="32"/>
        <v>February</v>
      </c>
      <c r="N329">
        <f t="shared" si="33"/>
        <v>4</v>
      </c>
      <c r="O329">
        <f t="shared" si="34"/>
        <v>6</v>
      </c>
      <c r="P329" s="1">
        <f t="shared" ca="1" si="35"/>
        <v>1578</v>
      </c>
    </row>
    <row r="330" spans="1:16" x14ac:dyDescent="0.3">
      <c r="A330">
        <v>2328</v>
      </c>
      <c r="B330" t="s">
        <v>47</v>
      </c>
      <c r="C330" t="s">
        <v>22</v>
      </c>
      <c r="D330" s="1">
        <v>45339</v>
      </c>
      <c r="E330" s="1">
        <v>45350</v>
      </c>
      <c r="F330" t="s">
        <v>32</v>
      </c>
      <c r="G330">
        <v>4</v>
      </c>
      <c r="H330">
        <v>2646.72</v>
      </c>
      <c r="I330">
        <v>10586.88</v>
      </c>
      <c r="J330" t="s">
        <v>20</v>
      </c>
      <c r="K330">
        <f t="shared" si="30"/>
        <v>2024</v>
      </c>
      <c r="L330">
        <f t="shared" si="31"/>
        <v>2</v>
      </c>
      <c r="M330" t="str">
        <f t="shared" si="32"/>
        <v>February</v>
      </c>
      <c r="N330">
        <f t="shared" si="33"/>
        <v>6</v>
      </c>
      <c r="O330">
        <f t="shared" si="34"/>
        <v>11</v>
      </c>
      <c r="P330" s="1">
        <f t="shared" ca="1" si="35"/>
        <v>834</v>
      </c>
    </row>
    <row r="331" spans="1:16" x14ac:dyDescent="0.3">
      <c r="A331">
        <v>2329</v>
      </c>
      <c r="B331" t="s">
        <v>33</v>
      </c>
      <c r="C331" t="s">
        <v>25</v>
      </c>
      <c r="D331" s="1">
        <v>45566</v>
      </c>
      <c r="E331" s="1">
        <v>45575</v>
      </c>
      <c r="F331" t="s">
        <v>19</v>
      </c>
      <c r="G331">
        <v>6</v>
      </c>
      <c r="H331">
        <v>1095.55</v>
      </c>
      <c r="I331">
        <v>6573.3</v>
      </c>
      <c r="J331" t="s">
        <v>20</v>
      </c>
      <c r="K331">
        <f t="shared" si="30"/>
        <v>2024</v>
      </c>
      <c r="L331">
        <f t="shared" si="31"/>
        <v>10</v>
      </c>
      <c r="M331" t="str">
        <f t="shared" si="32"/>
        <v>October</v>
      </c>
      <c r="N331">
        <f t="shared" si="33"/>
        <v>2</v>
      </c>
      <c r="O331">
        <f t="shared" si="34"/>
        <v>9</v>
      </c>
      <c r="P331" s="1">
        <f t="shared" ca="1" si="35"/>
        <v>607</v>
      </c>
    </row>
    <row r="332" spans="1:16" x14ac:dyDescent="0.3">
      <c r="A332">
        <v>2330</v>
      </c>
      <c r="B332" t="s">
        <v>45</v>
      </c>
      <c r="C332" t="s">
        <v>18</v>
      </c>
      <c r="D332" s="1">
        <v>44682</v>
      </c>
      <c r="E332" s="1">
        <v>44692</v>
      </c>
      <c r="F332" t="s">
        <v>26</v>
      </c>
      <c r="G332">
        <v>2</v>
      </c>
      <c r="H332">
        <v>4742.38</v>
      </c>
      <c r="I332">
        <v>9484.76</v>
      </c>
      <c r="J332" t="s">
        <v>13</v>
      </c>
      <c r="K332">
        <f t="shared" si="30"/>
        <v>2022</v>
      </c>
      <c r="L332">
        <f t="shared" si="31"/>
        <v>5</v>
      </c>
      <c r="M332" t="str">
        <f t="shared" si="32"/>
        <v>May</v>
      </c>
      <c r="N332">
        <f t="shared" si="33"/>
        <v>7</v>
      </c>
      <c r="O332">
        <f t="shared" si="34"/>
        <v>10</v>
      </c>
      <c r="P332" s="1">
        <f t="shared" ca="1" si="35"/>
        <v>1491</v>
      </c>
    </row>
    <row r="333" spans="1:16" x14ac:dyDescent="0.3">
      <c r="A333">
        <v>2331</v>
      </c>
      <c r="B333" t="s">
        <v>44</v>
      </c>
      <c r="C333" t="s">
        <v>11</v>
      </c>
      <c r="D333" s="1">
        <v>45406</v>
      </c>
      <c r="E333" s="1">
        <v>45410</v>
      </c>
      <c r="F333" t="s">
        <v>32</v>
      </c>
      <c r="G333">
        <v>4</v>
      </c>
      <c r="H333">
        <v>619.45000000000005</v>
      </c>
      <c r="I333">
        <v>2477.8000000000002</v>
      </c>
      <c r="J333" t="s">
        <v>13</v>
      </c>
      <c r="K333">
        <f t="shared" si="30"/>
        <v>2024</v>
      </c>
      <c r="L333">
        <f t="shared" si="31"/>
        <v>4</v>
      </c>
      <c r="M333" t="str">
        <f t="shared" si="32"/>
        <v>April</v>
      </c>
      <c r="N333">
        <f t="shared" si="33"/>
        <v>3</v>
      </c>
      <c r="O333">
        <f t="shared" si="34"/>
        <v>4</v>
      </c>
      <c r="P333" s="1">
        <f t="shared" ca="1" si="35"/>
        <v>767</v>
      </c>
    </row>
    <row r="334" spans="1:16" x14ac:dyDescent="0.3">
      <c r="A334">
        <v>2332</v>
      </c>
      <c r="B334" t="s">
        <v>21</v>
      </c>
      <c r="C334" t="s">
        <v>22</v>
      </c>
      <c r="D334" s="1">
        <v>45597</v>
      </c>
      <c r="E334" s="1">
        <v>45606</v>
      </c>
      <c r="F334" t="s">
        <v>12</v>
      </c>
      <c r="G334">
        <v>1</v>
      </c>
      <c r="H334">
        <v>3203.83</v>
      </c>
      <c r="I334">
        <v>3203.83</v>
      </c>
      <c r="J334" t="s">
        <v>20</v>
      </c>
      <c r="K334">
        <f t="shared" si="30"/>
        <v>2024</v>
      </c>
      <c r="L334">
        <f t="shared" si="31"/>
        <v>11</v>
      </c>
      <c r="M334" t="str">
        <f t="shared" si="32"/>
        <v>November</v>
      </c>
      <c r="N334">
        <f t="shared" si="33"/>
        <v>5</v>
      </c>
      <c r="O334">
        <f t="shared" si="34"/>
        <v>9</v>
      </c>
      <c r="P334" s="1">
        <f t="shared" ca="1" si="35"/>
        <v>576</v>
      </c>
    </row>
    <row r="335" spans="1:16" x14ac:dyDescent="0.3">
      <c r="A335">
        <v>2333</v>
      </c>
      <c r="B335" t="s">
        <v>14</v>
      </c>
      <c r="C335" t="s">
        <v>25</v>
      </c>
      <c r="D335" s="1">
        <v>44594</v>
      </c>
      <c r="E335" s="1">
        <v>44596</v>
      </c>
      <c r="F335" t="s">
        <v>36</v>
      </c>
      <c r="G335">
        <v>7</v>
      </c>
      <c r="H335">
        <v>355.7</v>
      </c>
      <c r="I335">
        <v>2489.9</v>
      </c>
      <c r="J335" t="s">
        <v>20</v>
      </c>
      <c r="K335">
        <f t="shared" si="30"/>
        <v>2022</v>
      </c>
      <c r="L335">
        <f t="shared" si="31"/>
        <v>2</v>
      </c>
      <c r="M335" t="str">
        <f t="shared" si="32"/>
        <v>February</v>
      </c>
      <c r="N335">
        <f t="shared" si="33"/>
        <v>3</v>
      </c>
      <c r="O335">
        <f t="shared" si="34"/>
        <v>2</v>
      </c>
      <c r="P335" s="1">
        <f t="shared" ca="1" si="35"/>
        <v>1579</v>
      </c>
    </row>
    <row r="336" spans="1:16" x14ac:dyDescent="0.3">
      <c r="A336">
        <v>2334</v>
      </c>
      <c r="B336" t="s">
        <v>30</v>
      </c>
      <c r="C336" t="s">
        <v>31</v>
      </c>
      <c r="D336" s="1">
        <v>44597</v>
      </c>
      <c r="E336" s="1">
        <v>44607</v>
      </c>
      <c r="F336" t="s">
        <v>32</v>
      </c>
      <c r="G336">
        <v>7</v>
      </c>
      <c r="H336">
        <v>4088.99</v>
      </c>
      <c r="I336">
        <v>28622.93</v>
      </c>
      <c r="J336" t="s">
        <v>13</v>
      </c>
      <c r="K336">
        <f t="shared" si="30"/>
        <v>2022</v>
      </c>
      <c r="L336">
        <f t="shared" si="31"/>
        <v>2</v>
      </c>
      <c r="M336" t="str">
        <f t="shared" si="32"/>
        <v>February</v>
      </c>
      <c r="N336">
        <f t="shared" si="33"/>
        <v>6</v>
      </c>
      <c r="O336">
        <f t="shared" si="34"/>
        <v>10</v>
      </c>
      <c r="P336" s="1">
        <f t="shared" ca="1" si="35"/>
        <v>1576</v>
      </c>
    </row>
    <row r="337" spans="1:16" x14ac:dyDescent="0.3">
      <c r="A337">
        <v>2335</v>
      </c>
      <c r="B337" t="s">
        <v>23</v>
      </c>
      <c r="C337" t="s">
        <v>11</v>
      </c>
      <c r="D337" s="1">
        <v>45635</v>
      </c>
      <c r="E337" s="1">
        <v>45639</v>
      </c>
      <c r="F337" t="s">
        <v>19</v>
      </c>
      <c r="G337">
        <v>4</v>
      </c>
      <c r="H337">
        <v>3212.97</v>
      </c>
      <c r="I337">
        <v>12851.88</v>
      </c>
      <c r="J337" t="s">
        <v>20</v>
      </c>
      <c r="K337">
        <f t="shared" si="30"/>
        <v>2024</v>
      </c>
      <c r="L337">
        <f t="shared" si="31"/>
        <v>12</v>
      </c>
      <c r="M337" t="str">
        <f t="shared" si="32"/>
        <v>December</v>
      </c>
      <c r="N337">
        <f t="shared" si="33"/>
        <v>1</v>
      </c>
      <c r="O337">
        <f t="shared" si="34"/>
        <v>4</v>
      </c>
      <c r="P337" s="1">
        <f t="shared" ca="1" si="35"/>
        <v>538</v>
      </c>
    </row>
    <row r="338" spans="1:16" x14ac:dyDescent="0.3">
      <c r="A338">
        <v>2336</v>
      </c>
      <c r="B338" t="s">
        <v>46</v>
      </c>
      <c r="C338" t="s">
        <v>31</v>
      </c>
      <c r="D338" s="1">
        <v>45374</v>
      </c>
      <c r="E338" s="1">
        <v>45377</v>
      </c>
      <c r="F338" t="s">
        <v>12</v>
      </c>
      <c r="G338">
        <v>7</v>
      </c>
      <c r="H338">
        <v>2457.29</v>
      </c>
      <c r="I338">
        <v>17201.03</v>
      </c>
      <c r="J338" t="s">
        <v>13</v>
      </c>
      <c r="K338">
        <f t="shared" si="30"/>
        <v>2024</v>
      </c>
      <c r="L338">
        <f t="shared" si="31"/>
        <v>3</v>
      </c>
      <c r="M338" t="str">
        <f t="shared" si="32"/>
        <v>March</v>
      </c>
      <c r="N338">
        <f t="shared" si="33"/>
        <v>6</v>
      </c>
      <c r="O338">
        <f t="shared" si="34"/>
        <v>3</v>
      </c>
      <c r="P338" s="1">
        <f t="shared" ca="1" si="35"/>
        <v>799</v>
      </c>
    </row>
    <row r="339" spans="1:16" x14ac:dyDescent="0.3">
      <c r="A339">
        <v>2337</v>
      </c>
      <c r="B339" t="s">
        <v>48</v>
      </c>
      <c r="C339" t="s">
        <v>22</v>
      </c>
      <c r="D339" s="1">
        <v>45176</v>
      </c>
      <c r="E339" s="1">
        <v>45188</v>
      </c>
      <c r="F339" t="s">
        <v>32</v>
      </c>
      <c r="G339">
        <v>2</v>
      </c>
      <c r="H339">
        <v>3372.56</v>
      </c>
      <c r="I339">
        <v>6745.12</v>
      </c>
      <c r="J339" t="s">
        <v>13</v>
      </c>
      <c r="K339">
        <f t="shared" si="30"/>
        <v>2023</v>
      </c>
      <c r="L339">
        <f t="shared" si="31"/>
        <v>9</v>
      </c>
      <c r="M339" t="str">
        <f t="shared" si="32"/>
        <v>September</v>
      </c>
      <c r="N339">
        <f t="shared" si="33"/>
        <v>4</v>
      </c>
      <c r="O339">
        <f t="shared" si="34"/>
        <v>12</v>
      </c>
      <c r="P339" s="1">
        <f t="shared" ca="1" si="35"/>
        <v>997</v>
      </c>
    </row>
    <row r="340" spans="1:16" x14ac:dyDescent="0.3">
      <c r="A340">
        <v>2338</v>
      </c>
      <c r="B340" t="s">
        <v>49</v>
      </c>
      <c r="C340" t="s">
        <v>25</v>
      </c>
      <c r="D340" s="1">
        <v>45338</v>
      </c>
      <c r="E340" s="1">
        <v>45346</v>
      </c>
      <c r="F340" t="s">
        <v>36</v>
      </c>
      <c r="G340">
        <v>8</v>
      </c>
      <c r="H340">
        <v>563.74</v>
      </c>
      <c r="I340">
        <v>4509.92</v>
      </c>
      <c r="J340" t="s">
        <v>13</v>
      </c>
      <c r="K340">
        <f t="shared" si="30"/>
        <v>2024</v>
      </c>
      <c r="L340">
        <f t="shared" si="31"/>
        <v>2</v>
      </c>
      <c r="M340" t="str">
        <f t="shared" si="32"/>
        <v>February</v>
      </c>
      <c r="N340">
        <f t="shared" si="33"/>
        <v>5</v>
      </c>
      <c r="O340">
        <f t="shared" si="34"/>
        <v>8</v>
      </c>
      <c r="P340" s="1">
        <f t="shared" ca="1" si="35"/>
        <v>835</v>
      </c>
    </row>
    <row r="341" spans="1:16" x14ac:dyDescent="0.3">
      <c r="A341">
        <v>2339</v>
      </c>
      <c r="B341" t="s">
        <v>48</v>
      </c>
      <c r="C341" t="s">
        <v>22</v>
      </c>
      <c r="D341" s="1">
        <v>44731</v>
      </c>
      <c r="E341" s="1">
        <v>44740</v>
      </c>
      <c r="F341" t="s">
        <v>32</v>
      </c>
      <c r="G341">
        <v>7</v>
      </c>
      <c r="H341">
        <v>3331.06</v>
      </c>
      <c r="I341">
        <v>23317.42</v>
      </c>
      <c r="J341" t="s">
        <v>20</v>
      </c>
      <c r="K341">
        <f t="shared" si="30"/>
        <v>2022</v>
      </c>
      <c r="L341">
        <f t="shared" si="31"/>
        <v>6</v>
      </c>
      <c r="M341" t="str">
        <f t="shared" si="32"/>
        <v>June</v>
      </c>
      <c r="N341">
        <f t="shared" si="33"/>
        <v>7</v>
      </c>
      <c r="O341">
        <f t="shared" si="34"/>
        <v>9</v>
      </c>
      <c r="P341" s="1">
        <f t="shared" ca="1" si="35"/>
        <v>1442</v>
      </c>
    </row>
    <row r="342" spans="1:16" x14ac:dyDescent="0.3">
      <c r="A342">
        <v>2340</v>
      </c>
      <c r="B342" t="s">
        <v>27</v>
      </c>
      <c r="C342" t="s">
        <v>11</v>
      </c>
      <c r="D342" s="1">
        <v>45643</v>
      </c>
      <c r="E342" s="1">
        <v>45645</v>
      </c>
      <c r="F342" t="s">
        <v>19</v>
      </c>
      <c r="G342">
        <v>4</v>
      </c>
      <c r="H342">
        <v>4535.9799999999996</v>
      </c>
      <c r="I342">
        <v>18143.919999999998</v>
      </c>
      <c r="J342" t="s">
        <v>20</v>
      </c>
      <c r="K342">
        <f t="shared" si="30"/>
        <v>2024</v>
      </c>
      <c r="L342">
        <f t="shared" si="31"/>
        <v>12</v>
      </c>
      <c r="M342" t="str">
        <f t="shared" si="32"/>
        <v>December</v>
      </c>
      <c r="N342">
        <f t="shared" si="33"/>
        <v>2</v>
      </c>
      <c r="O342">
        <f t="shared" si="34"/>
        <v>2</v>
      </c>
      <c r="P342" s="1">
        <f t="shared" ca="1" si="35"/>
        <v>530</v>
      </c>
    </row>
    <row r="343" spans="1:16" x14ac:dyDescent="0.3">
      <c r="A343">
        <v>2341</v>
      </c>
      <c r="B343" t="s">
        <v>33</v>
      </c>
      <c r="C343" t="s">
        <v>11</v>
      </c>
      <c r="D343" s="1">
        <v>44714</v>
      </c>
      <c r="E343" s="1">
        <v>44726</v>
      </c>
      <c r="F343" t="s">
        <v>12</v>
      </c>
      <c r="G343">
        <v>1</v>
      </c>
      <c r="H343">
        <v>1142.97</v>
      </c>
      <c r="I343">
        <v>1142.97</v>
      </c>
      <c r="J343" t="s">
        <v>20</v>
      </c>
      <c r="K343">
        <f t="shared" si="30"/>
        <v>2022</v>
      </c>
      <c r="L343">
        <f t="shared" si="31"/>
        <v>6</v>
      </c>
      <c r="M343" t="str">
        <f t="shared" si="32"/>
        <v>June</v>
      </c>
      <c r="N343">
        <f t="shared" si="33"/>
        <v>4</v>
      </c>
      <c r="O343">
        <f t="shared" si="34"/>
        <v>12</v>
      </c>
      <c r="P343" s="1">
        <f t="shared" ca="1" si="35"/>
        <v>1459</v>
      </c>
    </row>
    <row r="344" spans="1:16" x14ac:dyDescent="0.3">
      <c r="A344">
        <v>2342</v>
      </c>
      <c r="B344" t="s">
        <v>21</v>
      </c>
      <c r="C344" t="s">
        <v>22</v>
      </c>
      <c r="D344" s="1">
        <v>44857</v>
      </c>
      <c r="E344" s="1">
        <v>44871</v>
      </c>
      <c r="F344" t="s">
        <v>32</v>
      </c>
      <c r="G344">
        <v>7</v>
      </c>
      <c r="H344">
        <v>4665.71</v>
      </c>
      <c r="I344">
        <v>32659.97</v>
      </c>
      <c r="J344" t="s">
        <v>20</v>
      </c>
      <c r="K344">
        <f t="shared" si="30"/>
        <v>2022</v>
      </c>
      <c r="L344">
        <f t="shared" si="31"/>
        <v>10</v>
      </c>
      <c r="M344" t="str">
        <f t="shared" si="32"/>
        <v>October</v>
      </c>
      <c r="N344">
        <f t="shared" si="33"/>
        <v>7</v>
      </c>
      <c r="O344">
        <f t="shared" si="34"/>
        <v>14</v>
      </c>
      <c r="P344" s="1">
        <f t="shared" ca="1" si="35"/>
        <v>1316</v>
      </c>
    </row>
    <row r="345" spans="1:16" x14ac:dyDescent="0.3">
      <c r="A345">
        <v>2343</v>
      </c>
      <c r="B345" t="s">
        <v>45</v>
      </c>
      <c r="C345" t="s">
        <v>18</v>
      </c>
      <c r="D345" s="1">
        <v>45054</v>
      </c>
      <c r="E345" s="1">
        <v>45065</v>
      </c>
      <c r="F345" t="s">
        <v>32</v>
      </c>
      <c r="G345">
        <v>7</v>
      </c>
      <c r="H345">
        <v>3482.06</v>
      </c>
      <c r="I345">
        <v>24374.42</v>
      </c>
      <c r="J345" t="s">
        <v>20</v>
      </c>
      <c r="K345">
        <f t="shared" si="30"/>
        <v>2023</v>
      </c>
      <c r="L345">
        <f t="shared" si="31"/>
        <v>5</v>
      </c>
      <c r="M345" t="str">
        <f t="shared" si="32"/>
        <v>May</v>
      </c>
      <c r="N345">
        <f t="shared" si="33"/>
        <v>1</v>
      </c>
      <c r="O345">
        <f t="shared" si="34"/>
        <v>11</v>
      </c>
      <c r="P345" s="1">
        <f t="shared" ca="1" si="35"/>
        <v>1119</v>
      </c>
    </row>
    <row r="346" spans="1:16" x14ac:dyDescent="0.3">
      <c r="A346">
        <v>2344</v>
      </c>
      <c r="B346" t="s">
        <v>34</v>
      </c>
      <c r="C346" t="s">
        <v>15</v>
      </c>
      <c r="D346" s="1">
        <v>44848</v>
      </c>
      <c r="E346" s="1">
        <v>44862</v>
      </c>
      <c r="F346" t="s">
        <v>28</v>
      </c>
      <c r="G346">
        <v>2</v>
      </c>
      <c r="H346">
        <v>2653.73</v>
      </c>
      <c r="I346">
        <v>5307.46</v>
      </c>
      <c r="J346" t="s">
        <v>20</v>
      </c>
      <c r="K346">
        <f t="shared" si="30"/>
        <v>2022</v>
      </c>
      <c r="L346">
        <f t="shared" si="31"/>
        <v>10</v>
      </c>
      <c r="M346" t="str">
        <f t="shared" si="32"/>
        <v>October</v>
      </c>
      <c r="N346">
        <f t="shared" si="33"/>
        <v>5</v>
      </c>
      <c r="O346">
        <f t="shared" si="34"/>
        <v>14</v>
      </c>
      <c r="P346" s="1">
        <f t="shared" ca="1" si="35"/>
        <v>1325</v>
      </c>
    </row>
    <row r="347" spans="1:16" x14ac:dyDescent="0.3">
      <c r="A347">
        <v>2345</v>
      </c>
      <c r="B347" t="s">
        <v>40</v>
      </c>
      <c r="C347" t="s">
        <v>11</v>
      </c>
      <c r="D347" s="1">
        <v>45457</v>
      </c>
      <c r="E347" s="1">
        <v>45462</v>
      </c>
      <c r="F347" t="s">
        <v>32</v>
      </c>
      <c r="G347">
        <v>2</v>
      </c>
      <c r="H347">
        <v>1900.79</v>
      </c>
      <c r="I347">
        <v>3801.58</v>
      </c>
      <c r="J347" t="s">
        <v>20</v>
      </c>
      <c r="K347">
        <f t="shared" si="30"/>
        <v>2024</v>
      </c>
      <c r="L347">
        <f t="shared" si="31"/>
        <v>6</v>
      </c>
      <c r="M347" t="str">
        <f t="shared" si="32"/>
        <v>June</v>
      </c>
      <c r="N347">
        <f t="shared" si="33"/>
        <v>5</v>
      </c>
      <c r="O347">
        <f t="shared" si="34"/>
        <v>5</v>
      </c>
      <c r="P347" s="1">
        <f t="shared" ca="1" si="35"/>
        <v>716</v>
      </c>
    </row>
    <row r="348" spans="1:16" x14ac:dyDescent="0.3">
      <c r="A348">
        <v>2346</v>
      </c>
      <c r="B348" t="s">
        <v>44</v>
      </c>
      <c r="C348" t="s">
        <v>31</v>
      </c>
      <c r="D348" s="1">
        <v>44622</v>
      </c>
      <c r="E348" s="1">
        <v>44634</v>
      </c>
      <c r="F348" t="s">
        <v>12</v>
      </c>
      <c r="G348">
        <v>8</v>
      </c>
      <c r="H348">
        <v>2605.84</v>
      </c>
      <c r="I348">
        <v>20846.72</v>
      </c>
      <c r="J348" t="s">
        <v>20</v>
      </c>
      <c r="K348">
        <f t="shared" si="30"/>
        <v>2022</v>
      </c>
      <c r="L348">
        <f t="shared" si="31"/>
        <v>3</v>
      </c>
      <c r="M348" t="str">
        <f t="shared" si="32"/>
        <v>March</v>
      </c>
      <c r="N348">
        <f t="shared" si="33"/>
        <v>3</v>
      </c>
      <c r="O348">
        <f t="shared" si="34"/>
        <v>12</v>
      </c>
      <c r="P348" s="1">
        <f t="shared" ca="1" si="35"/>
        <v>1551</v>
      </c>
    </row>
    <row r="349" spans="1:16" x14ac:dyDescent="0.3">
      <c r="A349">
        <v>2347</v>
      </c>
      <c r="B349" t="s">
        <v>30</v>
      </c>
      <c r="C349" t="s">
        <v>25</v>
      </c>
      <c r="D349" s="1">
        <v>45446</v>
      </c>
      <c r="E349" s="1">
        <v>45450</v>
      </c>
      <c r="F349" t="s">
        <v>28</v>
      </c>
      <c r="G349">
        <v>7</v>
      </c>
      <c r="H349">
        <v>702.76</v>
      </c>
      <c r="I349">
        <v>4919.32</v>
      </c>
      <c r="J349" t="s">
        <v>20</v>
      </c>
      <c r="K349">
        <f t="shared" si="30"/>
        <v>2024</v>
      </c>
      <c r="L349">
        <f t="shared" si="31"/>
        <v>6</v>
      </c>
      <c r="M349" t="str">
        <f t="shared" si="32"/>
        <v>June</v>
      </c>
      <c r="N349">
        <f t="shared" si="33"/>
        <v>1</v>
      </c>
      <c r="O349">
        <f t="shared" si="34"/>
        <v>4</v>
      </c>
      <c r="P349" s="1">
        <f t="shared" ca="1" si="35"/>
        <v>727</v>
      </c>
    </row>
    <row r="350" spans="1:16" x14ac:dyDescent="0.3">
      <c r="A350">
        <v>2348</v>
      </c>
      <c r="B350" t="s">
        <v>17</v>
      </c>
      <c r="C350" t="s">
        <v>15</v>
      </c>
      <c r="D350" s="1">
        <v>44712</v>
      </c>
      <c r="E350" s="1">
        <v>44715</v>
      </c>
      <c r="F350" t="s">
        <v>12</v>
      </c>
      <c r="G350">
        <v>3</v>
      </c>
      <c r="H350">
        <v>2086</v>
      </c>
      <c r="I350">
        <v>6258</v>
      </c>
      <c r="J350" t="s">
        <v>13</v>
      </c>
      <c r="K350">
        <f t="shared" si="30"/>
        <v>2022</v>
      </c>
      <c r="L350">
        <f t="shared" si="31"/>
        <v>5</v>
      </c>
      <c r="M350" t="str">
        <f t="shared" si="32"/>
        <v>May</v>
      </c>
      <c r="N350">
        <f t="shared" si="33"/>
        <v>2</v>
      </c>
      <c r="O350">
        <f t="shared" si="34"/>
        <v>3</v>
      </c>
      <c r="P350" s="1">
        <f t="shared" ca="1" si="35"/>
        <v>1461</v>
      </c>
    </row>
    <row r="351" spans="1:16" x14ac:dyDescent="0.3">
      <c r="A351">
        <v>2349</v>
      </c>
      <c r="B351" t="s">
        <v>24</v>
      </c>
      <c r="C351" t="s">
        <v>25</v>
      </c>
      <c r="D351" s="1">
        <v>45210</v>
      </c>
      <c r="E351" s="1">
        <v>45217</v>
      </c>
      <c r="F351" t="s">
        <v>26</v>
      </c>
      <c r="G351">
        <v>2</v>
      </c>
      <c r="H351">
        <v>324.42</v>
      </c>
      <c r="I351">
        <v>648.84</v>
      </c>
      <c r="J351" t="s">
        <v>20</v>
      </c>
      <c r="K351">
        <f t="shared" si="30"/>
        <v>2023</v>
      </c>
      <c r="L351">
        <f t="shared" si="31"/>
        <v>10</v>
      </c>
      <c r="M351" t="str">
        <f t="shared" si="32"/>
        <v>October</v>
      </c>
      <c r="N351">
        <f t="shared" si="33"/>
        <v>3</v>
      </c>
      <c r="O351">
        <f t="shared" si="34"/>
        <v>7</v>
      </c>
      <c r="P351" s="1">
        <f t="shared" ca="1" si="35"/>
        <v>963</v>
      </c>
    </row>
    <row r="352" spans="1:16" x14ac:dyDescent="0.3">
      <c r="A352">
        <v>2350</v>
      </c>
      <c r="B352" t="s">
        <v>38</v>
      </c>
      <c r="C352" t="s">
        <v>31</v>
      </c>
      <c r="D352" s="1">
        <v>45114</v>
      </c>
      <c r="E352" s="1">
        <v>45117</v>
      </c>
      <c r="F352" t="s">
        <v>19</v>
      </c>
      <c r="G352">
        <v>2</v>
      </c>
      <c r="H352">
        <v>1180.74</v>
      </c>
      <c r="I352">
        <v>2361.48</v>
      </c>
      <c r="J352" t="s">
        <v>20</v>
      </c>
      <c r="K352">
        <f t="shared" si="30"/>
        <v>2023</v>
      </c>
      <c r="L352">
        <f t="shared" si="31"/>
        <v>7</v>
      </c>
      <c r="M352" t="str">
        <f t="shared" si="32"/>
        <v>July</v>
      </c>
      <c r="N352">
        <f t="shared" si="33"/>
        <v>5</v>
      </c>
      <c r="O352">
        <f t="shared" si="34"/>
        <v>3</v>
      </c>
      <c r="P352" s="1">
        <f t="shared" ca="1" si="35"/>
        <v>1059</v>
      </c>
    </row>
    <row r="353" spans="1:16" x14ac:dyDescent="0.3">
      <c r="A353">
        <v>2351</v>
      </c>
      <c r="B353" t="s">
        <v>30</v>
      </c>
      <c r="C353" t="s">
        <v>18</v>
      </c>
      <c r="D353" s="1">
        <v>45611</v>
      </c>
      <c r="E353" s="1">
        <v>45619</v>
      </c>
      <c r="F353" t="s">
        <v>26</v>
      </c>
      <c r="G353">
        <v>1</v>
      </c>
      <c r="H353">
        <v>721.21</v>
      </c>
      <c r="I353">
        <v>721.21</v>
      </c>
      <c r="J353" t="s">
        <v>13</v>
      </c>
      <c r="K353">
        <f t="shared" si="30"/>
        <v>2024</v>
      </c>
      <c r="L353">
        <f t="shared" si="31"/>
        <v>11</v>
      </c>
      <c r="M353" t="str">
        <f t="shared" si="32"/>
        <v>November</v>
      </c>
      <c r="N353">
        <f t="shared" si="33"/>
        <v>5</v>
      </c>
      <c r="O353">
        <f t="shared" si="34"/>
        <v>8</v>
      </c>
      <c r="P353" s="1">
        <f t="shared" ca="1" si="35"/>
        <v>562</v>
      </c>
    </row>
    <row r="354" spans="1:16" x14ac:dyDescent="0.3">
      <c r="A354">
        <v>2352</v>
      </c>
      <c r="B354" t="s">
        <v>42</v>
      </c>
      <c r="C354" t="s">
        <v>18</v>
      </c>
      <c r="D354" s="1">
        <v>45226</v>
      </c>
      <c r="E354" s="1">
        <v>45241</v>
      </c>
      <c r="F354" t="s">
        <v>16</v>
      </c>
      <c r="G354">
        <v>1</v>
      </c>
      <c r="H354">
        <v>1671.68</v>
      </c>
      <c r="I354">
        <v>1671.68</v>
      </c>
      <c r="J354" t="s">
        <v>20</v>
      </c>
      <c r="K354">
        <f t="shared" si="30"/>
        <v>2023</v>
      </c>
      <c r="L354">
        <f t="shared" si="31"/>
        <v>10</v>
      </c>
      <c r="M354" t="str">
        <f t="shared" si="32"/>
        <v>October</v>
      </c>
      <c r="N354">
        <f t="shared" si="33"/>
        <v>5</v>
      </c>
      <c r="O354">
        <f t="shared" si="34"/>
        <v>15</v>
      </c>
      <c r="P354" s="1">
        <f t="shared" ca="1" si="35"/>
        <v>947</v>
      </c>
    </row>
    <row r="355" spans="1:16" x14ac:dyDescent="0.3">
      <c r="A355">
        <v>2353</v>
      </c>
      <c r="B355" t="s">
        <v>44</v>
      </c>
      <c r="C355" t="s">
        <v>11</v>
      </c>
      <c r="D355" s="1">
        <v>45059</v>
      </c>
      <c r="E355" s="1">
        <v>45070</v>
      </c>
      <c r="F355" t="s">
        <v>36</v>
      </c>
      <c r="G355">
        <v>3</v>
      </c>
      <c r="H355">
        <v>3520.99</v>
      </c>
      <c r="I355">
        <v>10562.97</v>
      </c>
      <c r="J355" t="s">
        <v>13</v>
      </c>
      <c r="K355">
        <f t="shared" si="30"/>
        <v>2023</v>
      </c>
      <c r="L355">
        <f t="shared" si="31"/>
        <v>5</v>
      </c>
      <c r="M355" t="str">
        <f t="shared" si="32"/>
        <v>May</v>
      </c>
      <c r="N355">
        <f t="shared" si="33"/>
        <v>6</v>
      </c>
      <c r="O355">
        <f t="shared" si="34"/>
        <v>11</v>
      </c>
      <c r="P355" s="1">
        <f t="shared" ca="1" si="35"/>
        <v>1114</v>
      </c>
    </row>
    <row r="356" spans="1:16" x14ac:dyDescent="0.3">
      <c r="A356">
        <v>2354</v>
      </c>
      <c r="B356" t="s">
        <v>37</v>
      </c>
      <c r="C356" t="s">
        <v>31</v>
      </c>
      <c r="D356" s="1">
        <v>45178</v>
      </c>
      <c r="E356" s="1">
        <v>45184</v>
      </c>
      <c r="F356" t="s">
        <v>16</v>
      </c>
      <c r="G356">
        <v>3</v>
      </c>
      <c r="H356">
        <v>597.36</v>
      </c>
      <c r="I356">
        <v>1792.08</v>
      </c>
      <c r="J356" t="s">
        <v>20</v>
      </c>
      <c r="K356">
        <f t="shared" si="30"/>
        <v>2023</v>
      </c>
      <c r="L356">
        <f t="shared" si="31"/>
        <v>9</v>
      </c>
      <c r="M356" t="str">
        <f t="shared" si="32"/>
        <v>September</v>
      </c>
      <c r="N356">
        <f t="shared" si="33"/>
        <v>6</v>
      </c>
      <c r="O356">
        <f t="shared" si="34"/>
        <v>6</v>
      </c>
      <c r="P356" s="1">
        <f t="shared" ca="1" si="35"/>
        <v>995</v>
      </c>
    </row>
    <row r="357" spans="1:16" x14ac:dyDescent="0.3">
      <c r="A357">
        <v>2355</v>
      </c>
      <c r="B357" t="s">
        <v>33</v>
      </c>
      <c r="C357" t="s">
        <v>25</v>
      </c>
      <c r="D357" s="1">
        <v>45175</v>
      </c>
      <c r="E357" s="1">
        <v>45184</v>
      </c>
      <c r="F357" t="s">
        <v>32</v>
      </c>
      <c r="G357">
        <v>2</v>
      </c>
      <c r="H357">
        <v>1997.29</v>
      </c>
      <c r="I357">
        <v>3994.58</v>
      </c>
      <c r="J357" t="s">
        <v>13</v>
      </c>
      <c r="K357">
        <f t="shared" si="30"/>
        <v>2023</v>
      </c>
      <c r="L357">
        <f t="shared" si="31"/>
        <v>9</v>
      </c>
      <c r="M357" t="str">
        <f t="shared" si="32"/>
        <v>September</v>
      </c>
      <c r="N357">
        <f t="shared" si="33"/>
        <v>3</v>
      </c>
      <c r="O357">
        <f t="shared" si="34"/>
        <v>9</v>
      </c>
      <c r="P357" s="1">
        <f t="shared" ca="1" si="35"/>
        <v>998</v>
      </c>
    </row>
    <row r="358" spans="1:16" x14ac:dyDescent="0.3">
      <c r="A358">
        <v>2356</v>
      </c>
      <c r="B358" t="s">
        <v>24</v>
      </c>
      <c r="C358" t="s">
        <v>15</v>
      </c>
      <c r="D358" s="1">
        <v>45577</v>
      </c>
      <c r="E358" s="1">
        <v>45588</v>
      </c>
      <c r="F358" t="s">
        <v>36</v>
      </c>
      <c r="G358">
        <v>4</v>
      </c>
      <c r="H358">
        <v>2451.9499999999998</v>
      </c>
      <c r="I358">
        <v>9807.7999999999993</v>
      </c>
      <c r="J358" t="s">
        <v>13</v>
      </c>
      <c r="K358">
        <f t="shared" si="30"/>
        <v>2024</v>
      </c>
      <c r="L358">
        <f t="shared" si="31"/>
        <v>10</v>
      </c>
      <c r="M358" t="str">
        <f t="shared" si="32"/>
        <v>October</v>
      </c>
      <c r="N358">
        <f t="shared" si="33"/>
        <v>6</v>
      </c>
      <c r="O358">
        <f t="shared" si="34"/>
        <v>11</v>
      </c>
      <c r="P358" s="1">
        <f t="shared" ca="1" si="35"/>
        <v>596</v>
      </c>
    </row>
    <row r="359" spans="1:16" x14ac:dyDescent="0.3">
      <c r="A359">
        <v>2357</v>
      </c>
      <c r="B359" t="s">
        <v>43</v>
      </c>
      <c r="C359" t="s">
        <v>11</v>
      </c>
      <c r="D359" s="1">
        <v>45372</v>
      </c>
      <c r="E359" s="1">
        <v>45379</v>
      </c>
      <c r="F359" t="s">
        <v>32</v>
      </c>
      <c r="G359">
        <v>7</v>
      </c>
      <c r="H359">
        <v>4079.16</v>
      </c>
      <c r="I359">
        <v>28554.12</v>
      </c>
      <c r="J359" t="s">
        <v>20</v>
      </c>
      <c r="K359">
        <f t="shared" si="30"/>
        <v>2024</v>
      </c>
      <c r="L359">
        <f t="shared" si="31"/>
        <v>3</v>
      </c>
      <c r="M359" t="str">
        <f t="shared" si="32"/>
        <v>March</v>
      </c>
      <c r="N359">
        <f t="shared" si="33"/>
        <v>4</v>
      </c>
      <c r="O359">
        <f t="shared" si="34"/>
        <v>7</v>
      </c>
      <c r="P359" s="1">
        <f t="shared" ca="1" si="35"/>
        <v>801</v>
      </c>
    </row>
    <row r="360" spans="1:16" x14ac:dyDescent="0.3">
      <c r="A360">
        <v>2358</v>
      </c>
      <c r="B360" t="s">
        <v>38</v>
      </c>
      <c r="C360" t="s">
        <v>31</v>
      </c>
      <c r="D360" s="1">
        <v>45443</v>
      </c>
      <c r="E360" s="1">
        <v>45458</v>
      </c>
      <c r="F360" t="s">
        <v>32</v>
      </c>
      <c r="G360">
        <v>3</v>
      </c>
      <c r="H360">
        <v>1712.05</v>
      </c>
      <c r="I360">
        <v>5136.1499999999996</v>
      </c>
      <c r="J360" t="s">
        <v>13</v>
      </c>
      <c r="K360">
        <f t="shared" si="30"/>
        <v>2024</v>
      </c>
      <c r="L360">
        <f t="shared" si="31"/>
        <v>5</v>
      </c>
      <c r="M360" t="str">
        <f t="shared" si="32"/>
        <v>May</v>
      </c>
      <c r="N360">
        <f t="shared" si="33"/>
        <v>5</v>
      </c>
      <c r="O360">
        <f t="shared" si="34"/>
        <v>15</v>
      </c>
      <c r="P360" s="1">
        <f t="shared" ca="1" si="35"/>
        <v>730</v>
      </c>
    </row>
    <row r="361" spans="1:16" x14ac:dyDescent="0.3">
      <c r="A361">
        <v>2359</v>
      </c>
      <c r="B361" t="s">
        <v>41</v>
      </c>
      <c r="C361" t="s">
        <v>31</v>
      </c>
      <c r="D361" s="1">
        <v>44925</v>
      </c>
      <c r="E361" s="1">
        <v>44933</v>
      </c>
      <c r="F361" t="s">
        <v>12</v>
      </c>
      <c r="G361">
        <v>5</v>
      </c>
      <c r="H361">
        <v>3753.91</v>
      </c>
      <c r="I361">
        <v>18769.55</v>
      </c>
      <c r="J361" t="s">
        <v>20</v>
      </c>
      <c r="K361">
        <f t="shared" si="30"/>
        <v>2022</v>
      </c>
      <c r="L361">
        <f t="shared" si="31"/>
        <v>12</v>
      </c>
      <c r="M361" t="str">
        <f t="shared" si="32"/>
        <v>December</v>
      </c>
      <c r="N361">
        <f t="shared" si="33"/>
        <v>5</v>
      </c>
      <c r="O361">
        <f t="shared" si="34"/>
        <v>8</v>
      </c>
      <c r="P361" s="1">
        <f t="shared" ca="1" si="35"/>
        <v>1248</v>
      </c>
    </row>
    <row r="362" spans="1:16" x14ac:dyDescent="0.3">
      <c r="A362">
        <v>2360</v>
      </c>
      <c r="B362" t="s">
        <v>27</v>
      </c>
      <c r="C362" t="s">
        <v>22</v>
      </c>
      <c r="D362" s="1">
        <v>45229</v>
      </c>
      <c r="E362" s="1">
        <v>45237</v>
      </c>
      <c r="F362" t="s">
        <v>12</v>
      </c>
      <c r="G362">
        <v>7</v>
      </c>
      <c r="H362">
        <v>2015.57</v>
      </c>
      <c r="I362">
        <v>14108.99</v>
      </c>
      <c r="J362" t="s">
        <v>13</v>
      </c>
      <c r="K362">
        <f t="shared" si="30"/>
        <v>2023</v>
      </c>
      <c r="L362">
        <f t="shared" si="31"/>
        <v>10</v>
      </c>
      <c r="M362" t="str">
        <f t="shared" si="32"/>
        <v>October</v>
      </c>
      <c r="N362">
        <f t="shared" si="33"/>
        <v>1</v>
      </c>
      <c r="O362">
        <f t="shared" si="34"/>
        <v>8</v>
      </c>
      <c r="P362" s="1">
        <f t="shared" ca="1" si="35"/>
        <v>944</v>
      </c>
    </row>
    <row r="363" spans="1:16" x14ac:dyDescent="0.3">
      <c r="A363">
        <v>2361</v>
      </c>
      <c r="B363" t="s">
        <v>27</v>
      </c>
      <c r="C363" t="s">
        <v>18</v>
      </c>
      <c r="D363" s="1">
        <v>44930</v>
      </c>
      <c r="E363" s="1">
        <v>44942</v>
      </c>
      <c r="F363" t="s">
        <v>32</v>
      </c>
      <c r="G363">
        <v>1</v>
      </c>
      <c r="H363">
        <v>4779.12</v>
      </c>
      <c r="I363">
        <v>4779.12</v>
      </c>
      <c r="J363" t="s">
        <v>20</v>
      </c>
      <c r="K363">
        <f t="shared" si="30"/>
        <v>2023</v>
      </c>
      <c r="L363">
        <f t="shared" si="31"/>
        <v>1</v>
      </c>
      <c r="M363" t="str">
        <f t="shared" si="32"/>
        <v>January</v>
      </c>
      <c r="N363">
        <f t="shared" si="33"/>
        <v>3</v>
      </c>
      <c r="O363">
        <f t="shared" si="34"/>
        <v>12</v>
      </c>
      <c r="P363" s="1">
        <f t="shared" ca="1" si="35"/>
        <v>1243</v>
      </c>
    </row>
    <row r="364" spans="1:16" x14ac:dyDescent="0.3">
      <c r="A364">
        <v>2362</v>
      </c>
      <c r="B364" t="s">
        <v>48</v>
      </c>
      <c r="C364" t="s">
        <v>22</v>
      </c>
      <c r="D364" s="1">
        <v>45459</v>
      </c>
      <c r="E364" s="1">
        <v>45473</v>
      </c>
      <c r="F364" t="s">
        <v>12</v>
      </c>
      <c r="G364">
        <v>2</v>
      </c>
      <c r="H364">
        <v>4149.1400000000003</v>
      </c>
      <c r="I364">
        <v>8298.2800000000007</v>
      </c>
      <c r="J364" t="s">
        <v>20</v>
      </c>
      <c r="K364">
        <f t="shared" si="30"/>
        <v>2024</v>
      </c>
      <c r="L364">
        <f t="shared" si="31"/>
        <v>6</v>
      </c>
      <c r="M364" t="str">
        <f t="shared" si="32"/>
        <v>June</v>
      </c>
      <c r="N364">
        <f t="shared" si="33"/>
        <v>7</v>
      </c>
      <c r="O364">
        <f t="shared" si="34"/>
        <v>14</v>
      </c>
      <c r="P364" s="1">
        <f t="shared" ca="1" si="35"/>
        <v>714</v>
      </c>
    </row>
    <row r="365" spans="1:16" x14ac:dyDescent="0.3">
      <c r="A365">
        <v>2363</v>
      </c>
      <c r="B365" t="s">
        <v>14</v>
      </c>
      <c r="C365" t="s">
        <v>25</v>
      </c>
      <c r="D365" s="1">
        <v>44847</v>
      </c>
      <c r="E365" s="1">
        <v>44859</v>
      </c>
      <c r="F365" t="s">
        <v>12</v>
      </c>
      <c r="G365">
        <v>4</v>
      </c>
      <c r="H365">
        <v>1487.6</v>
      </c>
      <c r="I365">
        <v>5950.4</v>
      </c>
      <c r="J365" t="s">
        <v>13</v>
      </c>
      <c r="K365">
        <f t="shared" si="30"/>
        <v>2022</v>
      </c>
      <c r="L365">
        <f t="shared" si="31"/>
        <v>10</v>
      </c>
      <c r="M365" t="str">
        <f t="shared" si="32"/>
        <v>October</v>
      </c>
      <c r="N365">
        <f t="shared" si="33"/>
        <v>4</v>
      </c>
      <c r="O365">
        <f t="shared" si="34"/>
        <v>12</v>
      </c>
      <c r="P365" s="1">
        <f t="shared" ca="1" si="35"/>
        <v>1326</v>
      </c>
    </row>
    <row r="366" spans="1:16" x14ac:dyDescent="0.3">
      <c r="A366">
        <v>2364</v>
      </c>
      <c r="B366" t="s">
        <v>48</v>
      </c>
      <c r="C366" t="s">
        <v>25</v>
      </c>
      <c r="D366" s="1">
        <v>45334</v>
      </c>
      <c r="E366" s="1">
        <v>45337</v>
      </c>
      <c r="F366" t="s">
        <v>16</v>
      </c>
      <c r="G366">
        <v>8</v>
      </c>
      <c r="H366">
        <v>3036.55</v>
      </c>
      <c r="I366">
        <v>24292.400000000001</v>
      </c>
      <c r="J366" t="s">
        <v>20</v>
      </c>
      <c r="K366">
        <f t="shared" si="30"/>
        <v>2024</v>
      </c>
      <c r="L366">
        <f t="shared" si="31"/>
        <v>2</v>
      </c>
      <c r="M366" t="str">
        <f t="shared" si="32"/>
        <v>February</v>
      </c>
      <c r="N366">
        <f t="shared" si="33"/>
        <v>1</v>
      </c>
      <c r="O366">
        <f t="shared" si="34"/>
        <v>3</v>
      </c>
      <c r="P366" s="1">
        <f t="shared" ca="1" si="35"/>
        <v>839</v>
      </c>
    </row>
    <row r="367" spans="1:16" x14ac:dyDescent="0.3">
      <c r="A367">
        <v>2365</v>
      </c>
      <c r="B367" t="s">
        <v>30</v>
      </c>
      <c r="C367" t="s">
        <v>11</v>
      </c>
      <c r="D367" s="1">
        <v>45298</v>
      </c>
      <c r="E367" s="1">
        <v>45311</v>
      </c>
      <c r="F367" t="s">
        <v>32</v>
      </c>
      <c r="G367">
        <v>2</v>
      </c>
      <c r="H367">
        <v>814.04</v>
      </c>
      <c r="I367">
        <v>1628.08</v>
      </c>
      <c r="J367" t="s">
        <v>13</v>
      </c>
      <c r="K367">
        <f t="shared" si="30"/>
        <v>2024</v>
      </c>
      <c r="L367">
        <f t="shared" si="31"/>
        <v>1</v>
      </c>
      <c r="M367" t="str">
        <f t="shared" si="32"/>
        <v>January</v>
      </c>
      <c r="N367">
        <f t="shared" si="33"/>
        <v>7</v>
      </c>
      <c r="O367">
        <f t="shared" si="34"/>
        <v>13</v>
      </c>
      <c r="P367" s="1">
        <f t="shared" ca="1" si="35"/>
        <v>875</v>
      </c>
    </row>
    <row r="368" spans="1:16" x14ac:dyDescent="0.3">
      <c r="A368">
        <v>2366</v>
      </c>
      <c r="B368" t="s">
        <v>14</v>
      </c>
      <c r="C368" t="s">
        <v>15</v>
      </c>
      <c r="D368" s="1">
        <v>45289</v>
      </c>
      <c r="E368" s="1">
        <v>45293</v>
      </c>
      <c r="F368" t="s">
        <v>28</v>
      </c>
      <c r="G368">
        <v>1</v>
      </c>
      <c r="H368">
        <v>2947.14</v>
      </c>
      <c r="I368">
        <v>2947.14</v>
      </c>
      <c r="J368" t="s">
        <v>20</v>
      </c>
      <c r="K368">
        <f t="shared" si="30"/>
        <v>2023</v>
      </c>
      <c r="L368">
        <f t="shared" si="31"/>
        <v>12</v>
      </c>
      <c r="M368" t="str">
        <f t="shared" si="32"/>
        <v>December</v>
      </c>
      <c r="N368">
        <f t="shared" si="33"/>
        <v>5</v>
      </c>
      <c r="O368">
        <f t="shared" si="34"/>
        <v>4</v>
      </c>
      <c r="P368" s="1">
        <f t="shared" ca="1" si="35"/>
        <v>884</v>
      </c>
    </row>
    <row r="369" spans="1:16" x14ac:dyDescent="0.3">
      <c r="A369">
        <v>2367</v>
      </c>
      <c r="B369" t="s">
        <v>44</v>
      </c>
      <c r="C369" t="s">
        <v>31</v>
      </c>
      <c r="D369" s="1">
        <v>45443</v>
      </c>
      <c r="E369" s="1">
        <v>45446</v>
      </c>
      <c r="F369" t="s">
        <v>26</v>
      </c>
      <c r="G369">
        <v>2</v>
      </c>
      <c r="H369">
        <v>1516.07</v>
      </c>
      <c r="I369">
        <v>3032.14</v>
      </c>
      <c r="J369" t="s">
        <v>13</v>
      </c>
      <c r="K369">
        <f t="shared" si="30"/>
        <v>2024</v>
      </c>
      <c r="L369">
        <f t="shared" si="31"/>
        <v>5</v>
      </c>
      <c r="M369" t="str">
        <f t="shared" si="32"/>
        <v>May</v>
      </c>
      <c r="N369">
        <f t="shared" si="33"/>
        <v>5</v>
      </c>
      <c r="O369">
        <f t="shared" si="34"/>
        <v>3</v>
      </c>
      <c r="P369" s="1">
        <f t="shared" ca="1" si="35"/>
        <v>730</v>
      </c>
    </row>
    <row r="370" spans="1:16" x14ac:dyDescent="0.3">
      <c r="A370">
        <v>2368</v>
      </c>
      <c r="B370" t="s">
        <v>38</v>
      </c>
      <c r="C370" t="s">
        <v>31</v>
      </c>
      <c r="D370" s="1">
        <v>45363</v>
      </c>
      <c r="E370" s="1">
        <v>45372</v>
      </c>
      <c r="F370" t="s">
        <v>32</v>
      </c>
      <c r="G370">
        <v>3</v>
      </c>
      <c r="H370">
        <v>1921.35</v>
      </c>
      <c r="I370">
        <v>5764.05</v>
      </c>
      <c r="J370" t="s">
        <v>13</v>
      </c>
      <c r="K370">
        <f t="shared" si="30"/>
        <v>2024</v>
      </c>
      <c r="L370">
        <f t="shared" si="31"/>
        <v>3</v>
      </c>
      <c r="M370" t="str">
        <f t="shared" si="32"/>
        <v>March</v>
      </c>
      <c r="N370">
        <f t="shared" si="33"/>
        <v>2</v>
      </c>
      <c r="O370">
        <f t="shared" si="34"/>
        <v>9</v>
      </c>
      <c r="P370" s="1">
        <f t="shared" ca="1" si="35"/>
        <v>810</v>
      </c>
    </row>
    <row r="371" spans="1:16" x14ac:dyDescent="0.3">
      <c r="A371">
        <v>2369</v>
      </c>
      <c r="B371" t="s">
        <v>41</v>
      </c>
      <c r="C371" t="s">
        <v>11</v>
      </c>
      <c r="D371" s="1">
        <v>45167</v>
      </c>
      <c r="E371" s="1">
        <v>45175</v>
      </c>
      <c r="F371" t="s">
        <v>26</v>
      </c>
      <c r="G371">
        <v>2</v>
      </c>
      <c r="H371">
        <v>4207.1899999999996</v>
      </c>
      <c r="I371">
        <v>8414.3799999999992</v>
      </c>
      <c r="J371" t="s">
        <v>13</v>
      </c>
      <c r="K371">
        <f t="shared" si="30"/>
        <v>2023</v>
      </c>
      <c r="L371">
        <f t="shared" si="31"/>
        <v>8</v>
      </c>
      <c r="M371" t="str">
        <f t="shared" si="32"/>
        <v>August</v>
      </c>
      <c r="N371">
        <f t="shared" si="33"/>
        <v>2</v>
      </c>
      <c r="O371">
        <f t="shared" si="34"/>
        <v>8</v>
      </c>
      <c r="P371" s="1">
        <f t="shared" ca="1" si="35"/>
        <v>1006</v>
      </c>
    </row>
    <row r="372" spans="1:16" x14ac:dyDescent="0.3">
      <c r="A372">
        <v>2370</v>
      </c>
      <c r="B372" t="s">
        <v>46</v>
      </c>
      <c r="C372" t="s">
        <v>31</v>
      </c>
      <c r="D372" s="1">
        <v>45264</v>
      </c>
      <c r="E372" s="1">
        <v>45273</v>
      </c>
      <c r="F372" t="s">
        <v>32</v>
      </c>
      <c r="G372">
        <v>4</v>
      </c>
      <c r="H372">
        <v>2749.24</v>
      </c>
      <c r="I372">
        <v>10996.96</v>
      </c>
      <c r="J372" t="s">
        <v>20</v>
      </c>
      <c r="K372">
        <f t="shared" si="30"/>
        <v>2023</v>
      </c>
      <c r="L372">
        <f t="shared" si="31"/>
        <v>12</v>
      </c>
      <c r="M372" t="str">
        <f t="shared" si="32"/>
        <v>December</v>
      </c>
      <c r="N372">
        <f t="shared" si="33"/>
        <v>1</v>
      </c>
      <c r="O372">
        <f t="shared" si="34"/>
        <v>9</v>
      </c>
      <c r="P372" s="1">
        <f t="shared" ca="1" si="35"/>
        <v>909</v>
      </c>
    </row>
    <row r="373" spans="1:16" x14ac:dyDescent="0.3">
      <c r="A373">
        <v>2371</v>
      </c>
      <c r="B373" t="s">
        <v>41</v>
      </c>
      <c r="C373" t="s">
        <v>11</v>
      </c>
      <c r="D373" s="1">
        <v>45459</v>
      </c>
      <c r="E373" s="1">
        <v>45472</v>
      </c>
      <c r="F373" t="s">
        <v>28</v>
      </c>
      <c r="G373">
        <v>8</v>
      </c>
      <c r="H373">
        <v>1798.87</v>
      </c>
      <c r="I373">
        <v>14390.96</v>
      </c>
      <c r="J373" t="s">
        <v>20</v>
      </c>
      <c r="K373">
        <f t="shared" si="30"/>
        <v>2024</v>
      </c>
      <c r="L373">
        <f t="shared" si="31"/>
        <v>6</v>
      </c>
      <c r="M373" t="str">
        <f t="shared" si="32"/>
        <v>June</v>
      </c>
      <c r="N373">
        <f t="shared" si="33"/>
        <v>7</v>
      </c>
      <c r="O373">
        <f t="shared" si="34"/>
        <v>13</v>
      </c>
      <c r="P373" s="1">
        <f t="shared" ca="1" si="35"/>
        <v>714</v>
      </c>
    </row>
    <row r="374" spans="1:16" x14ac:dyDescent="0.3">
      <c r="A374">
        <v>2372</v>
      </c>
      <c r="B374" t="s">
        <v>40</v>
      </c>
      <c r="C374" t="s">
        <v>15</v>
      </c>
      <c r="D374" s="1">
        <v>44797</v>
      </c>
      <c r="E374" s="1">
        <v>44799</v>
      </c>
      <c r="F374" t="s">
        <v>32</v>
      </c>
      <c r="G374">
        <v>6</v>
      </c>
      <c r="H374">
        <v>3345.46</v>
      </c>
      <c r="I374">
        <v>20072.759999999998</v>
      </c>
      <c r="J374" t="s">
        <v>13</v>
      </c>
      <c r="K374">
        <f t="shared" si="30"/>
        <v>2022</v>
      </c>
      <c r="L374">
        <f t="shared" si="31"/>
        <v>8</v>
      </c>
      <c r="M374" t="str">
        <f t="shared" si="32"/>
        <v>August</v>
      </c>
      <c r="N374">
        <f t="shared" si="33"/>
        <v>3</v>
      </c>
      <c r="O374">
        <f t="shared" si="34"/>
        <v>2</v>
      </c>
      <c r="P374" s="1">
        <f t="shared" ca="1" si="35"/>
        <v>1376</v>
      </c>
    </row>
    <row r="375" spans="1:16" x14ac:dyDescent="0.3">
      <c r="A375">
        <v>2373</v>
      </c>
      <c r="B375" t="s">
        <v>24</v>
      </c>
      <c r="C375" t="s">
        <v>22</v>
      </c>
      <c r="D375" s="1">
        <v>45618</v>
      </c>
      <c r="E375" s="1">
        <v>45622</v>
      </c>
      <c r="F375" t="s">
        <v>36</v>
      </c>
      <c r="G375">
        <v>3</v>
      </c>
      <c r="H375">
        <v>1855.65</v>
      </c>
      <c r="I375">
        <v>5566.95</v>
      </c>
      <c r="J375" t="s">
        <v>20</v>
      </c>
      <c r="K375">
        <f t="shared" si="30"/>
        <v>2024</v>
      </c>
      <c r="L375">
        <f t="shared" si="31"/>
        <v>11</v>
      </c>
      <c r="M375" t="str">
        <f t="shared" si="32"/>
        <v>November</v>
      </c>
      <c r="N375">
        <f t="shared" si="33"/>
        <v>5</v>
      </c>
      <c r="O375">
        <f t="shared" si="34"/>
        <v>4</v>
      </c>
      <c r="P375" s="1">
        <f t="shared" ca="1" si="35"/>
        <v>555</v>
      </c>
    </row>
    <row r="376" spans="1:16" x14ac:dyDescent="0.3">
      <c r="A376">
        <v>2374</v>
      </c>
      <c r="B376" t="s">
        <v>38</v>
      </c>
      <c r="C376" t="s">
        <v>22</v>
      </c>
      <c r="D376" s="1">
        <v>45391</v>
      </c>
      <c r="E376" s="1">
        <v>45403</v>
      </c>
      <c r="F376" t="s">
        <v>19</v>
      </c>
      <c r="G376">
        <v>3</v>
      </c>
      <c r="H376">
        <v>3310.25</v>
      </c>
      <c r="I376">
        <v>9930.75</v>
      </c>
      <c r="J376" t="s">
        <v>20</v>
      </c>
      <c r="K376">
        <f t="shared" si="30"/>
        <v>2024</v>
      </c>
      <c r="L376">
        <f t="shared" si="31"/>
        <v>4</v>
      </c>
      <c r="M376" t="str">
        <f t="shared" si="32"/>
        <v>April</v>
      </c>
      <c r="N376">
        <f t="shared" si="33"/>
        <v>2</v>
      </c>
      <c r="O376">
        <f t="shared" si="34"/>
        <v>12</v>
      </c>
      <c r="P376" s="1">
        <f t="shared" ca="1" si="35"/>
        <v>782</v>
      </c>
    </row>
    <row r="377" spans="1:16" x14ac:dyDescent="0.3">
      <c r="A377">
        <v>2375</v>
      </c>
      <c r="B377" t="s">
        <v>34</v>
      </c>
      <c r="C377" t="s">
        <v>11</v>
      </c>
      <c r="D377" s="1">
        <v>44966</v>
      </c>
      <c r="E377" s="1">
        <v>44975</v>
      </c>
      <c r="F377" t="s">
        <v>36</v>
      </c>
      <c r="G377">
        <v>7</v>
      </c>
      <c r="H377">
        <v>2127.5300000000002</v>
      </c>
      <c r="I377">
        <v>14892.71</v>
      </c>
      <c r="J377" t="s">
        <v>13</v>
      </c>
      <c r="K377">
        <f t="shared" si="30"/>
        <v>2023</v>
      </c>
      <c r="L377">
        <f t="shared" si="31"/>
        <v>2</v>
      </c>
      <c r="M377" t="str">
        <f t="shared" si="32"/>
        <v>February</v>
      </c>
      <c r="N377">
        <f t="shared" si="33"/>
        <v>4</v>
      </c>
      <c r="O377">
        <f t="shared" si="34"/>
        <v>9</v>
      </c>
      <c r="P377" s="1">
        <f t="shared" ca="1" si="35"/>
        <v>1207</v>
      </c>
    </row>
    <row r="378" spans="1:16" x14ac:dyDescent="0.3">
      <c r="A378">
        <v>2376</v>
      </c>
      <c r="B378" t="s">
        <v>29</v>
      </c>
      <c r="C378" t="s">
        <v>31</v>
      </c>
      <c r="D378" s="1">
        <v>44690</v>
      </c>
      <c r="E378" s="1">
        <v>44701</v>
      </c>
      <c r="F378" t="s">
        <v>26</v>
      </c>
      <c r="G378">
        <v>3</v>
      </c>
      <c r="H378">
        <v>2019.23</v>
      </c>
      <c r="I378">
        <v>6057.69</v>
      </c>
      <c r="J378" t="s">
        <v>13</v>
      </c>
      <c r="K378">
        <f t="shared" si="30"/>
        <v>2022</v>
      </c>
      <c r="L378">
        <f t="shared" si="31"/>
        <v>5</v>
      </c>
      <c r="M378" t="str">
        <f t="shared" si="32"/>
        <v>May</v>
      </c>
      <c r="N378">
        <f t="shared" si="33"/>
        <v>1</v>
      </c>
      <c r="O378">
        <f t="shared" si="34"/>
        <v>11</v>
      </c>
      <c r="P378" s="1">
        <f t="shared" ca="1" si="35"/>
        <v>1483</v>
      </c>
    </row>
    <row r="379" spans="1:16" x14ac:dyDescent="0.3">
      <c r="A379">
        <v>2377</v>
      </c>
      <c r="B379" t="s">
        <v>38</v>
      </c>
      <c r="C379" t="s">
        <v>11</v>
      </c>
      <c r="D379" s="1">
        <v>45099</v>
      </c>
      <c r="E379" s="1">
        <v>45111</v>
      </c>
      <c r="F379" t="s">
        <v>32</v>
      </c>
      <c r="G379">
        <v>8</v>
      </c>
      <c r="H379">
        <v>2780.26</v>
      </c>
      <c r="I379">
        <v>22242.080000000002</v>
      </c>
      <c r="J379" t="s">
        <v>20</v>
      </c>
      <c r="K379">
        <f t="shared" si="30"/>
        <v>2023</v>
      </c>
      <c r="L379">
        <f t="shared" si="31"/>
        <v>6</v>
      </c>
      <c r="M379" t="str">
        <f t="shared" si="32"/>
        <v>June</v>
      </c>
      <c r="N379">
        <f t="shared" si="33"/>
        <v>4</v>
      </c>
      <c r="O379">
        <f t="shared" si="34"/>
        <v>12</v>
      </c>
      <c r="P379" s="1">
        <f t="shared" ca="1" si="35"/>
        <v>1074</v>
      </c>
    </row>
    <row r="380" spans="1:16" x14ac:dyDescent="0.3">
      <c r="A380">
        <v>2378</v>
      </c>
      <c r="B380" t="s">
        <v>42</v>
      </c>
      <c r="C380" t="s">
        <v>25</v>
      </c>
      <c r="D380" s="1">
        <v>45365</v>
      </c>
      <c r="E380" s="1">
        <v>45376</v>
      </c>
      <c r="F380" t="s">
        <v>26</v>
      </c>
      <c r="G380">
        <v>6</v>
      </c>
      <c r="H380">
        <v>1954.33</v>
      </c>
      <c r="I380">
        <v>11725.98</v>
      </c>
      <c r="J380" t="s">
        <v>20</v>
      </c>
      <c r="K380">
        <f t="shared" si="30"/>
        <v>2024</v>
      </c>
      <c r="L380">
        <f t="shared" si="31"/>
        <v>3</v>
      </c>
      <c r="M380" t="str">
        <f t="shared" si="32"/>
        <v>March</v>
      </c>
      <c r="N380">
        <f t="shared" si="33"/>
        <v>4</v>
      </c>
      <c r="O380">
        <f t="shared" si="34"/>
        <v>11</v>
      </c>
      <c r="P380" s="1">
        <f t="shared" ca="1" si="35"/>
        <v>808</v>
      </c>
    </row>
    <row r="381" spans="1:16" x14ac:dyDescent="0.3">
      <c r="A381">
        <v>2379</v>
      </c>
      <c r="B381" t="s">
        <v>42</v>
      </c>
      <c r="C381" t="s">
        <v>22</v>
      </c>
      <c r="D381" s="1">
        <v>45171</v>
      </c>
      <c r="E381" s="1">
        <v>45182</v>
      </c>
      <c r="F381" t="s">
        <v>36</v>
      </c>
      <c r="G381">
        <v>2</v>
      </c>
      <c r="H381">
        <v>3458.92</v>
      </c>
      <c r="I381">
        <v>6917.84</v>
      </c>
      <c r="J381" t="s">
        <v>20</v>
      </c>
      <c r="K381">
        <f t="shared" si="30"/>
        <v>2023</v>
      </c>
      <c r="L381">
        <f t="shared" si="31"/>
        <v>9</v>
      </c>
      <c r="M381" t="str">
        <f t="shared" si="32"/>
        <v>September</v>
      </c>
      <c r="N381">
        <f t="shared" si="33"/>
        <v>6</v>
      </c>
      <c r="O381">
        <f t="shared" si="34"/>
        <v>11</v>
      </c>
      <c r="P381" s="1">
        <f t="shared" ca="1" si="35"/>
        <v>1002</v>
      </c>
    </row>
    <row r="382" spans="1:16" x14ac:dyDescent="0.3">
      <c r="A382">
        <v>2380</v>
      </c>
      <c r="B382" t="s">
        <v>23</v>
      </c>
      <c r="C382" t="s">
        <v>22</v>
      </c>
      <c r="D382" s="1">
        <v>45187</v>
      </c>
      <c r="E382" s="1">
        <v>45190</v>
      </c>
      <c r="F382" t="s">
        <v>19</v>
      </c>
      <c r="G382">
        <v>6</v>
      </c>
      <c r="H382">
        <v>3559.15</v>
      </c>
      <c r="I382">
        <v>21354.9</v>
      </c>
      <c r="J382" t="s">
        <v>20</v>
      </c>
      <c r="K382">
        <f t="shared" si="30"/>
        <v>2023</v>
      </c>
      <c r="L382">
        <f t="shared" si="31"/>
        <v>9</v>
      </c>
      <c r="M382" t="str">
        <f t="shared" si="32"/>
        <v>September</v>
      </c>
      <c r="N382">
        <f t="shared" si="33"/>
        <v>1</v>
      </c>
      <c r="O382">
        <f t="shared" si="34"/>
        <v>3</v>
      </c>
      <c r="P382" s="1">
        <f t="shared" ca="1" si="35"/>
        <v>986</v>
      </c>
    </row>
    <row r="383" spans="1:16" x14ac:dyDescent="0.3">
      <c r="A383">
        <v>2381</v>
      </c>
      <c r="B383" t="s">
        <v>39</v>
      </c>
      <c r="C383" t="s">
        <v>18</v>
      </c>
      <c r="D383" s="1">
        <v>44844</v>
      </c>
      <c r="E383" s="1">
        <v>44855</v>
      </c>
      <c r="F383" t="s">
        <v>16</v>
      </c>
      <c r="G383">
        <v>7</v>
      </c>
      <c r="H383">
        <v>1173.04</v>
      </c>
      <c r="I383">
        <v>8211.2800000000007</v>
      </c>
      <c r="J383" t="s">
        <v>13</v>
      </c>
      <c r="K383">
        <f t="shared" si="30"/>
        <v>2022</v>
      </c>
      <c r="L383">
        <f t="shared" si="31"/>
        <v>10</v>
      </c>
      <c r="M383" t="str">
        <f t="shared" si="32"/>
        <v>October</v>
      </c>
      <c r="N383">
        <f t="shared" si="33"/>
        <v>1</v>
      </c>
      <c r="O383">
        <f t="shared" si="34"/>
        <v>11</v>
      </c>
      <c r="P383" s="1">
        <f t="shared" ca="1" si="35"/>
        <v>1329</v>
      </c>
    </row>
    <row r="384" spans="1:16" x14ac:dyDescent="0.3">
      <c r="A384">
        <v>2382</v>
      </c>
      <c r="B384" t="s">
        <v>30</v>
      </c>
      <c r="C384" t="s">
        <v>22</v>
      </c>
      <c r="D384" s="1">
        <v>45564</v>
      </c>
      <c r="E384" s="1">
        <v>45570</v>
      </c>
      <c r="F384" t="s">
        <v>19</v>
      </c>
      <c r="G384">
        <v>3</v>
      </c>
      <c r="H384">
        <v>1778.53</v>
      </c>
      <c r="I384">
        <v>5335.59</v>
      </c>
      <c r="J384" t="s">
        <v>20</v>
      </c>
      <c r="K384">
        <f t="shared" si="30"/>
        <v>2024</v>
      </c>
      <c r="L384">
        <f t="shared" si="31"/>
        <v>9</v>
      </c>
      <c r="M384" t="str">
        <f t="shared" si="32"/>
        <v>September</v>
      </c>
      <c r="N384">
        <f t="shared" si="33"/>
        <v>7</v>
      </c>
      <c r="O384">
        <f t="shared" si="34"/>
        <v>6</v>
      </c>
      <c r="P384" s="1">
        <f t="shared" ca="1" si="35"/>
        <v>609</v>
      </c>
    </row>
    <row r="385" spans="1:16" x14ac:dyDescent="0.3">
      <c r="A385">
        <v>2383</v>
      </c>
      <c r="B385" t="s">
        <v>42</v>
      </c>
      <c r="C385" t="s">
        <v>11</v>
      </c>
      <c r="D385" s="1">
        <v>45297</v>
      </c>
      <c r="E385" s="1">
        <v>45299</v>
      </c>
      <c r="F385" t="s">
        <v>16</v>
      </c>
      <c r="G385">
        <v>3</v>
      </c>
      <c r="H385">
        <v>1217.0999999999999</v>
      </c>
      <c r="I385">
        <v>3651.3</v>
      </c>
      <c r="J385" t="s">
        <v>20</v>
      </c>
      <c r="K385">
        <f t="shared" si="30"/>
        <v>2024</v>
      </c>
      <c r="L385">
        <f t="shared" si="31"/>
        <v>1</v>
      </c>
      <c r="M385" t="str">
        <f t="shared" si="32"/>
        <v>January</v>
      </c>
      <c r="N385">
        <f t="shared" si="33"/>
        <v>6</v>
      </c>
      <c r="O385">
        <f t="shared" si="34"/>
        <v>2</v>
      </c>
      <c r="P385" s="1">
        <f t="shared" ca="1" si="35"/>
        <v>876</v>
      </c>
    </row>
    <row r="386" spans="1:16" x14ac:dyDescent="0.3">
      <c r="A386">
        <v>2384</v>
      </c>
      <c r="B386" t="s">
        <v>30</v>
      </c>
      <c r="C386" t="s">
        <v>18</v>
      </c>
      <c r="D386" s="1">
        <v>45575</v>
      </c>
      <c r="E386" s="1">
        <v>45583</v>
      </c>
      <c r="F386" t="s">
        <v>28</v>
      </c>
      <c r="G386">
        <v>8</v>
      </c>
      <c r="H386">
        <v>2253.46</v>
      </c>
      <c r="I386">
        <v>18027.68</v>
      </c>
      <c r="J386" t="s">
        <v>20</v>
      </c>
      <c r="K386">
        <f t="shared" si="30"/>
        <v>2024</v>
      </c>
      <c r="L386">
        <f t="shared" si="31"/>
        <v>10</v>
      </c>
      <c r="M386" t="str">
        <f t="shared" si="32"/>
        <v>October</v>
      </c>
      <c r="N386">
        <f t="shared" si="33"/>
        <v>4</v>
      </c>
      <c r="O386">
        <f t="shared" si="34"/>
        <v>8</v>
      </c>
      <c r="P386" s="1">
        <f t="shared" ca="1" si="35"/>
        <v>598</v>
      </c>
    </row>
    <row r="387" spans="1:16" x14ac:dyDescent="0.3">
      <c r="A387">
        <v>2385</v>
      </c>
      <c r="B387" t="s">
        <v>41</v>
      </c>
      <c r="C387" t="s">
        <v>22</v>
      </c>
      <c r="D387" s="1">
        <v>44731</v>
      </c>
      <c r="E387" s="1">
        <v>44742</v>
      </c>
      <c r="F387" t="s">
        <v>26</v>
      </c>
      <c r="G387">
        <v>4</v>
      </c>
      <c r="H387">
        <v>1672.82</v>
      </c>
      <c r="I387">
        <v>6691.28</v>
      </c>
      <c r="J387" t="s">
        <v>20</v>
      </c>
      <c r="K387">
        <f t="shared" ref="K387:K450" si="36">YEAR(D387)</f>
        <v>2022</v>
      </c>
      <c r="L387">
        <f t="shared" ref="L387:L450" si="37">MONTH(D387)</f>
        <v>6</v>
      </c>
      <c r="M387" t="str">
        <f t="shared" ref="M387:M450" si="38">TEXT(D387,"MMMM")</f>
        <v>June</v>
      </c>
      <c r="N387">
        <f t="shared" ref="N387:N450" si="39">WEEKDAY(D387,2)</f>
        <v>7</v>
      </c>
      <c r="O387">
        <f t="shared" ref="O387:O450" si="40">DATEDIF(D387,E387,"D")</f>
        <v>11</v>
      </c>
      <c r="P387" s="1">
        <f t="shared" ref="P387:P450" ca="1" si="41">TODAY()-D387</f>
        <v>1442</v>
      </c>
    </row>
    <row r="388" spans="1:16" x14ac:dyDescent="0.3">
      <c r="A388">
        <v>2386</v>
      </c>
      <c r="B388" t="s">
        <v>17</v>
      </c>
      <c r="C388" t="s">
        <v>18</v>
      </c>
      <c r="D388" s="1">
        <v>45153</v>
      </c>
      <c r="E388" s="1">
        <v>45157</v>
      </c>
      <c r="F388" t="s">
        <v>32</v>
      </c>
      <c r="G388">
        <v>8</v>
      </c>
      <c r="H388">
        <v>2958.56</v>
      </c>
      <c r="I388">
        <v>23668.48</v>
      </c>
      <c r="J388" t="s">
        <v>20</v>
      </c>
      <c r="K388">
        <f t="shared" si="36"/>
        <v>2023</v>
      </c>
      <c r="L388">
        <f t="shared" si="37"/>
        <v>8</v>
      </c>
      <c r="M388" t="str">
        <f t="shared" si="38"/>
        <v>August</v>
      </c>
      <c r="N388">
        <f t="shared" si="39"/>
        <v>2</v>
      </c>
      <c r="O388">
        <f t="shared" si="40"/>
        <v>4</v>
      </c>
      <c r="P388" s="1">
        <f t="shared" ca="1" si="41"/>
        <v>1020</v>
      </c>
    </row>
    <row r="389" spans="1:16" x14ac:dyDescent="0.3">
      <c r="A389">
        <v>2387</v>
      </c>
      <c r="B389" t="s">
        <v>30</v>
      </c>
      <c r="C389" t="s">
        <v>18</v>
      </c>
      <c r="D389" s="1">
        <v>44793</v>
      </c>
      <c r="E389" s="1">
        <v>44804</v>
      </c>
      <c r="F389" t="s">
        <v>26</v>
      </c>
      <c r="G389">
        <v>5</v>
      </c>
      <c r="H389">
        <v>3943.03</v>
      </c>
      <c r="I389">
        <v>19715.150000000001</v>
      </c>
      <c r="J389" t="s">
        <v>20</v>
      </c>
      <c r="K389">
        <f t="shared" si="36"/>
        <v>2022</v>
      </c>
      <c r="L389">
        <f t="shared" si="37"/>
        <v>8</v>
      </c>
      <c r="M389" t="str">
        <f t="shared" si="38"/>
        <v>August</v>
      </c>
      <c r="N389">
        <f t="shared" si="39"/>
        <v>6</v>
      </c>
      <c r="O389">
        <f t="shared" si="40"/>
        <v>11</v>
      </c>
      <c r="P389" s="1">
        <f t="shared" ca="1" si="41"/>
        <v>1380</v>
      </c>
    </row>
    <row r="390" spans="1:16" x14ac:dyDescent="0.3">
      <c r="A390">
        <v>2388</v>
      </c>
      <c r="B390" t="s">
        <v>30</v>
      </c>
      <c r="C390" t="s">
        <v>11</v>
      </c>
      <c r="D390" s="1">
        <v>45465</v>
      </c>
      <c r="E390" s="1">
        <v>45475</v>
      </c>
      <c r="F390" t="s">
        <v>19</v>
      </c>
      <c r="G390">
        <v>7</v>
      </c>
      <c r="H390">
        <v>781.36</v>
      </c>
      <c r="I390">
        <v>5469.52</v>
      </c>
      <c r="J390" t="s">
        <v>13</v>
      </c>
      <c r="K390">
        <f t="shared" si="36"/>
        <v>2024</v>
      </c>
      <c r="L390">
        <f t="shared" si="37"/>
        <v>6</v>
      </c>
      <c r="M390" t="str">
        <f t="shared" si="38"/>
        <v>June</v>
      </c>
      <c r="N390">
        <f t="shared" si="39"/>
        <v>6</v>
      </c>
      <c r="O390">
        <f t="shared" si="40"/>
        <v>10</v>
      </c>
      <c r="P390" s="1">
        <f t="shared" ca="1" si="41"/>
        <v>708</v>
      </c>
    </row>
    <row r="391" spans="1:16" x14ac:dyDescent="0.3">
      <c r="A391">
        <v>2389</v>
      </c>
      <c r="B391" t="s">
        <v>43</v>
      </c>
      <c r="C391" t="s">
        <v>11</v>
      </c>
      <c r="D391" s="1">
        <v>45483</v>
      </c>
      <c r="E391" s="1">
        <v>45489</v>
      </c>
      <c r="F391" t="s">
        <v>12</v>
      </c>
      <c r="G391">
        <v>2</v>
      </c>
      <c r="H391">
        <v>2363.63</v>
      </c>
      <c r="I391">
        <v>4727.26</v>
      </c>
      <c r="J391" t="s">
        <v>13</v>
      </c>
      <c r="K391">
        <f t="shared" si="36"/>
        <v>2024</v>
      </c>
      <c r="L391">
        <f t="shared" si="37"/>
        <v>7</v>
      </c>
      <c r="M391" t="str">
        <f t="shared" si="38"/>
        <v>July</v>
      </c>
      <c r="N391">
        <f t="shared" si="39"/>
        <v>3</v>
      </c>
      <c r="O391">
        <f t="shared" si="40"/>
        <v>6</v>
      </c>
      <c r="P391" s="1">
        <f t="shared" ca="1" si="41"/>
        <v>690</v>
      </c>
    </row>
    <row r="392" spans="1:16" x14ac:dyDescent="0.3">
      <c r="A392">
        <v>2390</v>
      </c>
      <c r="B392" t="s">
        <v>44</v>
      </c>
      <c r="C392" t="s">
        <v>22</v>
      </c>
      <c r="D392" s="1">
        <v>44991</v>
      </c>
      <c r="E392" s="1">
        <v>45005</v>
      </c>
      <c r="F392" t="s">
        <v>28</v>
      </c>
      <c r="G392">
        <v>6</v>
      </c>
      <c r="H392">
        <v>4346.93</v>
      </c>
      <c r="I392">
        <v>26081.58</v>
      </c>
      <c r="J392" t="s">
        <v>20</v>
      </c>
      <c r="K392">
        <f t="shared" si="36"/>
        <v>2023</v>
      </c>
      <c r="L392">
        <f t="shared" si="37"/>
        <v>3</v>
      </c>
      <c r="M392" t="str">
        <f t="shared" si="38"/>
        <v>March</v>
      </c>
      <c r="N392">
        <f t="shared" si="39"/>
        <v>1</v>
      </c>
      <c r="O392">
        <f t="shared" si="40"/>
        <v>14</v>
      </c>
      <c r="P392" s="1">
        <f t="shared" ca="1" si="41"/>
        <v>1182</v>
      </c>
    </row>
    <row r="393" spans="1:16" x14ac:dyDescent="0.3">
      <c r="A393">
        <v>2391</v>
      </c>
      <c r="B393" t="s">
        <v>45</v>
      </c>
      <c r="C393" t="s">
        <v>18</v>
      </c>
      <c r="D393" s="1">
        <v>44847</v>
      </c>
      <c r="E393" s="1">
        <v>44861</v>
      </c>
      <c r="F393" t="s">
        <v>19</v>
      </c>
      <c r="G393">
        <v>4</v>
      </c>
      <c r="H393">
        <v>4085.57</v>
      </c>
      <c r="I393">
        <v>16342.28</v>
      </c>
      <c r="J393" t="s">
        <v>20</v>
      </c>
      <c r="K393">
        <f t="shared" si="36"/>
        <v>2022</v>
      </c>
      <c r="L393">
        <f t="shared" si="37"/>
        <v>10</v>
      </c>
      <c r="M393" t="str">
        <f t="shared" si="38"/>
        <v>October</v>
      </c>
      <c r="N393">
        <f t="shared" si="39"/>
        <v>4</v>
      </c>
      <c r="O393">
        <f t="shared" si="40"/>
        <v>14</v>
      </c>
      <c r="P393" s="1">
        <f t="shared" ca="1" si="41"/>
        <v>1326</v>
      </c>
    </row>
    <row r="394" spans="1:16" x14ac:dyDescent="0.3">
      <c r="A394">
        <v>2392</v>
      </c>
      <c r="B394" t="s">
        <v>30</v>
      </c>
      <c r="C394" t="s">
        <v>31</v>
      </c>
      <c r="D394" s="1">
        <v>44906</v>
      </c>
      <c r="E394" s="1">
        <v>44913</v>
      </c>
      <c r="F394" t="s">
        <v>28</v>
      </c>
      <c r="G394">
        <v>5</v>
      </c>
      <c r="H394">
        <v>1659.87</v>
      </c>
      <c r="I394">
        <v>8299.35</v>
      </c>
      <c r="J394" t="s">
        <v>20</v>
      </c>
      <c r="K394">
        <f t="shared" si="36"/>
        <v>2022</v>
      </c>
      <c r="L394">
        <f t="shared" si="37"/>
        <v>12</v>
      </c>
      <c r="M394" t="str">
        <f t="shared" si="38"/>
        <v>December</v>
      </c>
      <c r="N394">
        <f t="shared" si="39"/>
        <v>7</v>
      </c>
      <c r="O394">
        <f t="shared" si="40"/>
        <v>7</v>
      </c>
      <c r="P394" s="1">
        <f t="shared" ca="1" si="41"/>
        <v>1267</v>
      </c>
    </row>
    <row r="395" spans="1:16" x14ac:dyDescent="0.3">
      <c r="A395">
        <v>2393</v>
      </c>
      <c r="B395" t="s">
        <v>35</v>
      </c>
      <c r="C395" t="s">
        <v>15</v>
      </c>
      <c r="D395" s="1">
        <v>44757</v>
      </c>
      <c r="E395" s="1">
        <v>44761</v>
      </c>
      <c r="F395" t="s">
        <v>32</v>
      </c>
      <c r="G395">
        <v>7</v>
      </c>
      <c r="H395">
        <v>4618.21</v>
      </c>
      <c r="I395">
        <v>32327.47</v>
      </c>
      <c r="J395" t="s">
        <v>20</v>
      </c>
      <c r="K395">
        <f t="shared" si="36"/>
        <v>2022</v>
      </c>
      <c r="L395">
        <f t="shared" si="37"/>
        <v>7</v>
      </c>
      <c r="M395" t="str">
        <f t="shared" si="38"/>
        <v>July</v>
      </c>
      <c r="N395">
        <f t="shared" si="39"/>
        <v>5</v>
      </c>
      <c r="O395">
        <f t="shared" si="40"/>
        <v>4</v>
      </c>
      <c r="P395" s="1">
        <f t="shared" ca="1" si="41"/>
        <v>1416</v>
      </c>
    </row>
    <row r="396" spans="1:16" x14ac:dyDescent="0.3">
      <c r="A396">
        <v>2394</v>
      </c>
      <c r="B396" t="s">
        <v>10</v>
      </c>
      <c r="C396" t="s">
        <v>22</v>
      </c>
      <c r="D396" s="1">
        <v>44833</v>
      </c>
      <c r="E396" s="1">
        <v>44838</v>
      </c>
      <c r="F396" t="s">
        <v>19</v>
      </c>
      <c r="G396">
        <v>6</v>
      </c>
      <c r="H396">
        <v>4193.8599999999997</v>
      </c>
      <c r="I396">
        <v>25163.16</v>
      </c>
      <c r="J396" t="s">
        <v>20</v>
      </c>
      <c r="K396">
        <f t="shared" si="36"/>
        <v>2022</v>
      </c>
      <c r="L396">
        <f t="shared" si="37"/>
        <v>9</v>
      </c>
      <c r="M396" t="str">
        <f t="shared" si="38"/>
        <v>September</v>
      </c>
      <c r="N396">
        <f t="shared" si="39"/>
        <v>4</v>
      </c>
      <c r="O396">
        <f t="shared" si="40"/>
        <v>5</v>
      </c>
      <c r="P396" s="1">
        <f t="shared" ca="1" si="41"/>
        <v>1340</v>
      </c>
    </row>
    <row r="397" spans="1:16" x14ac:dyDescent="0.3">
      <c r="A397">
        <v>2395</v>
      </c>
      <c r="B397" t="s">
        <v>41</v>
      </c>
      <c r="C397" t="s">
        <v>22</v>
      </c>
      <c r="D397" s="1">
        <v>45112</v>
      </c>
      <c r="E397" s="1">
        <v>45124</v>
      </c>
      <c r="F397" t="s">
        <v>16</v>
      </c>
      <c r="G397">
        <v>7</v>
      </c>
      <c r="H397">
        <v>2424.36</v>
      </c>
      <c r="I397">
        <v>16970.52</v>
      </c>
      <c r="J397" t="s">
        <v>13</v>
      </c>
      <c r="K397">
        <f t="shared" si="36"/>
        <v>2023</v>
      </c>
      <c r="L397">
        <f t="shared" si="37"/>
        <v>7</v>
      </c>
      <c r="M397" t="str">
        <f t="shared" si="38"/>
        <v>July</v>
      </c>
      <c r="N397">
        <f t="shared" si="39"/>
        <v>3</v>
      </c>
      <c r="O397">
        <f t="shared" si="40"/>
        <v>12</v>
      </c>
      <c r="P397" s="1">
        <f t="shared" ca="1" si="41"/>
        <v>1061</v>
      </c>
    </row>
    <row r="398" spans="1:16" x14ac:dyDescent="0.3">
      <c r="A398">
        <v>2396</v>
      </c>
      <c r="B398" t="s">
        <v>34</v>
      </c>
      <c r="C398" t="s">
        <v>18</v>
      </c>
      <c r="D398" s="1">
        <v>45131</v>
      </c>
      <c r="E398" s="1">
        <v>45144</v>
      </c>
      <c r="F398" t="s">
        <v>12</v>
      </c>
      <c r="G398">
        <v>8</v>
      </c>
      <c r="H398">
        <v>4766.1899999999996</v>
      </c>
      <c r="I398">
        <v>38129.519999999997</v>
      </c>
      <c r="J398" t="s">
        <v>20</v>
      </c>
      <c r="K398">
        <f t="shared" si="36"/>
        <v>2023</v>
      </c>
      <c r="L398">
        <f t="shared" si="37"/>
        <v>7</v>
      </c>
      <c r="M398" t="str">
        <f t="shared" si="38"/>
        <v>July</v>
      </c>
      <c r="N398">
        <f t="shared" si="39"/>
        <v>1</v>
      </c>
      <c r="O398">
        <f t="shared" si="40"/>
        <v>13</v>
      </c>
      <c r="P398" s="1">
        <f t="shared" ca="1" si="41"/>
        <v>1042</v>
      </c>
    </row>
    <row r="399" spans="1:16" x14ac:dyDescent="0.3">
      <c r="A399">
        <v>2397</v>
      </c>
      <c r="B399" t="s">
        <v>27</v>
      </c>
      <c r="C399" t="s">
        <v>11</v>
      </c>
      <c r="D399" s="1">
        <v>44752</v>
      </c>
      <c r="E399" s="1">
        <v>44765</v>
      </c>
      <c r="F399" t="s">
        <v>16</v>
      </c>
      <c r="G399">
        <v>6</v>
      </c>
      <c r="H399">
        <v>4295.5</v>
      </c>
      <c r="I399">
        <v>25773</v>
      </c>
      <c r="J399" t="s">
        <v>20</v>
      </c>
      <c r="K399">
        <f t="shared" si="36"/>
        <v>2022</v>
      </c>
      <c r="L399">
        <f t="shared" si="37"/>
        <v>7</v>
      </c>
      <c r="M399" t="str">
        <f t="shared" si="38"/>
        <v>July</v>
      </c>
      <c r="N399">
        <f t="shared" si="39"/>
        <v>7</v>
      </c>
      <c r="O399">
        <f t="shared" si="40"/>
        <v>13</v>
      </c>
      <c r="P399" s="1">
        <f t="shared" ca="1" si="41"/>
        <v>1421</v>
      </c>
    </row>
    <row r="400" spans="1:16" x14ac:dyDescent="0.3">
      <c r="A400">
        <v>2398</v>
      </c>
      <c r="B400" t="s">
        <v>29</v>
      </c>
      <c r="C400" t="s">
        <v>25</v>
      </c>
      <c r="D400" s="1">
        <v>44995</v>
      </c>
      <c r="E400" s="1">
        <v>45004</v>
      </c>
      <c r="F400" t="s">
        <v>12</v>
      </c>
      <c r="G400">
        <v>6</v>
      </c>
      <c r="H400">
        <v>4193.22</v>
      </c>
      <c r="I400">
        <v>25159.32</v>
      </c>
      <c r="J400" t="s">
        <v>20</v>
      </c>
      <c r="K400">
        <f t="shared" si="36"/>
        <v>2023</v>
      </c>
      <c r="L400">
        <f t="shared" si="37"/>
        <v>3</v>
      </c>
      <c r="M400" t="str">
        <f t="shared" si="38"/>
        <v>March</v>
      </c>
      <c r="N400">
        <f t="shared" si="39"/>
        <v>5</v>
      </c>
      <c r="O400">
        <f t="shared" si="40"/>
        <v>9</v>
      </c>
      <c r="P400" s="1">
        <f t="shared" ca="1" si="41"/>
        <v>1178</v>
      </c>
    </row>
    <row r="401" spans="1:16" x14ac:dyDescent="0.3">
      <c r="A401">
        <v>2399</v>
      </c>
      <c r="B401" t="s">
        <v>30</v>
      </c>
      <c r="C401" t="s">
        <v>18</v>
      </c>
      <c r="D401" s="1">
        <v>44829</v>
      </c>
      <c r="E401" s="1">
        <v>44840</v>
      </c>
      <c r="F401" t="s">
        <v>32</v>
      </c>
      <c r="G401">
        <v>8</v>
      </c>
      <c r="H401">
        <v>4005.03</v>
      </c>
      <c r="I401">
        <v>32040.240000000002</v>
      </c>
      <c r="J401" t="s">
        <v>13</v>
      </c>
      <c r="K401">
        <f t="shared" si="36"/>
        <v>2022</v>
      </c>
      <c r="L401">
        <f t="shared" si="37"/>
        <v>9</v>
      </c>
      <c r="M401" t="str">
        <f t="shared" si="38"/>
        <v>September</v>
      </c>
      <c r="N401">
        <f t="shared" si="39"/>
        <v>7</v>
      </c>
      <c r="O401">
        <f t="shared" si="40"/>
        <v>11</v>
      </c>
      <c r="P401" s="1">
        <f t="shared" ca="1" si="41"/>
        <v>1344</v>
      </c>
    </row>
    <row r="402" spans="1:16" x14ac:dyDescent="0.3">
      <c r="A402">
        <v>2400</v>
      </c>
      <c r="B402" t="s">
        <v>40</v>
      </c>
      <c r="C402" t="s">
        <v>11</v>
      </c>
      <c r="D402" s="1">
        <v>45503</v>
      </c>
      <c r="E402" s="1">
        <v>45505</v>
      </c>
      <c r="F402" t="s">
        <v>26</v>
      </c>
      <c r="G402">
        <v>3</v>
      </c>
      <c r="H402">
        <v>2374.04</v>
      </c>
      <c r="I402">
        <v>7122.12</v>
      </c>
      <c r="J402" t="s">
        <v>13</v>
      </c>
      <c r="K402">
        <f t="shared" si="36"/>
        <v>2024</v>
      </c>
      <c r="L402">
        <f t="shared" si="37"/>
        <v>7</v>
      </c>
      <c r="M402" t="str">
        <f t="shared" si="38"/>
        <v>July</v>
      </c>
      <c r="N402">
        <f t="shared" si="39"/>
        <v>2</v>
      </c>
      <c r="O402">
        <f t="shared" si="40"/>
        <v>2</v>
      </c>
      <c r="P402" s="1">
        <f t="shared" ca="1" si="41"/>
        <v>670</v>
      </c>
    </row>
    <row r="403" spans="1:16" x14ac:dyDescent="0.3">
      <c r="A403">
        <v>2401</v>
      </c>
      <c r="B403" t="s">
        <v>39</v>
      </c>
      <c r="C403" t="s">
        <v>22</v>
      </c>
      <c r="D403" s="1">
        <v>44832</v>
      </c>
      <c r="E403" s="1">
        <v>44844</v>
      </c>
      <c r="F403" t="s">
        <v>12</v>
      </c>
      <c r="G403">
        <v>3</v>
      </c>
      <c r="H403">
        <v>4409.79</v>
      </c>
      <c r="I403">
        <v>13229.37</v>
      </c>
      <c r="J403" t="s">
        <v>20</v>
      </c>
      <c r="K403">
        <f t="shared" si="36"/>
        <v>2022</v>
      </c>
      <c r="L403">
        <f t="shared" si="37"/>
        <v>9</v>
      </c>
      <c r="M403" t="str">
        <f t="shared" si="38"/>
        <v>September</v>
      </c>
      <c r="N403">
        <f t="shared" si="39"/>
        <v>3</v>
      </c>
      <c r="O403">
        <f t="shared" si="40"/>
        <v>12</v>
      </c>
      <c r="P403" s="1">
        <f t="shared" ca="1" si="41"/>
        <v>1341</v>
      </c>
    </row>
    <row r="404" spans="1:16" x14ac:dyDescent="0.3">
      <c r="A404">
        <v>2402</v>
      </c>
      <c r="B404" t="s">
        <v>49</v>
      </c>
      <c r="C404" t="s">
        <v>15</v>
      </c>
      <c r="D404" s="1">
        <v>45300</v>
      </c>
      <c r="E404" s="1">
        <v>45306</v>
      </c>
      <c r="F404" t="s">
        <v>26</v>
      </c>
      <c r="G404">
        <v>6</v>
      </c>
      <c r="H404">
        <v>3423.19</v>
      </c>
      <c r="I404">
        <v>20539.14</v>
      </c>
      <c r="J404" t="s">
        <v>13</v>
      </c>
      <c r="K404">
        <f t="shared" si="36"/>
        <v>2024</v>
      </c>
      <c r="L404">
        <f t="shared" si="37"/>
        <v>1</v>
      </c>
      <c r="M404" t="str">
        <f t="shared" si="38"/>
        <v>January</v>
      </c>
      <c r="N404">
        <f t="shared" si="39"/>
        <v>2</v>
      </c>
      <c r="O404">
        <f t="shared" si="40"/>
        <v>6</v>
      </c>
      <c r="P404" s="1">
        <f t="shared" ca="1" si="41"/>
        <v>873</v>
      </c>
    </row>
    <row r="405" spans="1:16" x14ac:dyDescent="0.3">
      <c r="A405">
        <v>2403</v>
      </c>
      <c r="B405" t="s">
        <v>40</v>
      </c>
      <c r="C405" t="s">
        <v>25</v>
      </c>
      <c r="D405" s="1">
        <v>45187</v>
      </c>
      <c r="E405" s="1">
        <v>45200</v>
      </c>
      <c r="F405" t="s">
        <v>28</v>
      </c>
      <c r="G405">
        <v>4</v>
      </c>
      <c r="H405">
        <v>2317.39</v>
      </c>
      <c r="I405">
        <v>9269.56</v>
      </c>
      <c r="J405" t="s">
        <v>13</v>
      </c>
      <c r="K405">
        <f t="shared" si="36"/>
        <v>2023</v>
      </c>
      <c r="L405">
        <f t="shared" si="37"/>
        <v>9</v>
      </c>
      <c r="M405" t="str">
        <f t="shared" si="38"/>
        <v>September</v>
      </c>
      <c r="N405">
        <f t="shared" si="39"/>
        <v>1</v>
      </c>
      <c r="O405">
        <f t="shared" si="40"/>
        <v>13</v>
      </c>
      <c r="P405" s="1">
        <f t="shared" ca="1" si="41"/>
        <v>986</v>
      </c>
    </row>
    <row r="406" spans="1:16" x14ac:dyDescent="0.3">
      <c r="A406">
        <v>2404</v>
      </c>
      <c r="B406" t="s">
        <v>48</v>
      </c>
      <c r="C406" t="s">
        <v>11</v>
      </c>
      <c r="D406" s="1">
        <v>44564</v>
      </c>
      <c r="E406" s="1">
        <v>44569</v>
      </c>
      <c r="F406" t="s">
        <v>16</v>
      </c>
      <c r="G406">
        <v>2</v>
      </c>
      <c r="H406">
        <v>923.69</v>
      </c>
      <c r="I406">
        <v>1847.38</v>
      </c>
      <c r="J406" t="s">
        <v>13</v>
      </c>
      <c r="K406">
        <f t="shared" si="36"/>
        <v>2022</v>
      </c>
      <c r="L406">
        <f t="shared" si="37"/>
        <v>1</v>
      </c>
      <c r="M406" t="str">
        <f t="shared" si="38"/>
        <v>January</v>
      </c>
      <c r="N406">
        <f t="shared" si="39"/>
        <v>1</v>
      </c>
      <c r="O406">
        <f t="shared" si="40"/>
        <v>5</v>
      </c>
      <c r="P406" s="1">
        <f t="shared" ca="1" si="41"/>
        <v>1609</v>
      </c>
    </row>
    <row r="407" spans="1:16" x14ac:dyDescent="0.3">
      <c r="A407">
        <v>2405</v>
      </c>
      <c r="B407" t="s">
        <v>35</v>
      </c>
      <c r="C407" t="s">
        <v>15</v>
      </c>
      <c r="D407" s="1">
        <v>45473</v>
      </c>
      <c r="E407" s="1">
        <v>45475</v>
      </c>
      <c r="F407" t="s">
        <v>26</v>
      </c>
      <c r="G407">
        <v>6</v>
      </c>
      <c r="H407">
        <v>4140.41</v>
      </c>
      <c r="I407">
        <v>24842.46</v>
      </c>
      <c r="J407" t="s">
        <v>20</v>
      </c>
      <c r="K407">
        <f t="shared" si="36"/>
        <v>2024</v>
      </c>
      <c r="L407">
        <f t="shared" si="37"/>
        <v>6</v>
      </c>
      <c r="M407" t="str">
        <f t="shared" si="38"/>
        <v>June</v>
      </c>
      <c r="N407">
        <f t="shared" si="39"/>
        <v>7</v>
      </c>
      <c r="O407">
        <f t="shared" si="40"/>
        <v>2</v>
      </c>
      <c r="P407" s="1">
        <f t="shared" ca="1" si="41"/>
        <v>700</v>
      </c>
    </row>
    <row r="408" spans="1:16" x14ac:dyDescent="0.3">
      <c r="A408">
        <v>2406</v>
      </c>
      <c r="B408" t="s">
        <v>48</v>
      </c>
      <c r="C408" t="s">
        <v>22</v>
      </c>
      <c r="D408" s="1">
        <v>45540</v>
      </c>
      <c r="E408" s="1">
        <v>45543</v>
      </c>
      <c r="F408" t="s">
        <v>19</v>
      </c>
      <c r="G408">
        <v>7</v>
      </c>
      <c r="H408">
        <v>719.86</v>
      </c>
      <c r="I408">
        <v>5039.0200000000004</v>
      </c>
      <c r="J408" t="s">
        <v>13</v>
      </c>
      <c r="K408">
        <f t="shared" si="36"/>
        <v>2024</v>
      </c>
      <c r="L408">
        <f t="shared" si="37"/>
        <v>9</v>
      </c>
      <c r="M408" t="str">
        <f t="shared" si="38"/>
        <v>September</v>
      </c>
      <c r="N408">
        <f t="shared" si="39"/>
        <v>4</v>
      </c>
      <c r="O408">
        <f t="shared" si="40"/>
        <v>3</v>
      </c>
      <c r="P408" s="1">
        <f t="shared" ca="1" si="41"/>
        <v>633</v>
      </c>
    </row>
    <row r="409" spans="1:16" x14ac:dyDescent="0.3">
      <c r="A409">
        <v>2407</v>
      </c>
      <c r="B409" t="s">
        <v>23</v>
      </c>
      <c r="C409" t="s">
        <v>31</v>
      </c>
      <c r="D409" s="1">
        <v>45314</v>
      </c>
      <c r="E409" s="1">
        <v>45320</v>
      </c>
      <c r="F409" t="s">
        <v>19</v>
      </c>
      <c r="G409">
        <v>7</v>
      </c>
      <c r="H409">
        <v>3935.26</v>
      </c>
      <c r="I409">
        <v>27546.82</v>
      </c>
      <c r="J409" t="s">
        <v>13</v>
      </c>
      <c r="K409">
        <f t="shared" si="36"/>
        <v>2024</v>
      </c>
      <c r="L409">
        <f t="shared" si="37"/>
        <v>1</v>
      </c>
      <c r="M409" t="str">
        <f t="shared" si="38"/>
        <v>January</v>
      </c>
      <c r="N409">
        <f t="shared" si="39"/>
        <v>2</v>
      </c>
      <c r="O409">
        <f t="shared" si="40"/>
        <v>6</v>
      </c>
      <c r="P409" s="1">
        <f t="shared" ca="1" si="41"/>
        <v>859</v>
      </c>
    </row>
    <row r="410" spans="1:16" x14ac:dyDescent="0.3">
      <c r="A410">
        <v>2408</v>
      </c>
      <c r="B410" t="s">
        <v>10</v>
      </c>
      <c r="C410" t="s">
        <v>15</v>
      </c>
      <c r="D410" s="1">
        <v>44854</v>
      </c>
      <c r="E410" s="1">
        <v>44857</v>
      </c>
      <c r="F410" t="s">
        <v>36</v>
      </c>
      <c r="G410">
        <v>1</v>
      </c>
      <c r="H410">
        <v>3168.5</v>
      </c>
      <c r="I410">
        <v>3168.5</v>
      </c>
      <c r="J410" t="s">
        <v>13</v>
      </c>
      <c r="K410">
        <f t="shared" si="36"/>
        <v>2022</v>
      </c>
      <c r="L410">
        <f t="shared" si="37"/>
        <v>10</v>
      </c>
      <c r="M410" t="str">
        <f t="shared" si="38"/>
        <v>October</v>
      </c>
      <c r="N410">
        <f t="shared" si="39"/>
        <v>4</v>
      </c>
      <c r="O410">
        <f t="shared" si="40"/>
        <v>3</v>
      </c>
      <c r="P410" s="1">
        <f t="shared" ca="1" si="41"/>
        <v>1319</v>
      </c>
    </row>
    <row r="411" spans="1:16" x14ac:dyDescent="0.3">
      <c r="A411">
        <v>2409</v>
      </c>
      <c r="B411" t="s">
        <v>38</v>
      </c>
      <c r="C411" t="s">
        <v>31</v>
      </c>
      <c r="D411" s="1">
        <v>44998</v>
      </c>
      <c r="E411" s="1">
        <v>45010</v>
      </c>
      <c r="F411" t="s">
        <v>28</v>
      </c>
      <c r="G411">
        <v>3</v>
      </c>
      <c r="H411">
        <v>4623.5</v>
      </c>
      <c r="I411">
        <v>13870.5</v>
      </c>
      <c r="J411" t="s">
        <v>20</v>
      </c>
      <c r="K411">
        <f t="shared" si="36"/>
        <v>2023</v>
      </c>
      <c r="L411">
        <f t="shared" si="37"/>
        <v>3</v>
      </c>
      <c r="M411" t="str">
        <f t="shared" si="38"/>
        <v>March</v>
      </c>
      <c r="N411">
        <f t="shared" si="39"/>
        <v>1</v>
      </c>
      <c r="O411">
        <f t="shared" si="40"/>
        <v>12</v>
      </c>
      <c r="P411" s="1">
        <f t="shared" ca="1" si="41"/>
        <v>1175</v>
      </c>
    </row>
    <row r="412" spans="1:16" x14ac:dyDescent="0.3">
      <c r="A412">
        <v>2410</v>
      </c>
      <c r="B412" t="s">
        <v>29</v>
      </c>
      <c r="C412" t="s">
        <v>11</v>
      </c>
      <c r="D412" s="1">
        <v>44767</v>
      </c>
      <c r="E412" s="1">
        <v>44771</v>
      </c>
      <c r="F412" t="s">
        <v>32</v>
      </c>
      <c r="G412">
        <v>2</v>
      </c>
      <c r="H412">
        <v>3071</v>
      </c>
      <c r="I412">
        <v>6142</v>
      </c>
      <c r="J412" t="s">
        <v>20</v>
      </c>
      <c r="K412">
        <f t="shared" si="36"/>
        <v>2022</v>
      </c>
      <c r="L412">
        <f t="shared" si="37"/>
        <v>7</v>
      </c>
      <c r="M412" t="str">
        <f t="shared" si="38"/>
        <v>July</v>
      </c>
      <c r="N412">
        <f t="shared" si="39"/>
        <v>1</v>
      </c>
      <c r="O412">
        <f t="shared" si="40"/>
        <v>4</v>
      </c>
      <c r="P412" s="1">
        <f t="shared" ca="1" si="41"/>
        <v>1406</v>
      </c>
    </row>
    <row r="413" spans="1:16" x14ac:dyDescent="0.3">
      <c r="A413">
        <v>2411</v>
      </c>
      <c r="B413" t="s">
        <v>46</v>
      </c>
      <c r="C413" t="s">
        <v>25</v>
      </c>
      <c r="D413" s="1">
        <v>45206</v>
      </c>
      <c r="E413" s="1">
        <v>45220</v>
      </c>
      <c r="F413" t="s">
        <v>19</v>
      </c>
      <c r="G413">
        <v>4</v>
      </c>
      <c r="H413">
        <v>1601.75</v>
      </c>
      <c r="I413">
        <v>6407</v>
      </c>
      <c r="J413" t="s">
        <v>13</v>
      </c>
      <c r="K413">
        <f t="shared" si="36"/>
        <v>2023</v>
      </c>
      <c r="L413">
        <f t="shared" si="37"/>
        <v>10</v>
      </c>
      <c r="M413" t="str">
        <f t="shared" si="38"/>
        <v>October</v>
      </c>
      <c r="N413">
        <f t="shared" si="39"/>
        <v>6</v>
      </c>
      <c r="O413">
        <f t="shared" si="40"/>
        <v>14</v>
      </c>
      <c r="P413" s="1">
        <f t="shared" ca="1" si="41"/>
        <v>967</v>
      </c>
    </row>
    <row r="414" spans="1:16" x14ac:dyDescent="0.3">
      <c r="A414">
        <v>2412</v>
      </c>
      <c r="B414" t="s">
        <v>17</v>
      </c>
      <c r="C414" t="s">
        <v>18</v>
      </c>
      <c r="D414" s="1">
        <v>45145</v>
      </c>
      <c r="E414" s="1">
        <v>45159</v>
      </c>
      <c r="F414" t="s">
        <v>28</v>
      </c>
      <c r="G414">
        <v>1</v>
      </c>
      <c r="H414">
        <v>4285.09</v>
      </c>
      <c r="I414">
        <v>4285.09</v>
      </c>
      <c r="J414" t="s">
        <v>20</v>
      </c>
      <c r="K414">
        <f t="shared" si="36"/>
        <v>2023</v>
      </c>
      <c r="L414">
        <f t="shared" si="37"/>
        <v>8</v>
      </c>
      <c r="M414" t="str">
        <f t="shared" si="38"/>
        <v>August</v>
      </c>
      <c r="N414">
        <f t="shared" si="39"/>
        <v>1</v>
      </c>
      <c r="O414">
        <f t="shared" si="40"/>
        <v>14</v>
      </c>
      <c r="P414" s="1">
        <f t="shared" ca="1" si="41"/>
        <v>1028</v>
      </c>
    </row>
    <row r="415" spans="1:16" x14ac:dyDescent="0.3">
      <c r="A415">
        <v>2413</v>
      </c>
      <c r="B415" t="s">
        <v>29</v>
      </c>
      <c r="C415" t="s">
        <v>18</v>
      </c>
      <c r="D415" s="1">
        <v>45605</v>
      </c>
      <c r="E415" s="1">
        <v>45610</v>
      </c>
      <c r="F415" t="s">
        <v>28</v>
      </c>
      <c r="G415">
        <v>7</v>
      </c>
      <c r="H415">
        <v>1689.05</v>
      </c>
      <c r="I415">
        <v>11823.35</v>
      </c>
      <c r="J415" t="s">
        <v>13</v>
      </c>
      <c r="K415">
        <f t="shared" si="36"/>
        <v>2024</v>
      </c>
      <c r="L415">
        <f t="shared" si="37"/>
        <v>11</v>
      </c>
      <c r="M415" t="str">
        <f t="shared" si="38"/>
        <v>November</v>
      </c>
      <c r="N415">
        <f t="shared" si="39"/>
        <v>6</v>
      </c>
      <c r="O415">
        <f t="shared" si="40"/>
        <v>5</v>
      </c>
      <c r="P415" s="1">
        <f t="shared" ca="1" si="41"/>
        <v>568</v>
      </c>
    </row>
    <row r="416" spans="1:16" x14ac:dyDescent="0.3">
      <c r="A416">
        <v>2414</v>
      </c>
      <c r="B416" t="s">
        <v>17</v>
      </c>
      <c r="C416" t="s">
        <v>25</v>
      </c>
      <c r="D416" s="1">
        <v>45352</v>
      </c>
      <c r="E416" s="1">
        <v>45355</v>
      </c>
      <c r="F416" t="s">
        <v>19</v>
      </c>
      <c r="G416">
        <v>8</v>
      </c>
      <c r="H416">
        <v>3298.99</v>
      </c>
      <c r="I416">
        <v>26391.919999999998</v>
      </c>
      <c r="J416" t="s">
        <v>13</v>
      </c>
      <c r="K416">
        <f t="shared" si="36"/>
        <v>2024</v>
      </c>
      <c r="L416">
        <f t="shared" si="37"/>
        <v>3</v>
      </c>
      <c r="M416" t="str">
        <f t="shared" si="38"/>
        <v>March</v>
      </c>
      <c r="N416">
        <f t="shared" si="39"/>
        <v>5</v>
      </c>
      <c r="O416">
        <f t="shared" si="40"/>
        <v>3</v>
      </c>
      <c r="P416" s="1">
        <f t="shared" ca="1" si="41"/>
        <v>821</v>
      </c>
    </row>
    <row r="417" spans="1:16" x14ac:dyDescent="0.3">
      <c r="A417">
        <v>2415</v>
      </c>
      <c r="B417" t="s">
        <v>35</v>
      </c>
      <c r="C417" t="s">
        <v>11</v>
      </c>
      <c r="D417" s="1">
        <v>45301</v>
      </c>
      <c r="E417" s="1">
        <v>45308</v>
      </c>
      <c r="F417" t="s">
        <v>19</v>
      </c>
      <c r="G417">
        <v>7</v>
      </c>
      <c r="H417">
        <v>4345.83</v>
      </c>
      <c r="I417">
        <v>30420.81</v>
      </c>
      <c r="J417" t="s">
        <v>20</v>
      </c>
      <c r="K417">
        <f t="shared" si="36"/>
        <v>2024</v>
      </c>
      <c r="L417">
        <f t="shared" si="37"/>
        <v>1</v>
      </c>
      <c r="M417" t="str">
        <f t="shared" si="38"/>
        <v>January</v>
      </c>
      <c r="N417">
        <f t="shared" si="39"/>
        <v>3</v>
      </c>
      <c r="O417">
        <f t="shared" si="40"/>
        <v>7</v>
      </c>
      <c r="P417" s="1">
        <f t="shared" ca="1" si="41"/>
        <v>872</v>
      </c>
    </row>
    <row r="418" spans="1:16" x14ac:dyDescent="0.3">
      <c r="A418">
        <v>2416</v>
      </c>
      <c r="B418" t="s">
        <v>46</v>
      </c>
      <c r="C418" t="s">
        <v>18</v>
      </c>
      <c r="D418" s="1">
        <v>44915</v>
      </c>
      <c r="E418" s="1">
        <v>44929</v>
      </c>
      <c r="F418" t="s">
        <v>16</v>
      </c>
      <c r="G418">
        <v>2</v>
      </c>
      <c r="H418">
        <v>378.44</v>
      </c>
      <c r="I418">
        <v>756.88</v>
      </c>
      <c r="J418" t="s">
        <v>13</v>
      </c>
      <c r="K418">
        <f t="shared" si="36"/>
        <v>2022</v>
      </c>
      <c r="L418">
        <f t="shared" si="37"/>
        <v>12</v>
      </c>
      <c r="M418" t="str">
        <f t="shared" si="38"/>
        <v>December</v>
      </c>
      <c r="N418">
        <f t="shared" si="39"/>
        <v>2</v>
      </c>
      <c r="O418">
        <f t="shared" si="40"/>
        <v>14</v>
      </c>
      <c r="P418" s="1">
        <f t="shared" ca="1" si="41"/>
        <v>1258</v>
      </c>
    </row>
    <row r="419" spans="1:16" x14ac:dyDescent="0.3">
      <c r="A419">
        <v>2417</v>
      </c>
      <c r="B419" t="s">
        <v>21</v>
      </c>
      <c r="C419" t="s">
        <v>31</v>
      </c>
      <c r="D419" s="1">
        <v>45003</v>
      </c>
      <c r="E419" s="1">
        <v>45005</v>
      </c>
      <c r="F419" t="s">
        <v>26</v>
      </c>
      <c r="G419">
        <v>7</v>
      </c>
      <c r="H419">
        <v>2681.07</v>
      </c>
      <c r="I419">
        <v>18767.490000000002</v>
      </c>
      <c r="J419" t="s">
        <v>20</v>
      </c>
      <c r="K419">
        <f t="shared" si="36"/>
        <v>2023</v>
      </c>
      <c r="L419">
        <f t="shared" si="37"/>
        <v>3</v>
      </c>
      <c r="M419" t="str">
        <f t="shared" si="38"/>
        <v>March</v>
      </c>
      <c r="N419">
        <f t="shared" si="39"/>
        <v>6</v>
      </c>
      <c r="O419">
        <f t="shared" si="40"/>
        <v>2</v>
      </c>
      <c r="P419" s="1">
        <f t="shared" ca="1" si="41"/>
        <v>1170</v>
      </c>
    </row>
    <row r="420" spans="1:16" x14ac:dyDescent="0.3">
      <c r="A420">
        <v>2418</v>
      </c>
      <c r="B420" t="s">
        <v>39</v>
      </c>
      <c r="C420" t="s">
        <v>15</v>
      </c>
      <c r="D420" s="1">
        <v>45385</v>
      </c>
      <c r="E420" s="1">
        <v>45388</v>
      </c>
      <c r="F420" t="s">
        <v>28</v>
      </c>
      <c r="G420">
        <v>3</v>
      </c>
      <c r="H420">
        <v>1604.1</v>
      </c>
      <c r="I420">
        <v>4812.3</v>
      </c>
      <c r="J420" t="s">
        <v>20</v>
      </c>
      <c r="K420">
        <f t="shared" si="36"/>
        <v>2024</v>
      </c>
      <c r="L420">
        <f t="shared" si="37"/>
        <v>4</v>
      </c>
      <c r="M420" t="str">
        <f t="shared" si="38"/>
        <v>April</v>
      </c>
      <c r="N420">
        <f t="shared" si="39"/>
        <v>3</v>
      </c>
      <c r="O420">
        <f t="shared" si="40"/>
        <v>3</v>
      </c>
      <c r="P420" s="1">
        <f t="shared" ca="1" si="41"/>
        <v>788</v>
      </c>
    </row>
    <row r="421" spans="1:16" x14ac:dyDescent="0.3">
      <c r="A421">
        <v>2419</v>
      </c>
      <c r="B421" t="s">
        <v>49</v>
      </c>
      <c r="C421" t="s">
        <v>18</v>
      </c>
      <c r="D421" s="1">
        <v>44978</v>
      </c>
      <c r="E421" s="1">
        <v>44992</v>
      </c>
      <c r="F421" t="s">
        <v>19</v>
      </c>
      <c r="G421">
        <v>6</v>
      </c>
      <c r="H421">
        <v>2136.44</v>
      </c>
      <c r="I421">
        <v>12818.64</v>
      </c>
      <c r="J421" t="s">
        <v>13</v>
      </c>
      <c r="K421">
        <f t="shared" si="36"/>
        <v>2023</v>
      </c>
      <c r="L421">
        <f t="shared" si="37"/>
        <v>2</v>
      </c>
      <c r="M421" t="str">
        <f t="shared" si="38"/>
        <v>February</v>
      </c>
      <c r="N421">
        <f t="shared" si="39"/>
        <v>2</v>
      </c>
      <c r="O421">
        <f t="shared" si="40"/>
        <v>14</v>
      </c>
      <c r="P421" s="1">
        <f t="shared" ca="1" si="41"/>
        <v>1195</v>
      </c>
    </row>
    <row r="422" spans="1:16" x14ac:dyDescent="0.3">
      <c r="A422">
        <v>2420</v>
      </c>
      <c r="B422" t="s">
        <v>43</v>
      </c>
      <c r="C422" t="s">
        <v>15</v>
      </c>
      <c r="D422" s="1">
        <v>45457</v>
      </c>
      <c r="E422" s="1">
        <v>45470</v>
      </c>
      <c r="F422" t="s">
        <v>32</v>
      </c>
      <c r="G422">
        <v>4</v>
      </c>
      <c r="H422">
        <v>572.16</v>
      </c>
      <c r="I422">
        <v>2288.64</v>
      </c>
      <c r="J422" t="s">
        <v>13</v>
      </c>
      <c r="K422">
        <f t="shared" si="36"/>
        <v>2024</v>
      </c>
      <c r="L422">
        <f t="shared" si="37"/>
        <v>6</v>
      </c>
      <c r="M422" t="str">
        <f t="shared" si="38"/>
        <v>June</v>
      </c>
      <c r="N422">
        <f t="shared" si="39"/>
        <v>5</v>
      </c>
      <c r="O422">
        <f t="shared" si="40"/>
        <v>13</v>
      </c>
      <c r="P422" s="1">
        <f t="shared" ca="1" si="41"/>
        <v>716</v>
      </c>
    </row>
    <row r="423" spans="1:16" x14ac:dyDescent="0.3">
      <c r="A423">
        <v>2421</v>
      </c>
      <c r="B423" t="s">
        <v>39</v>
      </c>
      <c r="C423" t="s">
        <v>11</v>
      </c>
      <c r="D423" s="1">
        <v>45490</v>
      </c>
      <c r="E423" s="1">
        <v>45501</v>
      </c>
      <c r="F423" t="s">
        <v>36</v>
      </c>
      <c r="G423">
        <v>1</v>
      </c>
      <c r="H423">
        <v>1753.66</v>
      </c>
      <c r="I423">
        <v>1753.66</v>
      </c>
      <c r="J423" t="s">
        <v>13</v>
      </c>
      <c r="K423">
        <f t="shared" si="36"/>
        <v>2024</v>
      </c>
      <c r="L423">
        <f t="shared" si="37"/>
        <v>7</v>
      </c>
      <c r="M423" t="str">
        <f t="shared" si="38"/>
        <v>July</v>
      </c>
      <c r="N423">
        <f t="shared" si="39"/>
        <v>3</v>
      </c>
      <c r="O423">
        <f t="shared" si="40"/>
        <v>11</v>
      </c>
      <c r="P423" s="1">
        <f t="shared" ca="1" si="41"/>
        <v>683</v>
      </c>
    </row>
    <row r="424" spans="1:16" x14ac:dyDescent="0.3">
      <c r="A424">
        <v>2422</v>
      </c>
      <c r="B424" t="s">
        <v>23</v>
      </c>
      <c r="C424" t="s">
        <v>11</v>
      </c>
      <c r="D424" s="1">
        <v>44843</v>
      </c>
      <c r="E424" s="1">
        <v>44856</v>
      </c>
      <c r="F424" t="s">
        <v>26</v>
      </c>
      <c r="G424">
        <v>3</v>
      </c>
      <c r="H424">
        <v>2633.14</v>
      </c>
      <c r="I424">
        <v>7899.42</v>
      </c>
      <c r="J424" t="s">
        <v>20</v>
      </c>
      <c r="K424">
        <f t="shared" si="36"/>
        <v>2022</v>
      </c>
      <c r="L424">
        <f t="shared" si="37"/>
        <v>10</v>
      </c>
      <c r="M424" t="str">
        <f t="shared" si="38"/>
        <v>October</v>
      </c>
      <c r="N424">
        <f t="shared" si="39"/>
        <v>7</v>
      </c>
      <c r="O424">
        <f t="shared" si="40"/>
        <v>13</v>
      </c>
      <c r="P424" s="1">
        <f t="shared" ca="1" si="41"/>
        <v>1330</v>
      </c>
    </row>
    <row r="425" spans="1:16" x14ac:dyDescent="0.3">
      <c r="A425">
        <v>2423</v>
      </c>
      <c r="B425" t="s">
        <v>35</v>
      </c>
      <c r="C425" t="s">
        <v>18</v>
      </c>
      <c r="D425" s="1">
        <v>45092</v>
      </c>
      <c r="E425" s="1">
        <v>45096</v>
      </c>
      <c r="F425" t="s">
        <v>12</v>
      </c>
      <c r="G425">
        <v>3</v>
      </c>
      <c r="H425">
        <v>3823.95</v>
      </c>
      <c r="I425">
        <v>11471.85</v>
      </c>
      <c r="J425" t="s">
        <v>20</v>
      </c>
      <c r="K425">
        <f t="shared" si="36"/>
        <v>2023</v>
      </c>
      <c r="L425">
        <f t="shared" si="37"/>
        <v>6</v>
      </c>
      <c r="M425" t="str">
        <f t="shared" si="38"/>
        <v>June</v>
      </c>
      <c r="N425">
        <f t="shared" si="39"/>
        <v>4</v>
      </c>
      <c r="O425">
        <f t="shared" si="40"/>
        <v>4</v>
      </c>
      <c r="P425" s="1">
        <f t="shared" ca="1" si="41"/>
        <v>1081</v>
      </c>
    </row>
    <row r="426" spans="1:16" x14ac:dyDescent="0.3">
      <c r="A426">
        <v>2424</v>
      </c>
      <c r="B426" t="s">
        <v>24</v>
      </c>
      <c r="C426" t="s">
        <v>11</v>
      </c>
      <c r="D426" s="1">
        <v>44622</v>
      </c>
      <c r="E426" s="1">
        <v>44629</v>
      </c>
      <c r="F426" t="s">
        <v>32</v>
      </c>
      <c r="G426">
        <v>7</v>
      </c>
      <c r="H426">
        <v>1578.31</v>
      </c>
      <c r="I426">
        <v>11048.17</v>
      </c>
      <c r="J426" t="s">
        <v>13</v>
      </c>
      <c r="K426">
        <f t="shared" si="36"/>
        <v>2022</v>
      </c>
      <c r="L426">
        <f t="shared" si="37"/>
        <v>3</v>
      </c>
      <c r="M426" t="str">
        <f t="shared" si="38"/>
        <v>March</v>
      </c>
      <c r="N426">
        <f t="shared" si="39"/>
        <v>3</v>
      </c>
      <c r="O426">
        <f t="shared" si="40"/>
        <v>7</v>
      </c>
      <c r="P426" s="1">
        <f t="shared" ca="1" si="41"/>
        <v>1551</v>
      </c>
    </row>
    <row r="427" spans="1:16" x14ac:dyDescent="0.3">
      <c r="A427">
        <v>2425</v>
      </c>
      <c r="B427" t="s">
        <v>33</v>
      </c>
      <c r="C427" t="s">
        <v>15</v>
      </c>
      <c r="D427" s="1">
        <v>44719</v>
      </c>
      <c r="E427" s="1">
        <v>44728</v>
      </c>
      <c r="F427" t="s">
        <v>16</v>
      </c>
      <c r="G427">
        <v>6</v>
      </c>
      <c r="H427">
        <v>560.55999999999995</v>
      </c>
      <c r="I427">
        <v>3363.36</v>
      </c>
      <c r="J427" t="s">
        <v>13</v>
      </c>
      <c r="K427">
        <f t="shared" si="36"/>
        <v>2022</v>
      </c>
      <c r="L427">
        <f t="shared" si="37"/>
        <v>6</v>
      </c>
      <c r="M427" t="str">
        <f t="shared" si="38"/>
        <v>June</v>
      </c>
      <c r="N427">
        <f t="shared" si="39"/>
        <v>2</v>
      </c>
      <c r="O427">
        <f t="shared" si="40"/>
        <v>9</v>
      </c>
      <c r="P427" s="1">
        <f t="shared" ca="1" si="41"/>
        <v>1454</v>
      </c>
    </row>
    <row r="428" spans="1:16" x14ac:dyDescent="0.3">
      <c r="A428">
        <v>2426</v>
      </c>
      <c r="B428" t="s">
        <v>46</v>
      </c>
      <c r="C428" t="s">
        <v>22</v>
      </c>
      <c r="D428" s="1">
        <v>45084</v>
      </c>
      <c r="E428" s="1">
        <v>45098</v>
      </c>
      <c r="F428" t="s">
        <v>26</v>
      </c>
      <c r="G428">
        <v>2</v>
      </c>
      <c r="H428">
        <v>1373.5</v>
      </c>
      <c r="I428">
        <v>2747</v>
      </c>
      <c r="J428" t="s">
        <v>13</v>
      </c>
      <c r="K428">
        <f t="shared" si="36"/>
        <v>2023</v>
      </c>
      <c r="L428">
        <f t="shared" si="37"/>
        <v>6</v>
      </c>
      <c r="M428" t="str">
        <f t="shared" si="38"/>
        <v>June</v>
      </c>
      <c r="N428">
        <f t="shared" si="39"/>
        <v>3</v>
      </c>
      <c r="O428">
        <f t="shared" si="40"/>
        <v>14</v>
      </c>
      <c r="P428" s="1">
        <f t="shared" ca="1" si="41"/>
        <v>1089</v>
      </c>
    </row>
    <row r="429" spans="1:16" x14ac:dyDescent="0.3">
      <c r="A429">
        <v>2427</v>
      </c>
      <c r="B429" t="s">
        <v>40</v>
      </c>
      <c r="C429" t="s">
        <v>11</v>
      </c>
      <c r="D429" s="1">
        <v>45062</v>
      </c>
      <c r="E429" s="1">
        <v>45064</v>
      </c>
      <c r="F429" t="s">
        <v>16</v>
      </c>
      <c r="G429">
        <v>6</v>
      </c>
      <c r="H429">
        <v>2100</v>
      </c>
      <c r="I429">
        <v>12600</v>
      </c>
      <c r="J429" t="s">
        <v>13</v>
      </c>
      <c r="K429">
        <f t="shared" si="36"/>
        <v>2023</v>
      </c>
      <c r="L429">
        <f t="shared" si="37"/>
        <v>5</v>
      </c>
      <c r="M429" t="str">
        <f t="shared" si="38"/>
        <v>May</v>
      </c>
      <c r="N429">
        <f t="shared" si="39"/>
        <v>2</v>
      </c>
      <c r="O429">
        <f t="shared" si="40"/>
        <v>2</v>
      </c>
      <c r="P429" s="1">
        <f t="shared" ca="1" si="41"/>
        <v>1111</v>
      </c>
    </row>
    <row r="430" spans="1:16" x14ac:dyDescent="0.3">
      <c r="A430">
        <v>2428</v>
      </c>
      <c r="B430" t="s">
        <v>45</v>
      </c>
      <c r="C430" t="s">
        <v>11</v>
      </c>
      <c r="D430" s="1">
        <v>45420</v>
      </c>
      <c r="E430" s="1">
        <v>45425</v>
      </c>
      <c r="F430" t="s">
        <v>12</v>
      </c>
      <c r="G430">
        <v>4</v>
      </c>
      <c r="H430">
        <v>2256.41</v>
      </c>
      <c r="I430">
        <v>9025.64</v>
      </c>
      <c r="J430" t="s">
        <v>20</v>
      </c>
      <c r="K430">
        <f t="shared" si="36"/>
        <v>2024</v>
      </c>
      <c r="L430">
        <f t="shared" si="37"/>
        <v>5</v>
      </c>
      <c r="M430" t="str">
        <f t="shared" si="38"/>
        <v>May</v>
      </c>
      <c r="N430">
        <f t="shared" si="39"/>
        <v>3</v>
      </c>
      <c r="O430">
        <f t="shared" si="40"/>
        <v>5</v>
      </c>
      <c r="P430" s="1">
        <f t="shared" ca="1" si="41"/>
        <v>753</v>
      </c>
    </row>
    <row r="431" spans="1:16" x14ac:dyDescent="0.3">
      <c r="A431">
        <v>2429</v>
      </c>
      <c r="B431" t="s">
        <v>33</v>
      </c>
      <c r="C431" t="s">
        <v>11</v>
      </c>
      <c r="D431" s="1">
        <v>45325</v>
      </c>
      <c r="E431" s="1">
        <v>45328</v>
      </c>
      <c r="F431" t="s">
        <v>36</v>
      </c>
      <c r="G431">
        <v>1</v>
      </c>
      <c r="H431">
        <v>1142.92</v>
      </c>
      <c r="I431">
        <v>1142.92</v>
      </c>
      <c r="J431" t="s">
        <v>13</v>
      </c>
      <c r="K431">
        <f t="shared" si="36"/>
        <v>2024</v>
      </c>
      <c r="L431">
        <f t="shared" si="37"/>
        <v>2</v>
      </c>
      <c r="M431" t="str">
        <f t="shared" si="38"/>
        <v>February</v>
      </c>
      <c r="N431">
        <f t="shared" si="39"/>
        <v>6</v>
      </c>
      <c r="O431">
        <f t="shared" si="40"/>
        <v>3</v>
      </c>
      <c r="P431" s="1">
        <f t="shared" ca="1" si="41"/>
        <v>848</v>
      </c>
    </row>
    <row r="432" spans="1:16" x14ac:dyDescent="0.3">
      <c r="A432">
        <v>2430</v>
      </c>
      <c r="B432" t="s">
        <v>34</v>
      </c>
      <c r="C432" t="s">
        <v>11</v>
      </c>
      <c r="D432" s="1">
        <v>45514</v>
      </c>
      <c r="E432" s="1">
        <v>45529</v>
      </c>
      <c r="F432" t="s">
        <v>12</v>
      </c>
      <c r="G432">
        <v>5</v>
      </c>
      <c r="H432">
        <v>1838.31</v>
      </c>
      <c r="I432">
        <v>9191.5499999999993</v>
      </c>
      <c r="J432" t="s">
        <v>20</v>
      </c>
      <c r="K432">
        <f t="shared" si="36"/>
        <v>2024</v>
      </c>
      <c r="L432">
        <f t="shared" si="37"/>
        <v>8</v>
      </c>
      <c r="M432" t="str">
        <f t="shared" si="38"/>
        <v>August</v>
      </c>
      <c r="N432">
        <f t="shared" si="39"/>
        <v>6</v>
      </c>
      <c r="O432">
        <f t="shared" si="40"/>
        <v>15</v>
      </c>
      <c r="P432" s="1">
        <f t="shared" ca="1" si="41"/>
        <v>659</v>
      </c>
    </row>
    <row r="433" spans="1:16" x14ac:dyDescent="0.3">
      <c r="A433">
        <v>2431</v>
      </c>
      <c r="B433" t="s">
        <v>21</v>
      </c>
      <c r="C433" t="s">
        <v>31</v>
      </c>
      <c r="D433" s="1">
        <v>44972</v>
      </c>
      <c r="E433" s="1">
        <v>44978</v>
      </c>
      <c r="F433" t="s">
        <v>36</v>
      </c>
      <c r="G433">
        <v>5</v>
      </c>
      <c r="H433">
        <v>3776.01</v>
      </c>
      <c r="I433">
        <v>18880.05</v>
      </c>
      <c r="J433" t="s">
        <v>13</v>
      </c>
      <c r="K433">
        <f t="shared" si="36"/>
        <v>2023</v>
      </c>
      <c r="L433">
        <f t="shared" si="37"/>
        <v>2</v>
      </c>
      <c r="M433" t="str">
        <f t="shared" si="38"/>
        <v>February</v>
      </c>
      <c r="N433">
        <f t="shared" si="39"/>
        <v>3</v>
      </c>
      <c r="O433">
        <f t="shared" si="40"/>
        <v>6</v>
      </c>
      <c r="P433" s="1">
        <f t="shared" ca="1" si="41"/>
        <v>1201</v>
      </c>
    </row>
    <row r="434" spans="1:16" x14ac:dyDescent="0.3">
      <c r="A434">
        <v>2432</v>
      </c>
      <c r="B434" t="s">
        <v>38</v>
      </c>
      <c r="C434" t="s">
        <v>31</v>
      </c>
      <c r="D434" s="1">
        <v>45572</v>
      </c>
      <c r="E434" s="1">
        <v>45586</v>
      </c>
      <c r="F434" t="s">
        <v>32</v>
      </c>
      <c r="G434">
        <v>4</v>
      </c>
      <c r="H434">
        <v>3742.58</v>
      </c>
      <c r="I434">
        <v>14970.32</v>
      </c>
      <c r="J434" t="s">
        <v>13</v>
      </c>
      <c r="K434">
        <f t="shared" si="36"/>
        <v>2024</v>
      </c>
      <c r="L434">
        <f t="shared" si="37"/>
        <v>10</v>
      </c>
      <c r="M434" t="str">
        <f t="shared" si="38"/>
        <v>October</v>
      </c>
      <c r="N434">
        <f t="shared" si="39"/>
        <v>1</v>
      </c>
      <c r="O434">
        <f t="shared" si="40"/>
        <v>14</v>
      </c>
      <c r="P434" s="1">
        <f t="shared" ca="1" si="41"/>
        <v>601</v>
      </c>
    </row>
    <row r="435" spans="1:16" x14ac:dyDescent="0.3">
      <c r="A435">
        <v>2433</v>
      </c>
      <c r="B435" t="s">
        <v>37</v>
      </c>
      <c r="C435" t="s">
        <v>11</v>
      </c>
      <c r="D435" s="1">
        <v>45401</v>
      </c>
      <c r="E435" s="1">
        <v>45403</v>
      </c>
      <c r="F435" t="s">
        <v>19</v>
      </c>
      <c r="G435">
        <v>6</v>
      </c>
      <c r="H435">
        <v>3288.93</v>
      </c>
      <c r="I435">
        <v>19733.580000000002</v>
      </c>
      <c r="J435" t="s">
        <v>13</v>
      </c>
      <c r="K435">
        <f t="shared" si="36"/>
        <v>2024</v>
      </c>
      <c r="L435">
        <f t="shared" si="37"/>
        <v>4</v>
      </c>
      <c r="M435" t="str">
        <f t="shared" si="38"/>
        <v>April</v>
      </c>
      <c r="N435">
        <f t="shared" si="39"/>
        <v>5</v>
      </c>
      <c r="O435">
        <f t="shared" si="40"/>
        <v>2</v>
      </c>
      <c r="P435" s="1">
        <f t="shared" ca="1" si="41"/>
        <v>772</v>
      </c>
    </row>
    <row r="436" spans="1:16" x14ac:dyDescent="0.3">
      <c r="A436">
        <v>2434</v>
      </c>
      <c r="B436" t="s">
        <v>47</v>
      </c>
      <c r="C436" t="s">
        <v>11</v>
      </c>
      <c r="D436" s="1">
        <v>45332</v>
      </c>
      <c r="E436" s="1">
        <v>45347</v>
      </c>
      <c r="F436" t="s">
        <v>28</v>
      </c>
      <c r="G436">
        <v>5</v>
      </c>
      <c r="H436">
        <v>788.56</v>
      </c>
      <c r="I436">
        <v>3942.8</v>
      </c>
      <c r="J436" t="s">
        <v>13</v>
      </c>
      <c r="K436">
        <f t="shared" si="36"/>
        <v>2024</v>
      </c>
      <c r="L436">
        <f t="shared" si="37"/>
        <v>2</v>
      </c>
      <c r="M436" t="str">
        <f t="shared" si="38"/>
        <v>February</v>
      </c>
      <c r="N436">
        <f t="shared" si="39"/>
        <v>6</v>
      </c>
      <c r="O436">
        <f t="shared" si="40"/>
        <v>15</v>
      </c>
      <c r="P436" s="1">
        <f t="shared" ca="1" si="41"/>
        <v>841</v>
      </c>
    </row>
    <row r="437" spans="1:16" x14ac:dyDescent="0.3">
      <c r="A437">
        <v>2435</v>
      </c>
      <c r="B437" t="s">
        <v>39</v>
      </c>
      <c r="C437" t="s">
        <v>25</v>
      </c>
      <c r="D437" s="1">
        <v>44684</v>
      </c>
      <c r="E437" s="1">
        <v>44688</v>
      </c>
      <c r="F437" t="s">
        <v>28</v>
      </c>
      <c r="G437">
        <v>5</v>
      </c>
      <c r="H437">
        <v>737.23</v>
      </c>
      <c r="I437">
        <v>3686.15</v>
      </c>
      <c r="J437" t="s">
        <v>13</v>
      </c>
      <c r="K437">
        <f t="shared" si="36"/>
        <v>2022</v>
      </c>
      <c r="L437">
        <f t="shared" si="37"/>
        <v>5</v>
      </c>
      <c r="M437" t="str">
        <f t="shared" si="38"/>
        <v>May</v>
      </c>
      <c r="N437">
        <f t="shared" si="39"/>
        <v>2</v>
      </c>
      <c r="O437">
        <f t="shared" si="40"/>
        <v>4</v>
      </c>
      <c r="P437" s="1">
        <f t="shared" ca="1" si="41"/>
        <v>1489</v>
      </c>
    </row>
    <row r="438" spans="1:16" x14ac:dyDescent="0.3">
      <c r="A438">
        <v>2436</v>
      </c>
      <c r="B438" t="s">
        <v>35</v>
      </c>
      <c r="C438" t="s">
        <v>25</v>
      </c>
      <c r="D438" s="1">
        <v>45324</v>
      </c>
      <c r="E438" s="1">
        <v>45333</v>
      </c>
      <c r="F438" t="s">
        <v>28</v>
      </c>
      <c r="G438">
        <v>2</v>
      </c>
      <c r="H438">
        <v>3029.62</v>
      </c>
      <c r="I438">
        <v>6059.24</v>
      </c>
      <c r="J438" t="s">
        <v>13</v>
      </c>
      <c r="K438">
        <f t="shared" si="36"/>
        <v>2024</v>
      </c>
      <c r="L438">
        <f t="shared" si="37"/>
        <v>2</v>
      </c>
      <c r="M438" t="str">
        <f t="shared" si="38"/>
        <v>February</v>
      </c>
      <c r="N438">
        <f t="shared" si="39"/>
        <v>5</v>
      </c>
      <c r="O438">
        <f t="shared" si="40"/>
        <v>9</v>
      </c>
      <c r="P438" s="1">
        <f t="shared" ca="1" si="41"/>
        <v>849</v>
      </c>
    </row>
    <row r="439" spans="1:16" x14ac:dyDescent="0.3">
      <c r="A439">
        <v>2437</v>
      </c>
      <c r="B439" t="s">
        <v>10</v>
      </c>
      <c r="C439" t="s">
        <v>25</v>
      </c>
      <c r="D439" s="1">
        <v>44715</v>
      </c>
      <c r="E439" s="1">
        <v>44726</v>
      </c>
      <c r="F439" t="s">
        <v>36</v>
      </c>
      <c r="G439">
        <v>1</v>
      </c>
      <c r="H439">
        <v>2344.42</v>
      </c>
      <c r="I439">
        <v>2344.42</v>
      </c>
      <c r="J439" t="s">
        <v>13</v>
      </c>
      <c r="K439">
        <f t="shared" si="36"/>
        <v>2022</v>
      </c>
      <c r="L439">
        <f t="shared" si="37"/>
        <v>6</v>
      </c>
      <c r="M439" t="str">
        <f t="shared" si="38"/>
        <v>June</v>
      </c>
      <c r="N439">
        <f t="shared" si="39"/>
        <v>5</v>
      </c>
      <c r="O439">
        <f t="shared" si="40"/>
        <v>11</v>
      </c>
      <c r="P439" s="1">
        <f t="shared" ca="1" si="41"/>
        <v>1458</v>
      </c>
    </row>
    <row r="440" spans="1:16" x14ac:dyDescent="0.3">
      <c r="A440">
        <v>2438</v>
      </c>
      <c r="B440" t="s">
        <v>17</v>
      </c>
      <c r="C440" t="s">
        <v>31</v>
      </c>
      <c r="D440" s="1">
        <v>45096</v>
      </c>
      <c r="E440" s="1">
        <v>45111</v>
      </c>
      <c r="F440" t="s">
        <v>12</v>
      </c>
      <c r="G440">
        <v>7</v>
      </c>
      <c r="H440">
        <v>3593.41</v>
      </c>
      <c r="I440">
        <v>25153.87</v>
      </c>
      <c r="J440" t="s">
        <v>20</v>
      </c>
      <c r="K440">
        <f t="shared" si="36"/>
        <v>2023</v>
      </c>
      <c r="L440">
        <f t="shared" si="37"/>
        <v>6</v>
      </c>
      <c r="M440" t="str">
        <f t="shared" si="38"/>
        <v>June</v>
      </c>
      <c r="N440">
        <f t="shared" si="39"/>
        <v>1</v>
      </c>
      <c r="O440">
        <f t="shared" si="40"/>
        <v>15</v>
      </c>
      <c r="P440" s="1">
        <f t="shared" ca="1" si="41"/>
        <v>1077</v>
      </c>
    </row>
    <row r="441" spans="1:16" x14ac:dyDescent="0.3">
      <c r="A441">
        <v>2439</v>
      </c>
      <c r="B441" t="s">
        <v>47</v>
      </c>
      <c r="C441" t="s">
        <v>25</v>
      </c>
      <c r="D441" s="1">
        <v>45118</v>
      </c>
      <c r="E441" s="1">
        <v>45123</v>
      </c>
      <c r="F441" t="s">
        <v>26</v>
      </c>
      <c r="G441">
        <v>4</v>
      </c>
      <c r="H441">
        <v>939.73</v>
      </c>
      <c r="I441">
        <v>3758.92</v>
      </c>
      <c r="J441" t="s">
        <v>13</v>
      </c>
      <c r="K441">
        <f t="shared" si="36"/>
        <v>2023</v>
      </c>
      <c r="L441">
        <f t="shared" si="37"/>
        <v>7</v>
      </c>
      <c r="M441" t="str">
        <f t="shared" si="38"/>
        <v>July</v>
      </c>
      <c r="N441">
        <f t="shared" si="39"/>
        <v>2</v>
      </c>
      <c r="O441">
        <f t="shared" si="40"/>
        <v>5</v>
      </c>
      <c r="P441" s="1">
        <f t="shared" ca="1" si="41"/>
        <v>1055</v>
      </c>
    </row>
    <row r="442" spans="1:16" x14ac:dyDescent="0.3">
      <c r="A442">
        <v>2440</v>
      </c>
      <c r="B442" t="s">
        <v>37</v>
      </c>
      <c r="C442" t="s">
        <v>11</v>
      </c>
      <c r="D442" s="1">
        <v>44898</v>
      </c>
      <c r="E442" s="1">
        <v>44907</v>
      </c>
      <c r="F442" t="s">
        <v>16</v>
      </c>
      <c r="G442">
        <v>6</v>
      </c>
      <c r="H442">
        <v>2210.61</v>
      </c>
      <c r="I442">
        <v>13263.66</v>
      </c>
      <c r="J442" t="s">
        <v>20</v>
      </c>
      <c r="K442">
        <f t="shared" si="36"/>
        <v>2022</v>
      </c>
      <c r="L442">
        <f t="shared" si="37"/>
        <v>12</v>
      </c>
      <c r="M442" t="str">
        <f t="shared" si="38"/>
        <v>December</v>
      </c>
      <c r="N442">
        <f t="shared" si="39"/>
        <v>6</v>
      </c>
      <c r="O442">
        <f t="shared" si="40"/>
        <v>9</v>
      </c>
      <c r="P442" s="1">
        <f t="shared" ca="1" si="41"/>
        <v>1275</v>
      </c>
    </row>
    <row r="443" spans="1:16" x14ac:dyDescent="0.3">
      <c r="A443">
        <v>2441</v>
      </c>
      <c r="B443" t="s">
        <v>44</v>
      </c>
      <c r="C443" t="s">
        <v>22</v>
      </c>
      <c r="D443" s="1">
        <v>45487</v>
      </c>
      <c r="E443" s="1">
        <v>45493</v>
      </c>
      <c r="F443" t="s">
        <v>16</v>
      </c>
      <c r="G443">
        <v>5</v>
      </c>
      <c r="H443">
        <v>4306.67</v>
      </c>
      <c r="I443">
        <v>21533.35</v>
      </c>
      <c r="J443" t="s">
        <v>13</v>
      </c>
      <c r="K443">
        <f t="shared" si="36"/>
        <v>2024</v>
      </c>
      <c r="L443">
        <f t="shared" si="37"/>
        <v>7</v>
      </c>
      <c r="M443" t="str">
        <f t="shared" si="38"/>
        <v>July</v>
      </c>
      <c r="N443">
        <f t="shared" si="39"/>
        <v>7</v>
      </c>
      <c r="O443">
        <f t="shared" si="40"/>
        <v>6</v>
      </c>
      <c r="P443" s="1">
        <f t="shared" ca="1" si="41"/>
        <v>686</v>
      </c>
    </row>
    <row r="444" spans="1:16" x14ac:dyDescent="0.3">
      <c r="A444">
        <v>2442</v>
      </c>
      <c r="B444" t="s">
        <v>45</v>
      </c>
      <c r="C444" t="s">
        <v>15</v>
      </c>
      <c r="D444" s="1">
        <v>45185</v>
      </c>
      <c r="E444" s="1">
        <v>45200</v>
      </c>
      <c r="F444" t="s">
        <v>28</v>
      </c>
      <c r="G444">
        <v>1</v>
      </c>
      <c r="H444">
        <v>1310.5999999999999</v>
      </c>
      <c r="I444">
        <v>1310.5999999999999</v>
      </c>
      <c r="J444" t="s">
        <v>20</v>
      </c>
      <c r="K444">
        <f t="shared" si="36"/>
        <v>2023</v>
      </c>
      <c r="L444">
        <f t="shared" si="37"/>
        <v>9</v>
      </c>
      <c r="M444" t="str">
        <f t="shared" si="38"/>
        <v>September</v>
      </c>
      <c r="N444">
        <f t="shared" si="39"/>
        <v>6</v>
      </c>
      <c r="O444">
        <f t="shared" si="40"/>
        <v>15</v>
      </c>
      <c r="P444" s="1">
        <f t="shared" ca="1" si="41"/>
        <v>988</v>
      </c>
    </row>
    <row r="445" spans="1:16" x14ac:dyDescent="0.3">
      <c r="A445">
        <v>2443</v>
      </c>
      <c r="B445" t="s">
        <v>37</v>
      </c>
      <c r="C445" t="s">
        <v>11</v>
      </c>
      <c r="D445" s="1">
        <v>45070</v>
      </c>
      <c r="E445" s="1">
        <v>45077</v>
      </c>
      <c r="F445" t="s">
        <v>16</v>
      </c>
      <c r="G445">
        <v>1</v>
      </c>
      <c r="H445">
        <v>3482.76</v>
      </c>
      <c r="I445">
        <v>3482.76</v>
      </c>
      <c r="J445" t="s">
        <v>20</v>
      </c>
      <c r="K445">
        <f t="shared" si="36"/>
        <v>2023</v>
      </c>
      <c r="L445">
        <f t="shared" si="37"/>
        <v>5</v>
      </c>
      <c r="M445" t="str">
        <f t="shared" si="38"/>
        <v>May</v>
      </c>
      <c r="N445">
        <f t="shared" si="39"/>
        <v>3</v>
      </c>
      <c r="O445">
        <f t="shared" si="40"/>
        <v>7</v>
      </c>
      <c r="P445" s="1">
        <f t="shared" ca="1" si="41"/>
        <v>1103</v>
      </c>
    </row>
    <row r="446" spans="1:16" x14ac:dyDescent="0.3">
      <c r="A446">
        <v>2444</v>
      </c>
      <c r="B446" t="s">
        <v>45</v>
      </c>
      <c r="C446" t="s">
        <v>11</v>
      </c>
      <c r="D446" s="1">
        <v>45390</v>
      </c>
      <c r="E446" s="1">
        <v>45405</v>
      </c>
      <c r="F446" t="s">
        <v>16</v>
      </c>
      <c r="G446">
        <v>4</v>
      </c>
      <c r="H446">
        <v>745.21</v>
      </c>
      <c r="I446">
        <v>2980.84</v>
      </c>
      <c r="J446" t="s">
        <v>13</v>
      </c>
      <c r="K446">
        <f t="shared" si="36"/>
        <v>2024</v>
      </c>
      <c r="L446">
        <f t="shared" si="37"/>
        <v>4</v>
      </c>
      <c r="M446" t="str">
        <f t="shared" si="38"/>
        <v>April</v>
      </c>
      <c r="N446">
        <f t="shared" si="39"/>
        <v>1</v>
      </c>
      <c r="O446">
        <f t="shared" si="40"/>
        <v>15</v>
      </c>
      <c r="P446" s="1">
        <f t="shared" ca="1" si="41"/>
        <v>783</v>
      </c>
    </row>
    <row r="447" spans="1:16" x14ac:dyDescent="0.3">
      <c r="A447">
        <v>2445</v>
      </c>
      <c r="B447" t="s">
        <v>37</v>
      </c>
      <c r="C447" t="s">
        <v>11</v>
      </c>
      <c r="D447" s="1">
        <v>44586</v>
      </c>
      <c r="E447" s="1">
        <v>44588</v>
      </c>
      <c r="F447" t="s">
        <v>32</v>
      </c>
      <c r="G447">
        <v>4</v>
      </c>
      <c r="H447">
        <v>914.36</v>
      </c>
      <c r="I447">
        <v>3657.44</v>
      </c>
      <c r="J447" t="s">
        <v>20</v>
      </c>
      <c r="K447">
        <f t="shared" si="36"/>
        <v>2022</v>
      </c>
      <c r="L447">
        <f t="shared" si="37"/>
        <v>1</v>
      </c>
      <c r="M447" t="str">
        <f t="shared" si="38"/>
        <v>January</v>
      </c>
      <c r="N447">
        <f t="shared" si="39"/>
        <v>2</v>
      </c>
      <c r="O447">
        <f t="shared" si="40"/>
        <v>2</v>
      </c>
      <c r="P447" s="1">
        <f t="shared" ca="1" si="41"/>
        <v>1587</v>
      </c>
    </row>
    <row r="448" spans="1:16" x14ac:dyDescent="0.3">
      <c r="A448">
        <v>2446</v>
      </c>
      <c r="B448" t="s">
        <v>46</v>
      </c>
      <c r="C448" t="s">
        <v>15</v>
      </c>
      <c r="D448" s="1">
        <v>44734</v>
      </c>
      <c r="E448" s="1">
        <v>44745</v>
      </c>
      <c r="F448" t="s">
        <v>36</v>
      </c>
      <c r="G448">
        <v>5</v>
      </c>
      <c r="H448">
        <v>4611.91</v>
      </c>
      <c r="I448">
        <v>23059.55</v>
      </c>
      <c r="J448" t="s">
        <v>13</v>
      </c>
      <c r="K448">
        <f t="shared" si="36"/>
        <v>2022</v>
      </c>
      <c r="L448">
        <f t="shared" si="37"/>
        <v>6</v>
      </c>
      <c r="M448" t="str">
        <f t="shared" si="38"/>
        <v>June</v>
      </c>
      <c r="N448">
        <f t="shared" si="39"/>
        <v>3</v>
      </c>
      <c r="O448">
        <f t="shared" si="40"/>
        <v>11</v>
      </c>
      <c r="P448" s="1">
        <f t="shared" ca="1" si="41"/>
        <v>1439</v>
      </c>
    </row>
    <row r="449" spans="1:16" x14ac:dyDescent="0.3">
      <c r="A449">
        <v>2447</v>
      </c>
      <c r="B449" t="s">
        <v>21</v>
      </c>
      <c r="C449" t="s">
        <v>11</v>
      </c>
      <c r="D449" s="1">
        <v>44966</v>
      </c>
      <c r="E449" s="1">
        <v>44978</v>
      </c>
      <c r="F449" t="s">
        <v>16</v>
      </c>
      <c r="G449">
        <v>3</v>
      </c>
      <c r="H449">
        <v>732.3</v>
      </c>
      <c r="I449">
        <v>2196.9</v>
      </c>
      <c r="J449" t="s">
        <v>20</v>
      </c>
      <c r="K449">
        <f t="shared" si="36"/>
        <v>2023</v>
      </c>
      <c r="L449">
        <f t="shared" si="37"/>
        <v>2</v>
      </c>
      <c r="M449" t="str">
        <f t="shared" si="38"/>
        <v>February</v>
      </c>
      <c r="N449">
        <f t="shared" si="39"/>
        <v>4</v>
      </c>
      <c r="O449">
        <f t="shared" si="40"/>
        <v>12</v>
      </c>
      <c r="P449" s="1">
        <f t="shared" ca="1" si="41"/>
        <v>1207</v>
      </c>
    </row>
    <row r="450" spans="1:16" x14ac:dyDescent="0.3">
      <c r="A450">
        <v>2448</v>
      </c>
      <c r="B450" t="s">
        <v>23</v>
      </c>
      <c r="C450" t="s">
        <v>11</v>
      </c>
      <c r="D450" s="1">
        <v>45506</v>
      </c>
      <c r="E450" s="1">
        <v>45508</v>
      </c>
      <c r="F450" t="s">
        <v>19</v>
      </c>
      <c r="G450">
        <v>7</v>
      </c>
      <c r="H450">
        <v>4161.92</v>
      </c>
      <c r="I450">
        <v>29133.439999999999</v>
      </c>
      <c r="J450" t="s">
        <v>20</v>
      </c>
      <c r="K450">
        <f t="shared" si="36"/>
        <v>2024</v>
      </c>
      <c r="L450">
        <f t="shared" si="37"/>
        <v>8</v>
      </c>
      <c r="M450" t="str">
        <f t="shared" si="38"/>
        <v>August</v>
      </c>
      <c r="N450">
        <f t="shared" si="39"/>
        <v>5</v>
      </c>
      <c r="O450">
        <f t="shared" si="40"/>
        <v>2</v>
      </c>
      <c r="P450" s="1">
        <f t="shared" ca="1" si="41"/>
        <v>667</v>
      </c>
    </row>
    <row r="451" spans="1:16" x14ac:dyDescent="0.3">
      <c r="A451">
        <v>2449</v>
      </c>
      <c r="B451" t="s">
        <v>41</v>
      </c>
      <c r="C451" t="s">
        <v>11</v>
      </c>
      <c r="D451" s="1">
        <v>45345</v>
      </c>
      <c r="E451" s="1">
        <v>45357</v>
      </c>
      <c r="F451" t="s">
        <v>16</v>
      </c>
      <c r="G451">
        <v>3</v>
      </c>
      <c r="H451">
        <v>1963.53</v>
      </c>
      <c r="I451">
        <v>5890.59</v>
      </c>
      <c r="J451" t="s">
        <v>13</v>
      </c>
      <c r="K451">
        <f t="shared" ref="K451:K501" si="42">YEAR(D451)</f>
        <v>2024</v>
      </c>
      <c r="L451">
        <f t="shared" ref="L451:L501" si="43">MONTH(D451)</f>
        <v>2</v>
      </c>
      <c r="M451" t="str">
        <f t="shared" ref="M451:M501" si="44">TEXT(D451,"MMMM")</f>
        <v>February</v>
      </c>
      <c r="N451">
        <f t="shared" ref="N451:N501" si="45">WEEKDAY(D451,2)</f>
        <v>5</v>
      </c>
      <c r="O451">
        <f t="shared" ref="O451:O501" si="46">DATEDIF(D451,E451,"D")</f>
        <v>12</v>
      </c>
      <c r="P451" s="1">
        <f t="shared" ref="P451:P501" ca="1" si="47">TODAY()-D451</f>
        <v>828</v>
      </c>
    </row>
    <row r="452" spans="1:16" x14ac:dyDescent="0.3">
      <c r="A452">
        <v>2450</v>
      </c>
      <c r="B452" t="s">
        <v>33</v>
      </c>
      <c r="C452" t="s">
        <v>31</v>
      </c>
      <c r="D452" s="1">
        <v>45475</v>
      </c>
      <c r="E452" s="1">
        <v>45479</v>
      </c>
      <c r="F452" t="s">
        <v>26</v>
      </c>
      <c r="G452">
        <v>4</v>
      </c>
      <c r="H452">
        <v>3342.21</v>
      </c>
      <c r="I452">
        <v>13368.84</v>
      </c>
      <c r="J452" t="s">
        <v>20</v>
      </c>
      <c r="K452">
        <f t="shared" si="42"/>
        <v>2024</v>
      </c>
      <c r="L452">
        <f t="shared" si="43"/>
        <v>7</v>
      </c>
      <c r="M452" t="str">
        <f t="shared" si="44"/>
        <v>July</v>
      </c>
      <c r="N452">
        <f t="shared" si="45"/>
        <v>2</v>
      </c>
      <c r="O452">
        <f t="shared" si="46"/>
        <v>4</v>
      </c>
      <c r="P452" s="1">
        <f t="shared" ca="1" si="47"/>
        <v>698</v>
      </c>
    </row>
    <row r="453" spans="1:16" x14ac:dyDescent="0.3">
      <c r="A453">
        <v>2451</v>
      </c>
      <c r="B453" t="s">
        <v>39</v>
      </c>
      <c r="C453" t="s">
        <v>18</v>
      </c>
      <c r="D453" s="1">
        <v>45543</v>
      </c>
      <c r="E453" s="1">
        <v>45545</v>
      </c>
      <c r="F453" t="s">
        <v>26</v>
      </c>
      <c r="G453">
        <v>5</v>
      </c>
      <c r="H453">
        <v>2100.17</v>
      </c>
      <c r="I453">
        <v>10500.85</v>
      </c>
      <c r="J453" t="s">
        <v>20</v>
      </c>
      <c r="K453">
        <f t="shared" si="42"/>
        <v>2024</v>
      </c>
      <c r="L453">
        <f t="shared" si="43"/>
        <v>9</v>
      </c>
      <c r="M453" t="str">
        <f t="shared" si="44"/>
        <v>September</v>
      </c>
      <c r="N453">
        <f t="shared" si="45"/>
        <v>7</v>
      </c>
      <c r="O453">
        <f t="shared" si="46"/>
        <v>2</v>
      </c>
      <c r="P453" s="1">
        <f t="shared" ca="1" si="47"/>
        <v>630</v>
      </c>
    </row>
    <row r="454" spans="1:16" x14ac:dyDescent="0.3">
      <c r="A454">
        <v>2452</v>
      </c>
      <c r="B454" t="s">
        <v>29</v>
      </c>
      <c r="C454" t="s">
        <v>15</v>
      </c>
      <c r="D454" s="1">
        <v>45638</v>
      </c>
      <c r="E454" s="1">
        <v>45643</v>
      </c>
      <c r="F454" t="s">
        <v>28</v>
      </c>
      <c r="G454">
        <v>1</v>
      </c>
      <c r="H454">
        <v>4950.2</v>
      </c>
      <c r="I454">
        <v>4950.2</v>
      </c>
      <c r="J454" t="s">
        <v>20</v>
      </c>
      <c r="K454">
        <f t="shared" si="42"/>
        <v>2024</v>
      </c>
      <c r="L454">
        <f t="shared" si="43"/>
        <v>12</v>
      </c>
      <c r="M454" t="str">
        <f t="shared" si="44"/>
        <v>December</v>
      </c>
      <c r="N454">
        <f t="shared" si="45"/>
        <v>4</v>
      </c>
      <c r="O454">
        <f t="shared" si="46"/>
        <v>5</v>
      </c>
      <c r="P454" s="1">
        <f t="shared" ca="1" si="47"/>
        <v>535</v>
      </c>
    </row>
    <row r="455" spans="1:16" x14ac:dyDescent="0.3">
      <c r="A455">
        <v>2453</v>
      </c>
      <c r="B455" t="s">
        <v>41</v>
      </c>
      <c r="C455" t="s">
        <v>18</v>
      </c>
      <c r="D455" s="1">
        <v>45554</v>
      </c>
      <c r="E455" s="1">
        <v>45561</v>
      </c>
      <c r="F455" t="s">
        <v>36</v>
      </c>
      <c r="G455">
        <v>6</v>
      </c>
      <c r="H455">
        <v>2125.39</v>
      </c>
      <c r="I455">
        <v>12752.34</v>
      </c>
      <c r="J455" t="s">
        <v>13</v>
      </c>
      <c r="K455">
        <f t="shared" si="42"/>
        <v>2024</v>
      </c>
      <c r="L455">
        <f t="shared" si="43"/>
        <v>9</v>
      </c>
      <c r="M455" t="str">
        <f t="shared" si="44"/>
        <v>September</v>
      </c>
      <c r="N455">
        <f t="shared" si="45"/>
        <v>4</v>
      </c>
      <c r="O455">
        <f t="shared" si="46"/>
        <v>7</v>
      </c>
      <c r="P455" s="1">
        <f t="shared" ca="1" si="47"/>
        <v>619</v>
      </c>
    </row>
    <row r="456" spans="1:16" x14ac:dyDescent="0.3">
      <c r="A456">
        <v>2454</v>
      </c>
      <c r="B456" t="s">
        <v>21</v>
      </c>
      <c r="C456" t="s">
        <v>31</v>
      </c>
      <c r="D456" s="1">
        <v>45010</v>
      </c>
      <c r="E456" s="1">
        <v>45012</v>
      </c>
      <c r="F456" t="s">
        <v>32</v>
      </c>
      <c r="G456">
        <v>5</v>
      </c>
      <c r="H456">
        <v>575.38</v>
      </c>
      <c r="I456">
        <v>2876.9</v>
      </c>
      <c r="J456" t="s">
        <v>20</v>
      </c>
      <c r="K456">
        <f t="shared" si="42"/>
        <v>2023</v>
      </c>
      <c r="L456">
        <f t="shared" si="43"/>
        <v>3</v>
      </c>
      <c r="M456" t="str">
        <f t="shared" si="44"/>
        <v>March</v>
      </c>
      <c r="N456">
        <f t="shared" si="45"/>
        <v>6</v>
      </c>
      <c r="O456">
        <f t="shared" si="46"/>
        <v>2</v>
      </c>
      <c r="P456" s="1">
        <f t="shared" ca="1" si="47"/>
        <v>1163</v>
      </c>
    </row>
    <row r="457" spans="1:16" x14ac:dyDescent="0.3">
      <c r="A457">
        <v>2455</v>
      </c>
      <c r="B457" t="s">
        <v>35</v>
      </c>
      <c r="C457" t="s">
        <v>31</v>
      </c>
      <c r="D457" s="1">
        <v>45038</v>
      </c>
      <c r="E457" s="1">
        <v>45042</v>
      </c>
      <c r="F457" t="s">
        <v>26</v>
      </c>
      <c r="G457">
        <v>4</v>
      </c>
      <c r="H457">
        <v>3387.26</v>
      </c>
      <c r="I457">
        <v>13549.04</v>
      </c>
      <c r="J457" t="s">
        <v>20</v>
      </c>
      <c r="K457">
        <f t="shared" si="42"/>
        <v>2023</v>
      </c>
      <c r="L457">
        <f t="shared" si="43"/>
        <v>4</v>
      </c>
      <c r="M457" t="str">
        <f t="shared" si="44"/>
        <v>April</v>
      </c>
      <c r="N457">
        <f t="shared" si="45"/>
        <v>6</v>
      </c>
      <c r="O457">
        <f t="shared" si="46"/>
        <v>4</v>
      </c>
      <c r="P457" s="1">
        <f t="shared" ca="1" si="47"/>
        <v>1135</v>
      </c>
    </row>
    <row r="458" spans="1:16" x14ac:dyDescent="0.3">
      <c r="A458">
        <v>2456</v>
      </c>
      <c r="B458" t="s">
        <v>30</v>
      </c>
      <c r="C458" t="s">
        <v>15</v>
      </c>
      <c r="D458" s="1">
        <v>44676</v>
      </c>
      <c r="E458" s="1">
        <v>44690</v>
      </c>
      <c r="F458" t="s">
        <v>19</v>
      </c>
      <c r="G458">
        <v>7</v>
      </c>
      <c r="H458">
        <v>1967.58</v>
      </c>
      <c r="I458">
        <v>13773.06</v>
      </c>
      <c r="J458" t="s">
        <v>13</v>
      </c>
      <c r="K458">
        <f t="shared" si="42"/>
        <v>2022</v>
      </c>
      <c r="L458">
        <f t="shared" si="43"/>
        <v>4</v>
      </c>
      <c r="M458" t="str">
        <f t="shared" si="44"/>
        <v>April</v>
      </c>
      <c r="N458">
        <f t="shared" si="45"/>
        <v>1</v>
      </c>
      <c r="O458">
        <f t="shared" si="46"/>
        <v>14</v>
      </c>
      <c r="P458" s="1">
        <f t="shared" ca="1" si="47"/>
        <v>1497</v>
      </c>
    </row>
    <row r="459" spans="1:16" x14ac:dyDescent="0.3">
      <c r="A459">
        <v>2457</v>
      </c>
      <c r="B459" t="s">
        <v>45</v>
      </c>
      <c r="C459" t="s">
        <v>22</v>
      </c>
      <c r="D459" s="1">
        <v>45213</v>
      </c>
      <c r="E459" s="1">
        <v>45227</v>
      </c>
      <c r="F459" t="s">
        <v>28</v>
      </c>
      <c r="G459">
        <v>6</v>
      </c>
      <c r="H459">
        <v>4595.71</v>
      </c>
      <c r="I459">
        <v>27574.26</v>
      </c>
      <c r="J459" t="s">
        <v>13</v>
      </c>
      <c r="K459">
        <f t="shared" si="42"/>
        <v>2023</v>
      </c>
      <c r="L459">
        <f t="shared" si="43"/>
        <v>10</v>
      </c>
      <c r="M459" t="str">
        <f t="shared" si="44"/>
        <v>October</v>
      </c>
      <c r="N459">
        <f t="shared" si="45"/>
        <v>6</v>
      </c>
      <c r="O459">
        <f t="shared" si="46"/>
        <v>14</v>
      </c>
      <c r="P459" s="1">
        <f t="shared" ca="1" si="47"/>
        <v>960</v>
      </c>
    </row>
    <row r="460" spans="1:16" x14ac:dyDescent="0.3">
      <c r="A460">
        <v>2458</v>
      </c>
      <c r="B460" t="s">
        <v>48</v>
      </c>
      <c r="C460" t="s">
        <v>15</v>
      </c>
      <c r="D460" s="1">
        <v>45282</v>
      </c>
      <c r="E460" s="1">
        <v>45293</v>
      </c>
      <c r="F460" t="s">
        <v>36</v>
      </c>
      <c r="G460">
        <v>3</v>
      </c>
      <c r="H460">
        <v>2946.61</v>
      </c>
      <c r="I460">
        <v>8839.83</v>
      </c>
      <c r="J460" t="s">
        <v>13</v>
      </c>
      <c r="K460">
        <f t="shared" si="42"/>
        <v>2023</v>
      </c>
      <c r="L460">
        <f t="shared" si="43"/>
        <v>12</v>
      </c>
      <c r="M460" t="str">
        <f t="shared" si="44"/>
        <v>December</v>
      </c>
      <c r="N460">
        <f t="shared" si="45"/>
        <v>5</v>
      </c>
      <c r="O460">
        <f t="shared" si="46"/>
        <v>11</v>
      </c>
      <c r="P460" s="1">
        <f t="shared" ca="1" si="47"/>
        <v>891</v>
      </c>
    </row>
    <row r="461" spans="1:16" x14ac:dyDescent="0.3">
      <c r="A461">
        <v>2459</v>
      </c>
      <c r="B461" t="s">
        <v>41</v>
      </c>
      <c r="C461" t="s">
        <v>18</v>
      </c>
      <c r="D461" s="1">
        <v>45194</v>
      </c>
      <c r="E461" s="1">
        <v>45198</v>
      </c>
      <c r="F461" t="s">
        <v>16</v>
      </c>
      <c r="G461">
        <v>1</v>
      </c>
      <c r="H461">
        <v>724.21</v>
      </c>
      <c r="I461">
        <v>724.21</v>
      </c>
      <c r="J461" t="s">
        <v>13</v>
      </c>
      <c r="K461">
        <f t="shared" si="42"/>
        <v>2023</v>
      </c>
      <c r="L461">
        <f t="shared" si="43"/>
        <v>9</v>
      </c>
      <c r="M461" t="str">
        <f t="shared" si="44"/>
        <v>September</v>
      </c>
      <c r="N461">
        <f t="shared" si="45"/>
        <v>1</v>
      </c>
      <c r="O461">
        <f t="shared" si="46"/>
        <v>4</v>
      </c>
      <c r="P461" s="1">
        <f t="shared" ca="1" si="47"/>
        <v>979</v>
      </c>
    </row>
    <row r="462" spans="1:16" x14ac:dyDescent="0.3">
      <c r="A462">
        <v>2460</v>
      </c>
      <c r="B462" t="s">
        <v>42</v>
      </c>
      <c r="C462" t="s">
        <v>22</v>
      </c>
      <c r="D462" s="1">
        <v>44602</v>
      </c>
      <c r="E462" s="1">
        <v>44612</v>
      </c>
      <c r="F462" t="s">
        <v>16</v>
      </c>
      <c r="G462">
        <v>1</v>
      </c>
      <c r="H462">
        <v>1859.15</v>
      </c>
      <c r="I462">
        <v>1859.15</v>
      </c>
      <c r="J462" t="s">
        <v>13</v>
      </c>
      <c r="K462">
        <f t="shared" si="42"/>
        <v>2022</v>
      </c>
      <c r="L462">
        <f t="shared" si="43"/>
        <v>2</v>
      </c>
      <c r="M462" t="str">
        <f t="shared" si="44"/>
        <v>February</v>
      </c>
      <c r="N462">
        <f t="shared" si="45"/>
        <v>4</v>
      </c>
      <c r="O462">
        <f t="shared" si="46"/>
        <v>10</v>
      </c>
      <c r="P462" s="1">
        <f t="shared" ca="1" si="47"/>
        <v>1571</v>
      </c>
    </row>
    <row r="463" spans="1:16" x14ac:dyDescent="0.3">
      <c r="A463">
        <v>2461</v>
      </c>
      <c r="B463" t="s">
        <v>37</v>
      </c>
      <c r="C463" t="s">
        <v>31</v>
      </c>
      <c r="D463" s="1">
        <v>44925</v>
      </c>
      <c r="E463" s="1">
        <v>44939</v>
      </c>
      <c r="F463" t="s">
        <v>32</v>
      </c>
      <c r="G463">
        <v>6</v>
      </c>
      <c r="H463">
        <v>579.91</v>
      </c>
      <c r="I463">
        <v>3479.46</v>
      </c>
      <c r="J463" t="s">
        <v>13</v>
      </c>
      <c r="K463">
        <f t="shared" si="42"/>
        <v>2022</v>
      </c>
      <c r="L463">
        <f t="shared" si="43"/>
        <v>12</v>
      </c>
      <c r="M463" t="str">
        <f t="shared" si="44"/>
        <v>December</v>
      </c>
      <c r="N463">
        <f t="shared" si="45"/>
        <v>5</v>
      </c>
      <c r="O463">
        <f t="shared" si="46"/>
        <v>14</v>
      </c>
      <c r="P463" s="1">
        <f t="shared" ca="1" si="47"/>
        <v>1248</v>
      </c>
    </row>
    <row r="464" spans="1:16" x14ac:dyDescent="0.3">
      <c r="A464">
        <v>2462</v>
      </c>
      <c r="B464" t="s">
        <v>27</v>
      </c>
      <c r="C464" t="s">
        <v>15</v>
      </c>
      <c r="D464" s="1">
        <v>44852</v>
      </c>
      <c r="E464" s="1">
        <v>44866</v>
      </c>
      <c r="F464" t="s">
        <v>26</v>
      </c>
      <c r="G464">
        <v>6</v>
      </c>
      <c r="H464">
        <v>4814.63</v>
      </c>
      <c r="I464">
        <v>28887.78</v>
      </c>
      <c r="J464" t="s">
        <v>20</v>
      </c>
      <c r="K464">
        <f t="shared" si="42"/>
        <v>2022</v>
      </c>
      <c r="L464">
        <f t="shared" si="43"/>
        <v>10</v>
      </c>
      <c r="M464" t="str">
        <f t="shared" si="44"/>
        <v>October</v>
      </c>
      <c r="N464">
        <f t="shared" si="45"/>
        <v>2</v>
      </c>
      <c r="O464">
        <f t="shared" si="46"/>
        <v>14</v>
      </c>
      <c r="P464" s="1">
        <f t="shared" ca="1" si="47"/>
        <v>1321</v>
      </c>
    </row>
    <row r="465" spans="1:16" x14ac:dyDescent="0.3">
      <c r="A465">
        <v>2463</v>
      </c>
      <c r="B465" t="s">
        <v>48</v>
      </c>
      <c r="C465" t="s">
        <v>15</v>
      </c>
      <c r="D465" s="1">
        <v>45372</v>
      </c>
      <c r="E465" s="1">
        <v>45383</v>
      </c>
      <c r="F465" t="s">
        <v>26</v>
      </c>
      <c r="G465">
        <v>6</v>
      </c>
      <c r="H465">
        <v>1718.3</v>
      </c>
      <c r="I465">
        <v>10309.799999999999</v>
      </c>
      <c r="J465" t="s">
        <v>13</v>
      </c>
      <c r="K465">
        <f t="shared" si="42"/>
        <v>2024</v>
      </c>
      <c r="L465">
        <f t="shared" si="43"/>
        <v>3</v>
      </c>
      <c r="M465" t="str">
        <f t="shared" si="44"/>
        <v>March</v>
      </c>
      <c r="N465">
        <f t="shared" si="45"/>
        <v>4</v>
      </c>
      <c r="O465">
        <f t="shared" si="46"/>
        <v>11</v>
      </c>
      <c r="P465" s="1">
        <f t="shared" ca="1" si="47"/>
        <v>801</v>
      </c>
    </row>
    <row r="466" spans="1:16" x14ac:dyDescent="0.3">
      <c r="A466">
        <v>2464</v>
      </c>
      <c r="B466" t="s">
        <v>45</v>
      </c>
      <c r="C466" t="s">
        <v>15</v>
      </c>
      <c r="D466" s="1">
        <v>45456</v>
      </c>
      <c r="E466" s="1">
        <v>45470</v>
      </c>
      <c r="F466" t="s">
        <v>28</v>
      </c>
      <c r="G466">
        <v>8</v>
      </c>
      <c r="H466">
        <v>3351.15</v>
      </c>
      <c r="I466">
        <v>26809.200000000001</v>
      </c>
      <c r="J466" t="s">
        <v>13</v>
      </c>
      <c r="K466">
        <f t="shared" si="42"/>
        <v>2024</v>
      </c>
      <c r="L466">
        <f t="shared" si="43"/>
        <v>6</v>
      </c>
      <c r="M466" t="str">
        <f t="shared" si="44"/>
        <v>June</v>
      </c>
      <c r="N466">
        <f t="shared" si="45"/>
        <v>4</v>
      </c>
      <c r="O466">
        <f t="shared" si="46"/>
        <v>14</v>
      </c>
      <c r="P466" s="1">
        <f t="shared" ca="1" si="47"/>
        <v>717</v>
      </c>
    </row>
    <row r="467" spans="1:16" x14ac:dyDescent="0.3">
      <c r="A467">
        <v>2465</v>
      </c>
      <c r="B467" t="s">
        <v>48</v>
      </c>
      <c r="C467" t="s">
        <v>18</v>
      </c>
      <c r="D467" s="1">
        <v>45292</v>
      </c>
      <c r="E467" s="1">
        <v>45297</v>
      </c>
      <c r="F467" t="s">
        <v>28</v>
      </c>
      <c r="G467">
        <v>3</v>
      </c>
      <c r="H467">
        <v>2078.41</v>
      </c>
      <c r="I467">
        <v>6235.23</v>
      </c>
      <c r="J467" t="s">
        <v>20</v>
      </c>
      <c r="K467">
        <f t="shared" si="42"/>
        <v>2024</v>
      </c>
      <c r="L467">
        <f t="shared" si="43"/>
        <v>1</v>
      </c>
      <c r="M467" t="str">
        <f t="shared" si="44"/>
        <v>January</v>
      </c>
      <c r="N467">
        <f t="shared" si="45"/>
        <v>1</v>
      </c>
      <c r="O467">
        <f t="shared" si="46"/>
        <v>5</v>
      </c>
      <c r="P467" s="1">
        <f t="shared" ca="1" si="47"/>
        <v>881</v>
      </c>
    </row>
    <row r="468" spans="1:16" x14ac:dyDescent="0.3">
      <c r="A468">
        <v>2466</v>
      </c>
      <c r="B468" t="s">
        <v>37</v>
      </c>
      <c r="C468" t="s">
        <v>22</v>
      </c>
      <c r="D468" s="1">
        <v>44565</v>
      </c>
      <c r="E468" s="1">
        <v>44578</v>
      </c>
      <c r="F468" t="s">
        <v>36</v>
      </c>
      <c r="G468">
        <v>7</v>
      </c>
      <c r="H468">
        <v>4298.5600000000004</v>
      </c>
      <c r="I468">
        <v>30089.919999999998</v>
      </c>
      <c r="J468" t="s">
        <v>13</v>
      </c>
      <c r="K468">
        <f t="shared" si="42"/>
        <v>2022</v>
      </c>
      <c r="L468">
        <f t="shared" si="43"/>
        <v>1</v>
      </c>
      <c r="M468" t="str">
        <f t="shared" si="44"/>
        <v>January</v>
      </c>
      <c r="N468">
        <f t="shared" si="45"/>
        <v>2</v>
      </c>
      <c r="O468">
        <f t="shared" si="46"/>
        <v>13</v>
      </c>
      <c r="P468" s="1">
        <f t="shared" ca="1" si="47"/>
        <v>1608</v>
      </c>
    </row>
    <row r="469" spans="1:16" x14ac:dyDescent="0.3">
      <c r="A469">
        <v>2467</v>
      </c>
      <c r="B469" t="s">
        <v>45</v>
      </c>
      <c r="C469" t="s">
        <v>18</v>
      </c>
      <c r="D469" s="1">
        <v>45213</v>
      </c>
      <c r="E469" s="1">
        <v>45227</v>
      </c>
      <c r="F469" t="s">
        <v>36</v>
      </c>
      <c r="G469">
        <v>4</v>
      </c>
      <c r="H469">
        <v>3306.34</v>
      </c>
      <c r="I469">
        <v>13225.36</v>
      </c>
      <c r="J469" t="s">
        <v>13</v>
      </c>
      <c r="K469">
        <f t="shared" si="42"/>
        <v>2023</v>
      </c>
      <c r="L469">
        <f t="shared" si="43"/>
        <v>10</v>
      </c>
      <c r="M469" t="str">
        <f t="shared" si="44"/>
        <v>October</v>
      </c>
      <c r="N469">
        <f t="shared" si="45"/>
        <v>6</v>
      </c>
      <c r="O469">
        <f t="shared" si="46"/>
        <v>14</v>
      </c>
      <c r="P469" s="1">
        <f t="shared" ca="1" si="47"/>
        <v>960</v>
      </c>
    </row>
    <row r="470" spans="1:16" x14ac:dyDescent="0.3">
      <c r="A470">
        <v>2468</v>
      </c>
      <c r="B470" t="s">
        <v>41</v>
      </c>
      <c r="C470" t="s">
        <v>22</v>
      </c>
      <c r="D470" s="1">
        <v>45240</v>
      </c>
      <c r="E470" s="1">
        <v>45253</v>
      </c>
      <c r="F470" t="s">
        <v>26</v>
      </c>
      <c r="G470">
        <v>4</v>
      </c>
      <c r="H470">
        <v>1930.01</v>
      </c>
      <c r="I470">
        <v>7720.04</v>
      </c>
      <c r="J470" t="s">
        <v>20</v>
      </c>
      <c r="K470">
        <f t="shared" si="42"/>
        <v>2023</v>
      </c>
      <c r="L470">
        <f t="shared" si="43"/>
        <v>11</v>
      </c>
      <c r="M470" t="str">
        <f t="shared" si="44"/>
        <v>November</v>
      </c>
      <c r="N470">
        <f t="shared" si="45"/>
        <v>5</v>
      </c>
      <c r="O470">
        <f t="shared" si="46"/>
        <v>13</v>
      </c>
      <c r="P470" s="1">
        <f t="shared" ca="1" si="47"/>
        <v>933</v>
      </c>
    </row>
    <row r="471" spans="1:16" x14ac:dyDescent="0.3">
      <c r="A471">
        <v>2469</v>
      </c>
      <c r="B471" t="s">
        <v>45</v>
      </c>
      <c r="C471" t="s">
        <v>15</v>
      </c>
      <c r="D471" s="1">
        <v>44743</v>
      </c>
      <c r="E471" s="1">
        <v>44758</v>
      </c>
      <c r="F471" t="s">
        <v>28</v>
      </c>
      <c r="G471">
        <v>6</v>
      </c>
      <c r="H471">
        <v>2399.16</v>
      </c>
      <c r="I471">
        <v>14394.96</v>
      </c>
      <c r="J471" t="s">
        <v>20</v>
      </c>
      <c r="K471">
        <f t="shared" si="42"/>
        <v>2022</v>
      </c>
      <c r="L471">
        <f t="shared" si="43"/>
        <v>7</v>
      </c>
      <c r="M471" t="str">
        <f t="shared" si="44"/>
        <v>July</v>
      </c>
      <c r="N471">
        <f t="shared" si="45"/>
        <v>5</v>
      </c>
      <c r="O471">
        <f t="shared" si="46"/>
        <v>15</v>
      </c>
      <c r="P471" s="1">
        <f t="shared" ca="1" si="47"/>
        <v>1430</v>
      </c>
    </row>
    <row r="472" spans="1:16" x14ac:dyDescent="0.3">
      <c r="A472">
        <v>2470</v>
      </c>
      <c r="B472" t="s">
        <v>29</v>
      </c>
      <c r="C472" t="s">
        <v>22</v>
      </c>
      <c r="D472" s="1">
        <v>44700</v>
      </c>
      <c r="E472" s="1">
        <v>44707</v>
      </c>
      <c r="F472" t="s">
        <v>12</v>
      </c>
      <c r="G472">
        <v>2</v>
      </c>
      <c r="H472">
        <v>3685.94</v>
      </c>
      <c r="I472">
        <v>7371.88</v>
      </c>
      <c r="J472" t="s">
        <v>13</v>
      </c>
      <c r="K472">
        <f t="shared" si="42"/>
        <v>2022</v>
      </c>
      <c r="L472">
        <f t="shared" si="43"/>
        <v>5</v>
      </c>
      <c r="M472" t="str">
        <f t="shared" si="44"/>
        <v>May</v>
      </c>
      <c r="N472">
        <f t="shared" si="45"/>
        <v>4</v>
      </c>
      <c r="O472">
        <f t="shared" si="46"/>
        <v>7</v>
      </c>
      <c r="P472" s="1">
        <f t="shared" ca="1" si="47"/>
        <v>1473</v>
      </c>
    </row>
    <row r="473" spans="1:16" x14ac:dyDescent="0.3">
      <c r="A473">
        <v>2471</v>
      </c>
      <c r="B473" t="s">
        <v>34</v>
      </c>
      <c r="C473" t="s">
        <v>25</v>
      </c>
      <c r="D473" s="1">
        <v>45421</v>
      </c>
      <c r="E473" s="1">
        <v>45425</v>
      </c>
      <c r="F473" t="s">
        <v>16</v>
      </c>
      <c r="G473">
        <v>8</v>
      </c>
      <c r="H473">
        <v>4444.32</v>
      </c>
      <c r="I473">
        <v>35554.559999999998</v>
      </c>
      <c r="J473" t="s">
        <v>20</v>
      </c>
      <c r="K473">
        <f t="shared" si="42"/>
        <v>2024</v>
      </c>
      <c r="L473">
        <f t="shared" si="43"/>
        <v>5</v>
      </c>
      <c r="M473" t="str">
        <f t="shared" si="44"/>
        <v>May</v>
      </c>
      <c r="N473">
        <f t="shared" si="45"/>
        <v>4</v>
      </c>
      <c r="O473">
        <f t="shared" si="46"/>
        <v>4</v>
      </c>
      <c r="P473" s="1">
        <f t="shared" ca="1" si="47"/>
        <v>752</v>
      </c>
    </row>
    <row r="474" spans="1:16" x14ac:dyDescent="0.3">
      <c r="A474">
        <v>2472</v>
      </c>
      <c r="B474" t="s">
        <v>30</v>
      </c>
      <c r="C474" t="s">
        <v>25</v>
      </c>
      <c r="D474" s="1">
        <v>44769</v>
      </c>
      <c r="E474" s="1">
        <v>44784</v>
      </c>
      <c r="F474" t="s">
        <v>16</v>
      </c>
      <c r="G474">
        <v>4</v>
      </c>
      <c r="H474">
        <v>1064.49</v>
      </c>
      <c r="I474">
        <v>4257.96</v>
      </c>
      <c r="J474" t="s">
        <v>13</v>
      </c>
      <c r="K474">
        <f t="shared" si="42"/>
        <v>2022</v>
      </c>
      <c r="L474">
        <f t="shared" si="43"/>
        <v>7</v>
      </c>
      <c r="M474" t="str">
        <f t="shared" si="44"/>
        <v>July</v>
      </c>
      <c r="N474">
        <f t="shared" si="45"/>
        <v>3</v>
      </c>
      <c r="O474">
        <f t="shared" si="46"/>
        <v>15</v>
      </c>
      <c r="P474" s="1">
        <f t="shared" ca="1" si="47"/>
        <v>1404</v>
      </c>
    </row>
    <row r="475" spans="1:16" x14ac:dyDescent="0.3">
      <c r="A475">
        <v>2473</v>
      </c>
      <c r="B475" t="s">
        <v>40</v>
      </c>
      <c r="C475" t="s">
        <v>31</v>
      </c>
      <c r="D475" s="1">
        <v>44603</v>
      </c>
      <c r="E475" s="1">
        <v>44610</v>
      </c>
      <c r="F475" t="s">
        <v>12</v>
      </c>
      <c r="G475">
        <v>2</v>
      </c>
      <c r="H475">
        <v>648.74</v>
      </c>
      <c r="I475">
        <v>1297.48</v>
      </c>
      <c r="J475" t="s">
        <v>13</v>
      </c>
      <c r="K475">
        <f t="shared" si="42"/>
        <v>2022</v>
      </c>
      <c r="L475">
        <f t="shared" si="43"/>
        <v>2</v>
      </c>
      <c r="M475" t="str">
        <f t="shared" si="44"/>
        <v>February</v>
      </c>
      <c r="N475">
        <f t="shared" si="45"/>
        <v>5</v>
      </c>
      <c r="O475">
        <f t="shared" si="46"/>
        <v>7</v>
      </c>
      <c r="P475" s="1">
        <f t="shared" ca="1" si="47"/>
        <v>1570</v>
      </c>
    </row>
    <row r="476" spans="1:16" x14ac:dyDescent="0.3">
      <c r="A476">
        <v>2474</v>
      </c>
      <c r="B476" t="s">
        <v>34</v>
      </c>
      <c r="C476" t="s">
        <v>22</v>
      </c>
      <c r="D476" s="1">
        <v>44715</v>
      </c>
      <c r="E476" s="1">
        <v>44725</v>
      </c>
      <c r="F476" t="s">
        <v>26</v>
      </c>
      <c r="G476">
        <v>6</v>
      </c>
      <c r="H476">
        <v>3091.94</v>
      </c>
      <c r="I476">
        <v>18551.64</v>
      </c>
      <c r="J476" t="s">
        <v>20</v>
      </c>
      <c r="K476">
        <f t="shared" si="42"/>
        <v>2022</v>
      </c>
      <c r="L476">
        <f t="shared" si="43"/>
        <v>6</v>
      </c>
      <c r="M476" t="str">
        <f t="shared" si="44"/>
        <v>June</v>
      </c>
      <c r="N476">
        <f t="shared" si="45"/>
        <v>5</v>
      </c>
      <c r="O476">
        <f t="shared" si="46"/>
        <v>10</v>
      </c>
      <c r="P476" s="1">
        <f t="shared" ca="1" si="47"/>
        <v>1458</v>
      </c>
    </row>
    <row r="477" spans="1:16" x14ac:dyDescent="0.3">
      <c r="A477">
        <v>2475</v>
      </c>
      <c r="B477" t="s">
        <v>48</v>
      </c>
      <c r="C477" t="s">
        <v>11</v>
      </c>
      <c r="D477" s="1">
        <v>45445</v>
      </c>
      <c r="E477" s="1">
        <v>45457</v>
      </c>
      <c r="F477" t="s">
        <v>19</v>
      </c>
      <c r="G477">
        <v>7</v>
      </c>
      <c r="H477">
        <v>1038.3900000000001</v>
      </c>
      <c r="I477">
        <v>7268.73</v>
      </c>
      <c r="J477" t="s">
        <v>13</v>
      </c>
      <c r="K477">
        <f t="shared" si="42"/>
        <v>2024</v>
      </c>
      <c r="L477">
        <f t="shared" si="43"/>
        <v>6</v>
      </c>
      <c r="M477" t="str">
        <f t="shared" si="44"/>
        <v>June</v>
      </c>
      <c r="N477">
        <f t="shared" si="45"/>
        <v>7</v>
      </c>
      <c r="O477">
        <f t="shared" si="46"/>
        <v>12</v>
      </c>
      <c r="P477" s="1">
        <f t="shared" ca="1" si="47"/>
        <v>728</v>
      </c>
    </row>
    <row r="478" spans="1:16" x14ac:dyDescent="0.3">
      <c r="A478">
        <v>2476</v>
      </c>
      <c r="B478" t="s">
        <v>47</v>
      </c>
      <c r="C478" t="s">
        <v>22</v>
      </c>
      <c r="D478" s="1">
        <v>44951</v>
      </c>
      <c r="E478" s="1">
        <v>44959</v>
      </c>
      <c r="F478" t="s">
        <v>28</v>
      </c>
      <c r="G478">
        <v>5</v>
      </c>
      <c r="H478">
        <v>3404.81</v>
      </c>
      <c r="I478">
        <v>17024.05</v>
      </c>
      <c r="J478" t="s">
        <v>20</v>
      </c>
      <c r="K478">
        <f t="shared" si="42"/>
        <v>2023</v>
      </c>
      <c r="L478">
        <f t="shared" si="43"/>
        <v>1</v>
      </c>
      <c r="M478" t="str">
        <f t="shared" si="44"/>
        <v>January</v>
      </c>
      <c r="N478">
        <f t="shared" si="45"/>
        <v>3</v>
      </c>
      <c r="O478">
        <f t="shared" si="46"/>
        <v>8</v>
      </c>
      <c r="P478" s="1">
        <f t="shared" ca="1" si="47"/>
        <v>1222</v>
      </c>
    </row>
    <row r="479" spans="1:16" x14ac:dyDescent="0.3">
      <c r="A479">
        <v>2477</v>
      </c>
      <c r="B479" t="s">
        <v>17</v>
      </c>
      <c r="C479" t="s">
        <v>11</v>
      </c>
      <c r="D479" s="1">
        <v>44663</v>
      </c>
      <c r="E479" s="1">
        <v>44671</v>
      </c>
      <c r="F479" t="s">
        <v>36</v>
      </c>
      <c r="G479">
        <v>8</v>
      </c>
      <c r="H479">
        <v>1021.87</v>
      </c>
      <c r="I479">
        <v>8174.96</v>
      </c>
      <c r="J479" t="s">
        <v>20</v>
      </c>
      <c r="K479">
        <f t="shared" si="42"/>
        <v>2022</v>
      </c>
      <c r="L479">
        <f t="shared" si="43"/>
        <v>4</v>
      </c>
      <c r="M479" t="str">
        <f t="shared" si="44"/>
        <v>April</v>
      </c>
      <c r="N479">
        <f t="shared" si="45"/>
        <v>2</v>
      </c>
      <c r="O479">
        <f t="shared" si="46"/>
        <v>8</v>
      </c>
      <c r="P479" s="1">
        <f t="shared" ca="1" si="47"/>
        <v>1510</v>
      </c>
    </row>
    <row r="480" spans="1:16" x14ac:dyDescent="0.3">
      <c r="A480">
        <v>2478</v>
      </c>
      <c r="B480" t="s">
        <v>21</v>
      </c>
      <c r="C480" t="s">
        <v>25</v>
      </c>
      <c r="D480" s="1">
        <v>44741</v>
      </c>
      <c r="E480" s="1">
        <v>44747</v>
      </c>
      <c r="F480" t="s">
        <v>32</v>
      </c>
      <c r="G480">
        <v>8</v>
      </c>
      <c r="H480">
        <v>1238.47</v>
      </c>
      <c r="I480">
        <v>9907.76</v>
      </c>
      <c r="J480" t="s">
        <v>13</v>
      </c>
      <c r="K480">
        <f t="shared" si="42"/>
        <v>2022</v>
      </c>
      <c r="L480">
        <f t="shared" si="43"/>
        <v>6</v>
      </c>
      <c r="M480" t="str">
        <f t="shared" si="44"/>
        <v>June</v>
      </c>
      <c r="N480">
        <f t="shared" si="45"/>
        <v>3</v>
      </c>
      <c r="O480">
        <f t="shared" si="46"/>
        <v>6</v>
      </c>
      <c r="P480" s="1">
        <f t="shared" ca="1" si="47"/>
        <v>1432</v>
      </c>
    </row>
    <row r="481" spans="1:16" x14ac:dyDescent="0.3">
      <c r="A481">
        <v>2479</v>
      </c>
      <c r="B481" t="s">
        <v>29</v>
      </c>
      <c r="C481" t="s">
        <v>22</v>
      </c>
      <c r="D481" s="1">
        <v>45159</v>
      </c>
      <c r="E481" s="1">
        <v>45162</v>
      </c>
      <c r="F481" t="s">
        <v>16</v>
      </c>
      <c r="G481">
        <v>2</v>
      </c>
      <c r="H481">
        <v>1749.26</v>
      </c>
      <c r="I481">
        <v>3498.52</v>
      </c>
      <c r="J481" t="s">
        <v>20</v>
      </c>
      <c r="K481">
        <f t="shared" si="42"/>
        <v>2023</v>
      </c>
      <c r="L481">
        <f t="shared" si="43"/>
        <v>8</v>
      </c>
      <c r="M481" t="str">
        <f t="shared" si="44"/>
        <v>August</v>
      </c>
      <c r="N481">
        <f t="shared" si="45"/>
        <v>1</v>
      </c>
      <c r="O481">
        <f t="shared" si="46"/>
        <v>3</v>
      </c>
      <c r="P481" s="1">
        <f t="shared" ca="1" si="47"/>
        <v>1014</v>
      </c>
    </row>
    <row r="482" spans="1:16" x14ac:dyDescent="0.3">
      <c r="A482">
        <v>2480</v>
      </c>
      <c r="B482" t="s">
        <v>41</v>
      </c>
      <c r="C482" t="s">
        <v>25</v>
      </c>
      <c r="D482" s="1">
        <v>45104</v>
      </c>
      <c r="E482" s="1">
        <v>45107</v>
      </c>
      <c r="F482" t="s">
        <v>28</v>
      </c>
      <c r="G482">
        <v>7</v>
      </c>
      <c r="H482">
        <v>1168.94</v>
      </c>
      <c r="I482">
        <v>8182.58</v>
      </c>
      <c r="J482" t="s">
        <v>20</v>
      </c>
      <c r="K482">
        <f t="shared" si="42"/>
        <v>2023</v>
      </c>
      <c r="L482">
        <f t="shared" si="43"/>
        <v>6</v>
      </c>
      <c r="M482" t="str">
        <f t="shared" si="44"/>
        <v>June</v>
      </c>
      <c r="N482">
        <f t="shared" si="45"/>
        <v>2</v>
      </c>
      <c r="O482">
        <f t="shared" si="46"/>
        <v>3</v>
      </c>
      <c r="P482" s="1">
        <f t="shared" ca="1" si="47"/>
        <v>1069</v>
      </c>
    </row>
    <row r="483" spans="1:16" x14ac:dyDescent="0.3">
      <c r="A483">
        <v>2481</v>
      </c>
      <c r="B483" t="s">
        <v>46</v>
      </c>
      <c r="C483" t="s">
        <v>22</v>
      </c>
      <c r="D483" s="1">
        <v>45474</v>
      </c>
      <c r="E483" s="1">
        <v>45476</v>
      </c>
      <c r="F483" t="s">
        <v>12</v>
      </c>
      <c r="G483">
        <v>8</v>
      </c>
      <c r="H483">
        <v>2485.77</v>
      </c>
      <c r="I483">
        <v>19886.16</v>
      </c>
      <c r="J483" t="s">
        <v>13</v>
      </c>
      <c r="K483">
        <f t="shared" si="42"/>
        <v>2024</v>
      </c>
      <c r="L483">
        <f t="shared" si="43"/>
        <v>7</v>
      </c>
      <c r="M483" t="str">
        <f t="shared" si="44"/>
        <v>July</v>
      </c>
      <c r="N483">
        <f t="shared" si="45"/>
        <v>1</v>
      </c>
      <c r="O483">
        <f t="shared" si="46"/>
        <v>2</v>
      </c>
      <c r="P483" s="1">
        <f t="shared" ca="1" si="47"/>
        <v>699</v>
      </c>
    </row>
    <row r="484" spans="1:16" x14ac:dyDescent="0.3">
      <c r="A484">
        <v>2482</v>
      </c>
      <c r="B484" t="s">
        <v>33</v>
      </c>
      <c r="C484" t="s">
        <v>18</v>
      </c>
      <c r="D484" s="1">
        <v>44688</v>
      </c>
      <c r="E484" s="1">
        <v>44692</v>
      </c>
      <c r="F484" t="s">
        <v>32</v>
      </c>
      <c r="G484">
        <v>2</v>
      </c>
      <c r="H484">
        <v>702.82</v>
      </c>
      <c r="I484">
        <v>1405.64</v>
      </c>
      <c r="J484" t="s">
        <v>20</v>
      </c>
      <c r="K484">
        <f t="shared" si="42"/>
        <v>2022</v>
      </c>
      <c r="L484">
        <f t="shared" si="43"/>
        <v>5</v>
      </c>
      <c r="M484" t="str">
        <f t="shared" si="44"/>
        <v>May</v>
      </c>
      <c r="N484">
        <f t="shared" si="45"/>
        <v>6</v>
      </c>
      <c r="O484">
        <f t="shared" si="46"/>
        <v>4</v>
      </c>
      <c r="P484" s="1">
        <f t="shared" ca="1" si="47"/>
        <v>1485</v>
      </c>
    </row>
    <row r="485" spans="1:16" x14ac:dyDescent="0.3">
      <c r="A485">
        <v>2483</v>
      </c>
      <c r="B485" t="s">
        <v>30</v>
      </c>
      <c r="C485" t="s">
        <v>25</v>
      </c>
      <c r="D485" s="1">
        <v>45027</v>
      </c>
      <c r="E485" s="1">
        <v>45037</v>
      </c>
      <c r="F485" t="s">
        <v>26</v>
      </c>
      <c r="G485">
        <v>7</v>
      </c>
      <c r="H485">
        <v>4146.5</v>
      </c>
      <c r="I485">
        <v>29025.5</v>
      </c>
      <c r="J485" t="s">
        <v>20</v>
      </c>
      <c r="K485">
        <f t="shared" si="42"/>
        <v>2023</v>
      </c>
      <c r="L485">
        <f t="shared" si="43"/>
        <v>4</v>
      </c>
      <c r="M485" t="str">
        <f t="shared" si="44"/>
        <v>April</v>
      </c>
      <c r="N485">
        <f t="shared" si="45"/>
        <v>2</v>
      </c>
      <c r="O485">
        <f t="shared" si="46"/>
        <v>10</v>
      </c>
      <c r="P485" s="1">
        <f t="shared" ca="1" si="47"/>
        <v>1146</v>
      </c>
    </row>
    <row r="486" spans="1:16" x14ac:dyDescent="0.3">
      <c r="A486">
        <v>2484</v>
      </c>
      <c r="B486" t="s">
        <v>30</v>
      </c>
      <c r="C486" t="s">
        <v>15</v>
      </c>
      <c r="D486" s="1">
        <v>45534</v>
      </c>
      <c r="E486" s="1">
        <v>45545</v>
      </c>
      <c r="F486" t="s">
        <v>19</v>
      </c>
      <c r="G486">
        <v>8</v>
      </c>
      <c r="H486">
        <v>1704.6</v>
      </c>
      <c r="I486">
        <v>13636.8</v>
      </c>
      <c r="J486" t="s">
        <v>20</v>
      </c>
      <c r="K486">
        <f t="shared" si="42"/>
        <v>2024</v>
      </c>
      <c r="L486">
        <f t="shared" si="43"/>
        <v>8</v>
      </c>
      <c r="M486" t="str">
        <f t="shared" si="44"/>
        <v>August</v>
      </c>
      <c r="N486">
        <f t="shared" si="45"/>
        <v>5</v>
      </c>
      <c r="O486">
        <f t="shared" si="46"/>
        <v>11</v>
      </c>
      <c r="P486" s="1">
        <f t="shared" ca="1" si="47"/>
        <v>639</v>
      </c>
    </row>
    <row r="487" spans="1:16" x14ac:dyDescent="0.3">
      <c r="A487">
        <v>2485</v>
      </c>
      <c r="B487" t="s">
        <v>48</v>
      </c>
      <c r="C487" t="s">
        <v>11</v>
      </c>
      <c r="D487" s="1">
        <v>45590</v>
      </c>
      <c r="E487" s="1">
        <v>45601</v>
      </c>
      <c r="F487" t="s">
        <v>36</v>
      </c>
      <c r="G487">
        <v>3</v>
      </c>
      <c r="H487">
        <v>865.32</v>
      </c>
      <c r="I487">
        <v>2595.96</v>
      </c>
      <c r="J487" t="s">
        <v>20</v>
      </c>
      <c r="K487">
        <f t="shared" si="42"/>
        <v>2024</v>
      </c>
      <c r="L487">
        <f t="shared" si="43"/>
        <v>10</v>
      </c>
      <c r="M487" t="str">
        <f t="shared" si="44"/>
        <v>October</v>
      </c>
      <c r="N487">
        <f t="shared" si="45"/>
        <v>5</v>
      </c>
      <c r="O487">
        <f t="shared" si="46"/>
        <v>11</v>
      </c>
      <c r="P487" s="1">
        <f t="shared" ca="1" si="47"/>
        <v>583</v>
      </c>
    </row>
    <row r="488" spans="1:16" x14ac:dyDescent="0.3">
      <c r="A488">
        <v>2486</v>
      </c>
      <c r="B488" t="s">
        <v>45</v>
      </c>
      <c r="C488" t="s">
        <v>22</v>
      </c>
      <c r="D488" s="1">
        <v>44995</v>
      </c>
      <c r="E488" s="1">
        <v>45009</v>
      </c>
      <c r="F488" t="s">
        <v>19</v>
      </c>
      <c r="G488">
        <v>3</v>
      </c>
      <c r="H488">
        <v>500.58</v>
      </c>
      <c r="I488">
        <v>1501.74</v>
      </c>
      <c r="J488" t="s">
        <v>13</v>
      </c>
      <c r="K488">
        <f t="shared" si="42"/>
        <v>2023</v>
      </c>
      <c r="L488">
        <f t="shared" si="43"/>
        <v>3</v>
      </c>
      <c r="M488" t="str">
        <f t="shared" si="44"/>
        <v>March</v>
      </c>
      <c r="N488">
        <f t="shared" si="45"/>
        <v>5</v>
      </c>
      <c r="O488">
        <f t="shared" si="46"/>
        <v>14</v>
      </c>
      <c r="P488" s="1">
        <f t="shared" ca="1" si="47"/>
        <v>1178</v>
      </c>
    </row>
    <row r="489" spans="1:16" x14ac:dyDescent="0.3">
      <c r="A489">
        <v>2487</v>
      </c>
      <c r="B489" t="s">
        <v>14</v>
      </c>
      <c r="C489" t="s">
        <v>25</v>
      </c>
      <c r="D489" s="1">
        <v>44975</v>
      </c>
      <c r="E489" s="1">
        <v>44990</v>
      </c>
      <c r="F489" t="s">
        <v>28</v>
      </c>
      <c r="G489">
        <v>3</v>
      </c>
      <c r="H489">
        <v>4220.3100000000004</v>
      </c>
      <c r="I489">
        <v>12660.93</v>
      </c>
      <c r="J489" t="s">
        <v>20</v>
      </c>
      <c r="K489">
        <f t="shared" si="42"/>
        <v>2023</v>
      </c>
      <c r="L489">
        <f t="shared" si="43"/>
        <v>2</v>
      </c>
      <c r="M489" t="str">
        <f t="shared" si="44"/>
        <v>February</v>
      </c>
      <c r="N489">
        <f t="shared" si="45"/>
        <v>6</v>
      </c>
      <c r="O489">
        <f t="shared" si="46"/>
        <v>15</v>
      </c>
      <c r="P489" s="1">
        <f t="shared" ca="1" si="47"/>
        <v>1198</v>
      </c>
    </row>
    <row r="490" spans="1:16" x14ac:dyDescent="0.3">
      <c r="A490">
        <v>2488</v>
      </c>
      <c r="B490" t="s">
        <v>47</v>
      </c>
      <c r="C490" t="s">
        <v>15</v>
      </c>
      <c r="D490" s="1">
        <v>44699</v>
      </c>
      <c r="E490" s="1">
        <v>44702</v>
      </c>
      <c r="F490" t="s">
        <v>16</v>
      </c>
      <c r="G490">
        <v>7</v>
      </c>
      <c r="H490">
        <v>2894.65</v>
      </c>
      <c r="I490">
        <v>20262.55</v>
      </c>
      <c r="J490" t="s">
        <v>20</v>
      </c>
      <c r="K490">
        <f t="shared" si="42"/>
        <v>2022</v>
      </c>
      <c r="L490">
        <f t="shared" si="43"/>
        <v>5</v>
      </c>
      <c r="M490" t="str">
        <f t="shared" si="44"/>
        <v>May</v>
      </c>
      <c r="N490">
        <f t="shared" si="45"/>
        <v>3</v>
      </c>
      <c r="O490">
        <f t="shared" si="46"/>
        <v>3</v>
      </c>
      <c r="P490" s="1">
        <f t="shared" ca="1" si="47"/>
        <v>1474</v>
      </c>
    </row>
    <row r="491" spans="1:16" x14ac:dyDescent="0.3">
      <c r="A491">
        <v>2489</v>
      </c>
      <c r="B491" t="s">
        <v>35</v>
      </c>
      <c r="C491" t="s">
        <v>25</v>
      </c>
      <c r="D491" s="1">
        <v>44587</v>
      </c>
      <c r="E491" s="1">
        <v>44601</v>
      </c>
      <c r="F491" t="s">
        <v>28</v>
      </c>
      <c r="G491">
        <v>7</v>
      </c>
      <c r="H491">
        <v>828.84</v>
      </c>
      <c r="I491">
        <v>5801.88</v>
      </c>
      <c r="J491" t="s">
        <v>13</v>
      </c>
      <c r="K491">
        <f t="shared" si="42"/>
        <v>2022</v>
      </c>
      <c r="L491">
        <f t="shared" si="43"/>
        <v>1</v>
      </c>
      <c r="M491" t="str">
        <f t="shared" si="44"/>
        <v>January</v>
      </c>
      <c r="N491">
        <f t="shared" si="45"/>
        <v>3</v>
      </c>
      <c r="O491">
        <f t="shared" si="46"/>
        <v>14</v>
      </c>
      <c r="P491" s="1">
        <f t="shared" ca="1" si="47"/>
        <v>1586</v>
      </c>
    </row>
    <row r="492" spans="1:16" x14ac:dyDescent="0.3">
      <c r="A492">
        <v>2490</v>
      </c>
      <c r="B492" t="s">
        <v>37</v>
      </c>
      <c r="C492" t="s">
        <v>18</v>
      </c>
      <c r="D492" s="1">
        <v>44767</v>
      </c>
      <c r="E492" s="1">
        <v>44770</v>
      </c>
      <c r="F492" t="s">
        <v>36</v>
      </c>
      <c r="G492">
        <v>2</v>
      </c>
      <c r="H492">
        <v>3993</v>
      </c>
      <c r="I492">
        <v>7986</v>
      </c>
      <c r="J492" t="s">
        <v>20</v>
      </c>
      <c r="K492">
        <f t="shared" si="42"/>
        <v>2022</v>
      </c>
      <c r="L492">
        <f t="shared" si="43"/>
        <v>7</v>
      </c>
      <c r="M492" t="str">
        <f t="shared" si="44"/>
        <v>July</v>
      </c>
      <c r="N492">
        <f t="shared" si="45"/>
        <v>1</v>
      </c>
      <c r="O492">
        <f t="shared" si="46"/>
        <v>3</v>
      </c>
      <c r="P492" s="1">
        <f t="shared" ca="1" si="47"/>
        <v>1406</v>
      </c>
    </row>
    <row r="493" spans="1:16" x14ac:dyDescent="0.3">
      <c r="A493">
        <v>2491</v>
      </c>
      <c r="B493" t="s">
        <v>39</v>
      </c>
      <c r="C493" t="s">
        <v>31</v>
      </c>
      <c r="D493" s="1">
        <v>45346</v>
      </c>
      <c r="E493" s="1">
        <v>45358</v>
      </c>
      <c r="F493" t="s">
        <v>16</v>
      </c>
      <c r="G493">
        <v>8</v>
      </c>
      <c r="H493">
        <v>476.09</v>
      </c>
      <c r="I493">
        <v>3808.72</v>
      </c>
      <c r="J493" t="s">
        <v>20</v>
      </c>
      <c r="K493">
        <f t="shared" si="42"/>
        <v>2024</v>
      </c>
      <c r="L493">
        <f t="shared" si="43"/>
        <v>2</v>
      </c>
      <c r="M493" t="str">
        <f t="shared" si="44"/>
        <v>February</v>
      </c>
      <c r="N493">
        <f t="shared" si="45"/>
        <v>6</v>
      </c>
      <c r="O493">
        <f t="shared" si="46"/>
        <v>12</v>
      </c>
      <c r="P493" s="1">
        <f t="shared" ca="1" si="47"/>
        <v>827</v>
      </c>
    </row>
    <row r="494" spans="1:16" x14ac:dyDescent="0.3">
      <c r="A494">
        <v>2492</v>
      </c>
      <c r="B494" t="s">
        <v>34</v>
      </c>
      <c r="C494" t="s">
        <v>22</v>
      </c>
      <c r="D494" s="1">
        <v>45384</v>
      </c>
      <c r="E494" s="1">
        <v>45386</v>
      </c>
      <c r="F494" t="s">
        <v>16</v>
      </c>
      <c r="G494">
        <v>6</v>
      </c>
      <c r="H494">
        <v>3545.41</v>
      </c>
      <c r="I494">
        <v>21272.46</v>
      </c>
      <c r="J494" t="s">
        <v>13</v>
      </c>
      <c r="K494">
        <f t="shared" si="42"/>
        <v>2024</v>
      </c>
      <c r="L494">
        <f t="shared" si="43"/>
        <v>4</v>
      </c>
      <c r="M494" t="str">
        <f t="shared" si="44"/>
        <v>April</v>
      </c>
      <c r="N494">
        <f t="shared" si="45"/>
        <v>2</v>
      </c>
      <c r="O494">
        <f t="shared" si="46"/>
        <v>2</v>
      </c>
      <c r="P494" s="1">
        <f t="shared" ca="1" si="47"/>
        <v>789</v>
      </c>
    </row>
    <row r="495" spans="1:16" x14ac:dyDescent="0.3">
      <c r="A495">
        <v>2493</v>
      </c>
      <c r="B495" t="s">
        <v>24</v>
      </c>
      <c r="C495" t="s">
        <v>25</v>
      </c>
      <c r="D495" s="1">
        <v>45112</v>
      </c>
      <c r="E495" s="1">
        <v>45119</v>
      </c>
      <c r="F495" t="s">
        <v>26</v>
      </c>
      <c r="G495">
        <v>6</v>
      </c>
      <c r="H495">
        <v>4141.71</v>
      </c>
      <c r="I495">
        <v>24850.26</v>
      </c>
      <c r="J495" t="s">
        <v>20</v>
      </c>
      <c r="K495">
        <f t="shared" si="42"/>
        <v>2023</v>
      </c>
      <c r="L495">
        <f t="shared" si="43"/>
        <v>7</v>
      </c>
      <c r="M495" t="str">
        <f t="shared" si="44"/>
        <v>July</v>
      </c>
      <c r="N495">
        <f t="shared" si="45"/>
        <v>3</v>
      </c>
      <c r="O495">
        <f t="shared" si="46"/>
        <v>7</v>
      </c>
      <c r="P495" s="1">
        <f t="shared" ca="1" si="47"/>
        <v>1061</v>
      </c>
    </row>
    <row r="496" spans="1:16" x14ac:dyDescent="0.3">
      <c r="A496">
        <v>2494</v>
      </c>
      <c r="B496" t="s">
        <v>43</v>
      </c>
      <c r="C496" t="s">
        <v>31</v>
      </c>
      <c r="D496" s="1">
        <v>45568</v>
      </c>
      <c r="E496" s="1">
        <v>45583</v>
      </c>
      <c r="F496" t="s">
        <v>28</v>
      </c>
      <c r="G496">
        <v>2</v>
      </c>
      <c r="H496">
        <v>4870.7299999999996</v>
      </c>
      <c r="I496">
        <v>9741.4599999999991</v>
      </c>
      <c r="J496" t="s">
        <v>13</v>
      </c>
      <c r="K496">
        <f t="shared" si="42"/>
        <v>2024</v>
      </c>
      <c r="L496">
        <f t="shared" si="43"/>
        <v>10</v>
      </c>
      <c r="M496" t="str">
        <f t="shared" si="44"/>
        <v>October</v>
      </c>
      <c r="N496">
        <f t="shared" si="45"/>
        <v>4</v>
      </c>
      <c r="O496">
        <f t="shared" si="46"/>
        <v>15</v>
      </c>
      <c r="P496" s="1">
        <f t="shared" ca="1" si="47"/>
        <v>605</v>
      </c>
    </row>
    <row r="497" spans="1:16" x14ac:dyDescent="0.3">
      <c r="A497">
        <v>2495</v>
      </c>
      <c r="B497" t="s">
        <v>37</v>
      </c>
      <c r="C497" t="s">
        <v>31</v>
      </c>
      <c r="D497" s="1">
        <v>45469</v>
      </c>
      <c r="E497" s="1">
        <v>45483</v>
      </c>
      <c r="F497" t="s">
        <v>32</v>
      </c>
      <c r="G497">
        <v>6</v>
      </c>
      <c r="H497">
        <v>1566.27</v>
      </c>
      <c r="I497">
        <v>9397.6200000000008</v>
      </c>
      <c r="J497" t="s">
        <v>20</v>
      </c>
      <c r="K497">
        <f t="shared" si="42"/>
        <v>2024</v>
      </c>
      <c r="L497">
        <f t="shared" si="43"/>
        <v>6</v>
      </c>
      <c r="M497" t="str">
        <f t="shared" si="44"/>
        <v>June</v>
      </c>
      <c r="N497">
        <f t="shared" si="45"/>
        <v>3</v>
      </c>
      <c r="O497">
        <f t="shared" si="46"/>
        <v>14</v>
      </c>
      <c r="P497" s="1">
        <f t="shared" ca="1" si="47"/>
        <v>704</v>
      </c>
    </row>
    <row r="498" spans="1:16" x14ac:dyDescent="0.3">
      <c r="A498">
        <v>2496</v>
      </c>
      <c r="B498" t="s">
        <v>42</v>
      </c>
      <c r="C498" t="s">
        <v>15</v>
      </c>
      <c r="D498" s="1">
        <v>44744</v>
      </c>
      <c r="E498" s="1">
        <v>44749</v>
      </c>
      <c r="F498" t="s">
        <v>16</v>
      </c>
      <c r="G498">
        <v>4</v>
      </c>
      <c r="H498">
        <v>4593.13</v>
      </c>
      <c r="I498">
        <v>18372.52</v>
      </c>
      <c r="J498" t="s">
        <v>20</v>
      </c>
      <c r="K498">
        <f t="shared" si="42"/>
        <v>2022</v>
      </c>
      <c r="L498">
        <f t="shared" si="43"/>
        <v>7</v>
      </c>
      <c r="M498" t="str">
        <f t="shared" si="44"/>
        <v>July</v>
      </c>
      <c r="N498">
        <f t="shared" si="45"/>
        <v>6</v>
      </c>
      <c r="O498">
        <f t="shared" si="46"/>
        <v>5</v>
      </c>
      <c r="P498" s="1">
        <f t="shared" ca="1" si="47"/>
        <v>1429</v>
      </c>
    </row>
    <row r="499" spans="1:16" x14ac:dyDescent="0.3">
      <c r="A499">
        <v>2497</v>
      </c>
      <c r="B499" t="s">
        <v>24</v>
      </c>
      <c r="C499" t="s">
        <v>25</v>
      </c>
      <c r="D499" s="1">
        <v>45619</v>
      </c>
      <c r="E499" s="1">
        <v>45634</v>
      </c>
      <c r="F499" t="s">
        <v>12</v>
      </c>
      <c r="G499">
        <v>1</v>
      </c>
      <c r="H499">
        <v>2721.77</v>
      </c>
      <c r="I499">
        <v>2721.77</v>
      </c>
      <c r="J499" t="s">
        <v>13</v>
      </c>
      <c r="K499">
        <f t="shared" si="42"/>
        <v>2024</v>
      </c>
      <c r="L499">
        <f t="shared" si="43"/>
        <v>11</v>
      </c>
      <c r="M499" t="str">
        <f t="shared" si="44"/>
        <v>November</v>
      </c>
      <c r="N499">
        <f t="shared" si="45"/>
        <v>6</v>
      </c>
      <c r="O499">
        <f t="shared" si="46"/>
        <v>15</v>
      </c>
      <c r="P499" s="1">
        <f t="shared" ca="1" si="47"/>
        <v>554</v>
      </c>
    </row>
    <row r="500" spans="1:16" x14ac:dyDescent="0.3">
      <c r="A500">
        <v>2498</v>
      </c>
      <c r="B500" t="s">
        <v>49</v>
      </c>
      <c r="C500" t="s">
        <v>31</v>
      </c>
      <c r="D500" s="1">
        <v>45599</v>
      </c>
      <c r="E500" s="1">
        <v>45607</v>
      </c>
      <c r="F500" t="s">
        <v>19</v>
      </c>
      <c r="G500">
        <v>1</v>
      </c>
      <c r="H500">
        <v>1116.57</v>
      </c>
      <c r="I500">
        <v>1116.57</v>
      </c>
      <c r="J500" t="s">
        <v>13</v>
      </c>
      <c r="K500">
        <f t="shared" si="42"/>
        <v>2024</v>
      </c>
      <c r="L500">
        <f t="shared" si="43"/>
        <v>11</v>
      </c>
      <c r="M500" t="str">
        <f t="shared" si="44"/>
        <v>November</v>
      </c>
      <c r="N500">
        <f t="shared" si="45"/>
        <v>7</v>
      </c>
      <c r="O500">
        <f t="shared" si="46"/>
        <v>8</v>
      </c>
      <c r="P500" s="1">
        <f t="shared" ca="1" si="47"/>
        <v>574</v>
      </c>
    </row>
    <row r="501" spans="1:16" x14ac:dyDescent="0.3">
      <c r="A501">
        <v>2499</v>
      </c>
      <c r="B501" t="s">
        <v>40</v>
      </c>
      <c r="C501" t="s">
        <v>22</v>
      </c>
      <c r="D501" s="1">
        <v>44629</v>
      </c>
      <c r="E501" s="1">
        <v>44638</v>
      </c>
      <c r="F501" t="s">
        <v>26</v>
      </c>
      <c r="G501">
        <v>6</v>
      </c>
      <c r="H501">
        <v>3611.78</v>
      </c>
      <c r="I501">
        <v>21670.68</v>
      </c>
      <c r="J501" t="s">
        <v>20</v>
      </c>
      <c r="K501">
        <f t="shared" si="42"/>
        <v>2022</v>
      </c>
      <c r="L501">
        <f t="shared" si="43"/>
        <v>3</v>
      </c>
      <c r="M501" t="str">
        <f t="shared" si="44"/>
        <v>March</v>
      </c>
      <c r="N501">
        <f t="shared" si="45"/>
        <v>3</v>
      </c>
      <c r="O501">
        <f t="shared" si="46"/>
        <v>9</v>
      </c>
      <c r="P501" s="1">
        <f t="shared" ca="1" si="47"/>
        <v>1544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Day12_Raw_Dataset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Subashbalan</dc:creator>
  <cp:lastModifiedBy>Maheswari S</cp:lastModifiedBy>
  <dcterms:created xsi:type="dcterms:W3CDTF">2026-05-31T06:01:27Z</dcterms:created>
  <dcterms:modified xsi:type="dcterms:W3CDTF">2026-05-31T06:01:50Z</dcterms:modified>
</cp:coreProperties>
</file>