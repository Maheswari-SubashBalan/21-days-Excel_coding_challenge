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8efea81396b767/Desktop/Entri/21 days challenge/"/>
    </mc:Choice>
  </mc:AlternateContent>
  <xr:revisionPtr revIDLastSave="16" documentId="8_{E822F41C-AE79-44F5-98F5-FDE1D07126B1}" xr6:coauthVersionLast="47" xr6:coauthVersionMax="47" xr10:uidLastSave="{68603E2A-1436-4D99-A736-B26FB79E4A33}"/>
  <bookViews>
    <workbookView xWindow="-108" yWindow="-108" windowWidth="23256" windowHeight="12456" xr2:uid="{B23115A0-DA0D-49FE-A58C-36FF6944215A}"/>
  </bookViews>
  <sheets>
    <sheet name="Vlookup Practice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2" l="1"/>
  <c r="G3" i="2"/>
  <c r="G4" i="2"/>
  <c r="G5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2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2" i="2"/>
</calcChain>
</file>

<file path=xl/sharedStrings.xml><?xml version="1.0" encoding="utf-8"?>
<sst xmlns="http://schemas.openxmlformats.org/spreadsheetml/2006/main" count="8" uniqueCount="8">
  <si>
    <t>Order_ID</t>
  </si>
  <si>
    <t>City</t>
  </si>
  <si>
    <t>Delivery Date</t>
  </si>
  <si>
    <t>Order Date</t>
  </si>
  <si>
    <t>Product Category</t>
  </si>
  <si>
    <t>Customer Name</t>
  </si>
  <si>
    <t>Sales Amount</t>
  </si>
  <si>
    <t>VLOOKUP function uses Order_ID as a key to search and retrieve matching data from the original dataset. The formula searches column A, returns the value from the specified column number, and 0 ensures exact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</si>
</sst>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F800]dddd\,\ mmmm\ dd\,\ yyyy"/>
  </numFmts>
  <fonts count="2" x14ac:knownFonts="1">
    <font>
      <sz val="11"/>
      <color theme="1"/>
      <name val="Calibri"/>
      <family val="2"/>
      <scheme val="minor"/>
    </font>
    <font>
      <sz val="10"/>
      <color rgb="FF1418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14" fontId="0" fillId="0" borderId="0" xfId="0" applyNumberFormat="1"/>
    <xf numFmtId="167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numFmt numFmtId="167" formatCode="[$-F800]dddd\,\ mmmm\ dd\,\ 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4181F"/>
        <name val="Calibri"/>
        <family val="2"/>
        <scheme val="minor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y12_Raw_Dataset"/>
      <sheetName val="Cleaned"/>
      <sheetName val="Sheet1"/>
    </sheetNames>
    <sheetDataSet>
      <sheetData sheetId="0" refreshError="1"/>
      <sheetData sheetId="1" refreshError="1">
        <row r="1">
          <cell r="A1" t="str">
            <v>Order_ID</v>
          </cell>
          <cell r="B1" t="str">
            <v>Customer_Name</v>
          </cell>
          <cell r="C1" t="str">
            <v>Product_Category</v>
          </cell>
          <cell r="D1" t="str">
            <v>Order_Date</v>
          </cell>
          <cell r="E1" t="str">
            <v>Delivery_Date</v>
          </cell>
          <cell r="F1" t="str">
            <v>City</v>
          </cell>
          <cell r="G1" t="str">
            <v>Units_Sold</v>
          </cell>
          <cell r="H1" t="str">
            <v>Unit_Price</v>
          </cell>
          <cell r="I1" t="str">
            <v>Sales_Amount</v>
          </cell>
          <cell r="J1" t="str">
            <v>Segment</v>
          </cell>
        </row>
        <row r="2">
          <cell r="A2">
            <v>2000</v>
          </cell>
          <cell r="B2" t="str">
            <v>Balaji N</v>
          </cell>
          <cell r="C2" t="str">
            <v>Jeans</v>
          </cell>
          <cell r="D2">
            <v>44613</v>
          </cell>
          <cell r="E2">
            <v>44626</v>
          </cell>
          <cell r="F2" t="str">
            <v>Delhi</v>
          </cell>
          <cell r="G2">
            <v>4</v>
          </cell>
          <cell r="H2">
            <v>1349.09</v>
          </cell>
          <cell r="I2">
            <v>5396.36</v>
          </cell>
          <cell r="J2" t="str">
            <v>B2B</v>
          </cell>
        </row>
        <row r="3">
          <cell r="A3">
            <v>2001</v>
          </cell>
          <cell r="B3" t="str">
            <v>Saranya D</v>
          </cell>
          <cell r="C3" t="str">
            <v>Accessories</v>
          </cell>
          <cell r="D3">
            <v>44740</v>
          </cell>
          <cell r="E3">
            <v>44751</v>
          </cell>
          <cell r="F3" t="str">
            <v>Bangalore</v>
          </cell>
          <cell r="G3">
            <v>1</v>
          </cell>
          <cell r="H3">
            <v>440.05</v>
          </cell>
          <cell r="I3">
            <v>440.05</v>
          </cell>
          <cell r="J3" t="str">
            <v>B2B</v>
          </cell>
        </row>
        <row r="4">
          <cell r="A4">
            <v>2002</v>
          </cell>
          <cell r="B4" t="str">
            <v>Lakshmi S</v>
          </cell>
          <cell r="C4" t="str">
            <v>Shoes</v>
          </cell>
          <cell r="D4">
            <v>44616</v>
          </cell>
          <cell r="E4">
            <v>44626</v>
          </cell>
          <cell r="F4" t="str">
            <v>Mumbai</v>
          </cell>
          <cell r="G4">
            <v>7</v>
          </cell>
          <cell r="H4">
            <v>1336.07</v>
          </cell>
          <cell r="I4">
            <v>9352.49</v>
          </cell>
          <cell r="J4" t="str">
            <v>B2C</v>
          </cell>
        </row>
        <row r="5">
          <cell r="A5">
            <v>2003</v>
          </cell>
          <cell r="B5" t="str">
            <v>Anitha Raj</v>
          </cell>
          <cell r="C5" t="str">
            <v>T-Shirts</v>
          </cell>
          <cell r="D5">
            <v>45427</v>
          </cell>
          <cell r="E5">
            <v>45434</v>
          </cell>
          <cell r="F5" t="str">
            <v>Delhi</v>
          </cell>
          <cell r="G5">
            <v>3</v>
          </cell>
          <cell r="H5">
            <v>1311.97</v>
          </cell>
          <cell r="I5">
            <v>3935.91</v>
          </cell>
          <cell r="J5" t="str">
            <v>B2C</v>
          </cell>
        </row>
        <row r="6">
          <cell r="A6">
            <v>2004</v>
          </cell>
          <cell r="B6" t="str">
            <v>Suresh M</v>
          </cell>
          <cell r="C6" t="str">
            <v>Jeans</v>
          </cell>
          <cell r="D6">
            <v>45340</v>
          </cell>
          <cell r="E6">
            <v>45343</v>
          </cell>
          <cell r="F6" t="str">
            <v>Delhi</v>
          </cell>
          <cell r="G6">
            <v>6</v>
          </cell>
          <cell r="H6">
            <v>3137.51</v>
          </cell>
          <cell r="I6">
            <v>18825.060000000001</v>
          </cell>
          <cell r="J6" t="str">
            <v>B2B</v>
          </cell>
        </row>
        <row r="7">
          <cell r="A7">
            <v>2005</v>
          </cell>
          <cell r="B7" t="str">
            <v>Uma S</v>
          </cell>
          <cell r="C7" t="str">
            <v>Jackets</v>
          </cell>
          <cell r="D7">
            <v>44817</v>
          </cell>
          <cell r="E7">
            <v>44825</v>
          </cell>
          <cell r="F7" t="str">
            <v>Chennai</v>
          </cell>
          <cell r="G7">
            <v>5</v>
          </cell>
          <cell r="H7">
            <v>4198.2</v>
          </cell>
          <cell r="I7">
            <v>20991</v>
          </cell>
          <cell r="J7" t="str">
            <v>B2C</v>
          </cell>
        </row>
        <row r="8">
          <cell r="A8">
            <v>2006</v>
          </cell>
          <cell r="B8" t="str">
            <v>Manoj K</v>
          </cell>
          <cell r="C8" t="str">
            <v>T-Shirts</v>
          </cell>
          <cell r="D8">
            <v>44704</v>
          </cell>
          <cell r="E8">
            <v>44706</v>
          </cell>
          <cell r="F8" t="str">
            <v>Pune</v>
          </cell>
          <cell r="G8">
            <v>4</v>
          </cell>
          <cell r="H8">
            <v>3933.42</v>
          </cell>
          <cell r="I8">
            <v>15733.68</v>
          </cell>
          <cell r="J8" t="str">
            <v>B2B</v>
          </cell>
        </row>
        <row r="9">
          <cell r="A9">
            <v>2007</v>
          </cell>
          <cell r="B9" t="str">
            <v>Lakshmi S</v>
          </cell>
          <cell r="C9" t="str">
            <v>Jeans</v>
          </cell>
          <cell r="D9">
            <v>45340</v>
          </cell>
          <cell r="E9">
            <v>45346</v>
          </cell>
          <cell r="F9" t="str">
            <v>Bangalore</v>
          </cell>
          <cell r="G9">
            <v>6</v>
          </cell>
          <cell r="H9">
            <v>1064.47</v>
          </cell>
          <cell r="I9">
            <v>6386.82</v>
          </cell>
          <cell r="J9" t="str">
            <v>B2C</v>
          </cell>
        </row>
        <row r="10">
          <cell r="A10">
            <v>2008</v>
          </cell>
          <cell r="B10" t="str">
            <v>Meena Iyer</v>
          </cell>
          <cell r="C10" t="str">
            <v>Accessories</v>
          </cell>
          <cell r="D10">
            <v>45108</v>
          </cell>
          <cell r="E10">
            <v>45121</v>
          </cell>
          <cell r="F10" t="str">
            <v>Pune</v>
          </cell>
          <cell r="G10">
            <v>2</v>
          </cell>
          <cell r="H10">
            <v>3162.92</v>
          </cell>
          <cell r="I10">
            <v>6325.84</v>
          </cell>
          <cell r="J10" t="str">
            <v>B2B</v>
          </cell>
        </row>
        <row r="11">
          <cell r="A11">
            <v>2009</v>
          </cell>
          <cell r="B11" t="str">
            <v>Nithya R</v>
          </cell>
          <cell r="C11" t="str">
            <v>Accessories</v>
          </cell>
          <cell r="D11">
            <v>45063</v>
          </cell>
          <cell r="E11">
            <v>45067</v>
          </cell>
          <cell r="F11" t="str">
            <v>Bangalore</v>
          </cell>
          <cell r="G11">
            <v>7</v>
          </cell>
          <cell r="H11">
            <v>1568.75</v>
          </cell>
          <cell r="I11">
            <v>10981.25</v>
          </cell>
          <cell r="J11" t="str">
            <v>B2B</v>
          </cell>
        </row>
        <row r="12">
          <cell r="A12">
            <v>2010</v>
          </cell>
          <cell r="B12" t="str">
            <v>Saranya D</v>
          </cell>
          <cell r="C12" t="str">
            <v>Dresses</v>
          </cell>
          <cell r="D12">
            <v>44676</v>
          </cell>
          <cell r="E12">
            <v>44681</v>
          </cell>
          <cell r="F12" t="str">
            <v>Ahmedabad</v>
          </cell>
          <cell r="G12">
            <v>1</v>
          </cell>
          <cell r="H12">
            <v>4083.72</v>
          </cell>
          <cell r="I12">
            <v>4083.72</v>
          </cell>
          <cell r="J12" t="str">
            <v>B2C</v>
          </cell>
        </row>
        <row r="13">
          <cell r="A13">
            <v>2011</v>
          </cell>
          <cell r="B13" t="str">
            <v>Ravi Kumar</v>
          </cell>
          <cell r="C13" t="str">
            <v>Jeans</v>
          </cell>
          <cell r="D13">
            <v>44994</v>
          </cell>
          <cell r="E13">
            <v>45005</v>
          </cell>
          <cell r="F13" t="str">
            <v>Pune</v>
          </cell>
          <cell r="G13">
            <v>6</v>
          </cell>
          <cell r="H13">
            <v>1299.3399999999999</v>
          </cell>
          <cell r="I13">
            <v>7796.04</v>
          </cell>
          <cell r="J13" t="str">
            <v>B2C</v>
          </cell>
        </row>
        <row r="14">
          <cell r="A14">
            <v>2012</v>
          </cell>
          <cell r="B14" t="str">
            <v>Vijay K</v>
          </cell>
          <cell r="C14" t="str">
            <v>Accessories</v>
          </cell>
          <cell r="D14">
            <v>45501</v>
          </cell>
          <cell r="E14">
            <v>45505</v>
          </cell>
          <cell r="F14" t="str">
            <v>Delhi</v>
          </cell>
          <cell r="G14">
            <v>3</v>
          </cell>
          <cell r="H14">
            <v>1459.15</v>
          </cell>
          <cell r="I14">
            <v>4377.45</v>
          </cell>
          <cell r="J14" t="str">
            <v>B2C</v>
          </cell>
        </row>
        <row r="15">
          <cell r="A15">
            <v>2013</v>
          </cell>
          <cell r="B15" t="str">
            <v>Uma S</v>
          </cell>
          <cell r="C15" t="str">
            <v>Shoes</v>
          </cell>
          <cell r="D15">
            <v>45439</v>
          </cell>
          <cell r="E15">
            <v>45450</v>
          </cell>
          <cell r="F15" t="str">
            <v>Bangalore</v>
          </cell>
          <cell r="G15">
            <v>6</v>
          </cell>
          <cell r="H15">
            <v>1330.81</v>
          </cell>
          <cell r="I15">
            <v>7984.86</v>
          </cell>
          <cell r="J15" t="str">
            <v>B2B</v>
          </cell>
        </row>
        <row r="16">
          <cell r="A16">
            <v>2014</v>
          </cell>
          <cell r="B16" t="str">
            <v>Santhosh P</v>
          </cell>
          <cell r="C16" t="str">
            <v>Jackets</v>
          </cell>
          <cell r="D16">
            <v>44748</v>
          </cell>
          <cell r="E16">
            <v>44762</v>
          </cell>
          <cell r="F16" t="str">
            <v>Chennai</v>
          </cell>
          <cell r="G16">
            <v>2</v>
          </cell>
          <cell r="H16">
            <v>1018.35</v>
          </cell>
          <cell r="I16">
            <v>2036.7</v>
          </cell>
          <cell r="J16" t="str">
            <v>B2B</v>
          </cell>
        </row>
        <row r="17">
          <cell r="A17">
            <v>2015</v>
          </cell>
          <cell r="B17" t="str">
            <v>Saranya D</v>
          </cell>
          <cell r="C17" t="str">
            <v>Jackets</v>
          </cell>
          <cell r="D17">
            <v>44692</v>
          </cell>
          <cell r="E17">
            <v>44700</v>
          </cell>
          <cell r="F17" t="str">
            <v>Bangalore</v>
          </cell>
          <cell r="G17">
            <v>8</v>
          </cell>
          <cell r="H17">
            <v>2786.84</v>
          </cell>
          <cell r="I17">
            <v>22294.720000000001</v>
          </cell>
          <cell r="J17" t="str">
            <v>B2B</v>
          </cell>
        </row>
        <row r="18">
          <cell r="A18">
            <v>2016</v>
          </cell>
          <cell r="B18" t="str">
            <v>Saranya D</v>
          </cell>
          <cell r="C18" t="str">
            <v>Accessories</v>
          </cell>
          <cell r="D18">
            <v>44796</v>
          </cell>
          <cell r="E18">
            <v>44808</v>
          </cell>
          <cell r="F18" t="str">
            <v>Hyderabad</v>
          </cell>
          <cell r="G18">
            <v>5</v>
          </cell>
          <cell r="H18">
            <v>3912.41</v>
          </cell>
          <cell r="I18">
            <v>19562.05</v>
          </cell>
          <cell r="J18" t="str">
            <v>B2C</v>
          </cell>
        </row>
        <row r="19">
          <cell r="A19">
            <v>2017</v>
          </cell>
          <cell r="B19" t="str">
            <v>Suresh M</v>
          </cell>
          <cell r="C19" t="str">
            <v>Dresses</v>
          </cell>
          <cell r="D19">
            <v>45452</v>
          </cell>
          <cell r="E19">
            <v>45456</v>
          </cell>
          <cell r="F19" t="str">
            <v>Bangalore</v>
          </cell>
          <cell r="G19">
            <v>1</v>
          </cell>
          <cell r="H19">
            <v>4782.93</v>
          </cell>
          <cell r="I19">
            <v>4782.93</v>
          </cell>
          <cell r="J19" t="str">
            <v>B2C</v>
          </cell>
        </row>
        <row r="20">
          <cell r="A20">
            <v>2018</v>
          </cell>
          <cell r="B20" t="str">
            <v>Santhosh P</v>
          </cell>
          <cell r="C20" t="str">
            <v>T-Shirts</v>
          </cell>
          <cell r="D20">
            <v>45601</v>
          </cell>
          <cell r="E20">
            <v>45604</v>
          </cell>
          <cell r="F20" t="str">
            <v>Ahmedabad</v>
          </cell>
          <cell r="G20">
            <v>5</v>
          </cell>
          <cell r="H20">
            <v>4255.8500000000004</v>
          </cell>
          <cell r="I20">
            <v>21279.25</v>
          </cell>
          <cell r="J20" t="str">
            <v>B2B</v>
          </cell>
        </row>
        <row r="21">
          <cell r="A21">
            <v>2019</v>
          </cell>
          <cell r="B21" t="str">
            <v>Deepa K</v>
          </cell>
          <cell r="C21" t="str">
            <v>Dresses</v>
          </cell>
          <cell r="D21">
            <v>44892</v>
          </cell>
          <cell r="E21">
            <v>44902</v>
          </cell>
          <cell r="F21" t="str">
            <v>Ahmedabad</v>
          </cell>
          <cell r="G21">
            <v>1</v>
          </cell>
          <cell r="H21">
            <v>3115.04</v>
          </cell>
          <cell r="I21">
            <v>3115.04</v>
          </cell>
          <cell r="J21" t="str">
            <v>B2C</v>
          </cell>
        </row>
        <row r="22">
          <cell r="A22">
            <v>2020</v>
          </cell>
          <cell r="B22" t="str">
            <v>Anitha Raj</v>
          </cell>
          <cell r="C22" t="str">
            <v>Jeans</v>
          </cell>
          <cell r="D22">
            <v>45305</v>
          </cell>
          <cell r="E22">
            <v>45320</v>
          </cell>
          <cell r="F22" t="str">
            <v>Ahmedabad</v>
          </cell>
          <cell r="G22">
            <v>5</v>
          </cell>
          <cell r="H22">
            <v>1425.43</v>
          </cell>
          <cell r="I22">
            <v>7127.15</v>
          </cell>
          <cell r="J22" t="str">
            <v>B2B</v>
          </cell>
        </row>
        <row r="23">
          <cell r="A23">
            <v>2021</v>
          </cell>
          <cell r="B23" t="str">
            <v>Manoj K</v>
          </cell>
          <cell r="C23" t="str">
            <v>Jeans</v>
          </cell>
          <cell r="D23">
            <v>44737</v>
          </cell>
          <cell r="E23">
            <v>44750</v>
          </cell>
          <cell r="F23" t="str">
            <v>Bangalore</v>
          </cell>
          <cell r="G23">
            <v>2</v>
          </cell>
          <cell r="H23">
            <v>4896.53</v>
          </cell>
          <cell r="I23">
            <v>9793.06</v>
          </cell>
          <cell r="J23" t="str">
            <v>B2B</v>
          </cell>
        </row>
        <row r="24">
          <cell r="A24">
            <v>2022</v>
          </cell>
          <cell r="B24" t="str">
            <v>Deepa K</v>
          </cell>
          <cell r="C24" t="str">
            <v>Accessories</v>
          </cell>
          <cell r="D24">
            <v>45535</v>
          </cell>
          <cell r="E24">
            <v>45545</v>
          </cell>
          <cell r="F24" t="str">
            <v>Mumbai</v>
          </cell>
          <cell r="G24">
            <v>5</v>
          </cell>
          <cell r="H24">
            <v>2780.07</v>
          </cell>
          <cell r="I24">
            <v>13900.35</v>
          </cell>
          <cell r="J24" t="str">
            <v>B2C</v>
          </cell>
        </row>
        <row r="25">
          <cell r="A25">
            <v>2023</v>
          </cell>
          <cell r="B25" t="str">
            <v>Meena Iyer</v>
          </cell>
          <cell r="C25" t="str">
            <v>Shoes</v>
          </cell>
          <cell r="D25">
            <v>44973</v>
          </cell>
          <cell r="E25">
            <v>44986</v>
          </cell>
          <cell r="F25" t="str">
            <v>Delhi</v>
          </cell>
          <cell r="G25">
            <v>7</v>
          </cell>
          <cell r="H25">
            <v>4977.2</v>
          </cell>
          <cell r="I25">
            <v>34840.400000000001</v>
          </cell>
          <cell r="J25" t="str">
            <v>B2C</v>
          </cell>
        </row>
        <row r="26">
          <cell r="A26">
            <v>2024</v>
          </cell>
          <cell r="B26" t="str">
            <v>Rahul G</v>
          </cell>
          <cell r="C26" t="str">
            <v>Shoes</v>
          </cell>
          <cell r="D26">
            <v>45486</v>
          </cell>
          <cell r="E26">
            <v>45489</v>
          </cell>
          <cell r="F26" t="str">
            <v>Mumbai</v>
          </cell>
          <cell r="G26">
            <v>4</v>
          </cell>
          <cell r="H26">
            <v>600.91999999999996</v>
          </cell>
          <cell r="I26">
            <v>2403.6799999999998</v>
          </cell>
          <cell r="J26" t="str">
            <v>B2B</v>
          </cell>
        </row>
        <row r="27">
          <cell r="A27">
            <v>2025</v>
          </cell>
          <cell r="B27" t="str">
            <v>Manoj K</v>
          </cell>
          <cell r="C27" t="str">
            <v>Shoes</v>
          </cell>
          <cell r="D27">
            <v>45033</v>
          </cell>
          <cell r="E27">
            <v>45044</v>
          </cell>
          <cell r="F27" t="str">
            <v>Mumbai</v>
          </cell>
          <cell r="G27">
            <v>1</v>
          </cell>
          <cell r="H27">
            <v>633.66999999999996</v>
          </cell>
          <cell r="I27">
            <v>633.66999999999996</v>
          </cell>
          <cell r="J27" t="str">
            <v>B2B</v>
          </cell>
        </row>
        <row r="28">
          <cell r="A28">
            <v>2026</v>
          </cell>
          <cell r="B28" t="str">
            <v>Lakshmi S</v>
          </cell>
          <cell r="C28" t="str">
            <v>Jeans</v>
          </cell>
          <cell r="D28">
            <v>44626</v>
          </cell>
          <cell r="E28">
            <v>44641</v>
          </cell>
          <cell r="F28" t="str">
            <v>Delhi</v>
          </cell>
          <cell r="G28">
            <v>2</v>
          </cell>
          <cell r="H28">
            <v>2716.53</v>
          </cell>
          <cell r="I28">
            <v>5433.06</v>
          </cell>
          <cell r="J28" t="str">
            <v>B2C</v>
          </cell>
        </row>
        <row r="29">
          <cell r="A29">
            <v>2027</v>
          </cell>
          <cell r="B29" t="str">
            <v>Saranya D</v>
          </cell>
          <cell r="C29" t="str">
            <v>Jackets</v>
          </cell>
          <cell r="D29">
            <v>45000</v>
          </cell>
          <cell r="E29">
            <v>45010</v>
          </cell>
          <cell r="F29" t="str">
            <v>Mumbai</v>
          </cell>
          <cell r="G29">
            <v>8</v>
          </cell>
          <cell r="H29">
            <v>1442.09</v>
          </cell>
          <cell r="I29">
            <v>11536.72</v>
          </cell>
          <cell r="J29" t="str">
            <v>B2C</v>
          </cell>
        </row>
        <row r="30">
          <cell r="A30">
            <v>2028</v>
          </cell>
          <cell r="B30" t="str">
            <v>Pooja M</v>
          </cell>
          <cell r="C30" t="str">
            <v>T-Shirts</v>
          </cell>
          <cell r="D30">
            <v>44755</v>
          </cell>
          <cell r="E30">
            <v>44758</v>
          </cell>
          <cell r="F30" t="str">
            <v>Pune</v>
          </cell>
          <cell r="G30">
            <v>7</v>
          </cell>
          <cell r="H30">
            <v>1965.2</v>
          </cell>
          <cell r="I30">
            <v>13756.4</v>
          </cell>
          <cell r="J30" t="str">
            <v>B2C</v>
          </cell>
        </row>
        <row r="31">
          <cell r="A31">
            <v>2029</v>
          </cell>
          <cell r="B31" t="str">
            <v>Rahul G</v>
          </cell>
          <cell r="C31" t="str">
            <v>Accessories</v>
          </cell>
          <cell r="D31">
            <v>44672</v>
          </cell>
          <cell r="E31">
            <v>44684</v>
          </cell>
          <cell r="F31" t="str">
            <v>Pune</v>
          </cell>
          <cell r="G31">
            <v>2</v>
          </cell>
          <cell r="H31">
            <v>584.88</v>
          </cell>
          <cell r="I31">
            <v>1169.76</v>
          </cell>
          <cell r="J31" t="str">
            <v>B2C</v>
          </cell>
        </row>
        <row r="32">
          <cell r="A32">
            <v>2030</v>
          </cell>
          <cell r="B32" t="str">
            <v>Suresh M</v>
          </cell>
          <cell r="C32" t="str">
            <v>T-Shirts</v>
          </cell>
          <cell r="D32">
            <v>44954</v>
          </cell>
          <cell r="E32">
            <v>44959</v>
          </cell>
          <cell r="F32" t="str">
            <v>Hyderabad</v>
          </cell>
          <cell r="G32">
            <v>8</v>
          </cell>
          <cell r="H32">
            <v>958.86</v>
          </cell>
          <cell r="I32">
            <v>7670.88</v>
          </cell>
          <cell r="J32" t="str">
            <v>B2B</v>
          </cell>
        </row>
        <row r="33">
          <cell r="A33">
            <v>2031</v>
          </cell>
          <cell r="B33" t="str">
            <v>Ravi Kumar</v>
          </cell>
          <cell r="C33" t="str">
            <v>Jackets</v>
          </cell>
          <cell r="D33">
            <v>45073</v>
          </cell>
          <cell r="E33">
            <v>45088</v>
          </cell>
          <cell r="F33" t="str">
            <v>Chennai</v>
          </cell>
          <cell r="G33">
            <v>8</v>
          </cell>
          <cell r="H33">
            <v>4097.7</v>
          </cell>
          <cell r="I33">
            <v>32781.599999999999</v>
          </cell>
          <cell r="J33" t="str">
            <v>B2B</v>
          </cell>
        </row>
        <row r="34">
          <cell r="A34">
            <v>2032</v>
          </cell>
          <cell r="B34" t="str">
            <v>Karthik Vel</v>
          </cell>
          <cell r="C34" t="str">
            <v>Accessories</v>
          </cell>
          <cell r="D34">
            <v>44592</v>
          </cell>
          <cell r="E34">
            <v>44595</v>
          </cell>
          <cell r="F34" t="str">
            <v>Ahmedabad</v>
          </cell>
          <cell r="G34">
            <v>4</v>
          </cell>
          <cell r="H34">
            <v>1081.6600000000001</v>
          </cell>
          <cell r="I34">
            <v>4326.6400000000003</v>
          </cell>
          <cell r="J34" t="str">
            <v>B2C</v>
          </cell>
        </row>
        <row r="35">
          <cell r="A35">
            <v>2033</v>
          </cell>
          <cell r="B35" t="str">
            <v>Kavitha S</v>
          </cell>
          <cell r="C35" t="str">
            <v>T-Shirts</v>
          </cell>
          <cell r="D35">
            <v>45383</v>
          </cell>
          <cell r="E35">
            <v>45385</v>
          </cell>
          <cell r="F35" t="str">
            <v>Mumbai</v>
          </cell>
          <cell r="G35">
            <v>7</v>
          </cell>
          <cell r="H35">
            <v>310.13</v>
          </cell>
          <cell r="I35">
            <v>2170.91</v>
          </cell>
          <cell r="J35" t="str">
            <v>B2C</v>
          </cell>
        </row>
        <row r="36">
          <cell r="A36">
            <v>2034</v>
          </cell>
          <cell r="B36" t="str">
            <v>Ravi Kumar</v>
          </cell>
          <cell r="C36" t="str">
            <v>Jackets</v>
          </cell>
          <cell r="D36">
            <v>45146</v>
          </cell>
          <cell r="E36">
            <v>45154</v>
          </cell>
          <cell r="F36" t="str">
            <v>Pune</v>
          </cell>
          <cell r="G36">
            <v>8</v>
          </cell>
          <cell r="H36">
            <v>1027.55</v>
          </cell>
          <cell r="I36">
            <v>8220.4</v>
          </cell>
          <cell r="J36" t="str">
            <v>B2C</v>
          </cell>
        </row>
        <row r="37">
          <cell r="A37">
            <v>2035</v>
          </cell>
          <cell r="B37" t="str">
            <v>Meena Iyer</v>
          </cell>
          <cell r="C37" t="str">
            <v>Jeans</v>
          </cell>
          <cell r="D37">
            <v>44686</v>
          </cell>
          <cell r="E37">
            <v>44699</v>
          </cell>
          <cell r="F37" t="str">
            <v>Delhi</v>
          </cell>
          <cell r="G37">
            <v>1</v>
          </cell>
          <cell r="H37">
            <v>535.66999999999996</v>
          </cell>
          <cell r="I37">
            <v>535.66999999999996</v>
          </cell>
          <cell r="J37" t="str">
            <v>B2C</v>
          </cell>
        </row>
        <row r="38">
          <cell r="A38">
            <v>2036</v>
          </cell>
          <cell r="B38" t="str">
            <v>Santhosh P</v>
          </cell>
          <cell r="C38" t="str">
            <v>Shoes</v>
          </cell>
          <cell r="D38">
            <v>44884</v>
          </cell>
          <cell r="E38">
            <v>44886</v>
          </cell>
          <cell r="F38" t="str">
            <v>Hyderabad</v>
          </cell>
          <cell r="G38">
            <v>2</v>
          </cell>
          <cell r="H38">
            <v>4301.3100000000004</v>
          </cell>
          <cell r="I38">
            <v>8602.6200000000008</v>
          </cell>
          <cell r="J38" t="str">
            <v>B2B</v>
          </cell>
        </row>
        <row r="39">
          <cell r="A39">
            <v>2037</v>
          </cell>
          <cell r="B39" t="str">
            <v>Revathi A</v>
          </cell>
          <cell r="C39" t="str">
            <v>Jeans</v>
          </cell>
          <cell r="D39">
            <v>45043</v>
          </cell>
          <cell r="E39">
            <v>45051</v>
          </cell>
          <cell r="F39" t="str">
            <v>Chennai</v>
          </cell>
          <cell r="G39">
            <v>4</v>
          </cell>
          <cell r="H39">
            <v>3020.92</v>
          </cell>
          <cell r="I39">
            <v>12083.68</v>
          </cell>
          <cell r="J39" t="str">
            <v>B2B</v>
          </cell>
        </row>
        <row r="40">
          <cell r="A40">
            <v>2038</v>
          </cell>
          <cell r="B40" t="str">
            <v>Revathi A</v>
          </cell>
          <cell r="C40" t="str">
            <v>Jeans</v>
          </cell>
          <cell r="D40">
            <v>45420</v>
          </cell>
          <cell r="E40">
            <v>45432</v>
          </cell>
          <cell r="F40" t="str">
            <v>Hyderabad</v>
          </cell>
          <cell r="G40">
            <v>6</v>
          </cell>
          <cell r="H40">
            <v>4693.12</v>
          </cell>
          <cell r="I40">
            <v>28158.720000000001</v>
          </cell>
          <cell r="J40" t="str">
            <v>B2B</v>
          </cell>
        </row>
        <row r="41">
          <cell r="A41">
            <v>2039</v>
          </cell>
          <cell r="B41" t="str">
            <v>Saranya D</v>
          </cell>
          <cell r="C41" t="str">
            <v>Accessories</v>
          </cell>
          <cell r="D41">
            <v>45205</v>
          </cell>
          <cell r="E41">
            <v>45210</v>
          </cell>
          <cell r="F41" t="str">
            <v>Delhi</v>
          </cell>
          <cell r="G41">
            <v>7</v>
          </cell>
          <cell r="H41">
            <v>915.13</v>
          </cell>
          <cell r="I41">
            <v>6405.91</v>
          </cell>
          <cell r="J41" t="str">
            <v>B2C</v>
          </cell>
        </row>
        <row r="42">
          <cell r="A42">
            <v>2040</v>
          </cell>
          <cell r="B42" t="str">
            <v>Rahul G</v>
          </cell>
          <cell r="C42" t="str">
            <v>Dresses</v>
          </cell>
          <cell r="D42">
            <v>44710</v>
          </cell>
          <cell r="E42">
            <v>44712</v>
          </cell>
          <cell r="F42" t="str">
            <v>Bangalore</v>
          </cell>
          <cell r="G42">
            <v>2</v>
          </cell>
          <cell r="H42">
            <v>644.33000000000004</v>
          </cell>
          <cell r="I42">
            <v>1288.6600000000001</v>
          </cell>
          <cell r="J42" t="str">
            <v>B2B</v>
          </cell>
        </row>
        <row r="43">
          <cell r="A43">
            <v>2041</v>
          </cell>
          <cell r="B43" t="str">
            <v>Santhosh P</v>
          </cell>
          <cell r="C43" t="str">
            <v>Dresses</v>
          </cell>
          <cell r="D43">
            <v>44833</v>
          </cell>
          <cell r="E43">
            <v>44840</v>
          </cell>
          <cell r="F43" t="str">
            <v>Chennai</v>
          </cell>
          <cell r="G43">
            <v>4</v>
          </cell>
          <cell r="H43">
            <v>2036.78</v>
          </cell>
          <cell r="I43">
            <v>8147.12</v>
          </cell>
          <cell r="J43" t="str">
            <v>B2B</v>
          </cell>
        </row>
        <row r="44">
          <cell r="A44">
            <v>2042</v>
          </cell>
          <cell r="B44" t="str">
            <v>Rahul G</v>
          </cell>
          <cell r="C44" t="str">
            <v>Shoes</v>
          </cell>
          <cell r="D44">
            <v>45181</v>
          </cell>
          <cell r="E44">
            <v>45192</v>
          </cell>
          <cell r="F44" t="str">
            <v>Ahmedabad</v>
          </cell>
          <cell r="G44">
            <v>1</v>
          </cell>
          <cell r="H44">
            <v>3438.96</v>
          </cell>
          <cell r="I44">
            <v>3438.96</v>
          </cell>
          <cell r="J44" t="str">
            <v>B2C</v>
          </cell>
        </row>
        <row r="45">
          <cell r="A45">
            <v>2043</v>
          </cell>
          <cell r="B45" t="str">
            <v>Saranya D</v>
          </cell>
          <cell r="C45" t="str">
            <v>Jeans</v>
          </cell>
          <cell r="D45">
            <v>44837</v>
          </cell>
          <cell r="E45">
            <v>44843</v>
          </cell>
          <cell r="F45" t="str">
            <v>Chennai</v>
          </cell>
          <cell r="G45">
            <v>2</v>
          </cell>
          <cell r="H45">
            <v>3789.36</v>
          </cell>
          <cell r="I45">
            <v>7578.72</v>
          </cell>
          <cell r="J45" t="str">
            <v>B2B</v>
          </cell>
        </row>
        <row r="46">
          <cell r="A46">
            <v>2044</v>
          </cell>
          <cell r="B46" t="str">
            <v>Ravi Kumar</v>
          </cell>
          <cell r="C46" t="str">
            <v>Dresses</v>
          </cell>
          <cell r="D46">
            <v>44993</v>
          </cell>
          <cell r="E46">
            <v>45006</v>
          </cell>
          <cell r="F46" t="str">
            <v>Delhi</v>
          </cell>
          <cell r="G46">
            <v>4</v>
          </cell>
          <cell r="H46">
            <v>3531.24</v>
          </cell>
          <cell r="I46">
            <v>14124.96</v>
          </cell>
          <cell r="J46" t="str">
            <v>B2C</v>
          </cell>
        </row>
        <row r="47">
          <cell r="A47">
            <v>2045</v>
          </cell>
          <cell r="B47" t="str">
            <v>Santhosh P</v>
          </cell>
          <cell r="C47" t="str">
            <v>Jackets</v>
          </cell>
          <cell r="D47">
            <v>45076</v>
          </cell>
          <cell r="E47">
            <v>45091</v>
          </cell>
          <cell r="F47" t="str">
            <v>Chennai</v>
          </cell>
          <cell r="G47">
            <v>2</v>
          </cell>
          <cell r="H47">
            <v>3281.14</v>
          </cell>
          <cell r="I47">
            <v>6562.28</v>
          </cell>
          <cell r="J47" t="str">
            <v>B2C</v>
          </cell>
        </row>
        <row r="48">
          <cell r="A48">
            <v>2046</v>
          </cell>
          <cell r="B48" t="str">
            <v>Karthik Vel</v>
          </cell>
          <cell r="C48" t="str">
            <v>Jeans</v>
          </cell>
          <cell r="D48">
            <v>45245</v>
          </cell>
          <cell r="E48">
            <v>45259</v>
          </cell>
          <cell r="F48" t="str">
            <v>Mumbai</v>
          </cell>
          <cell r="G48">
            <v>5</v>
          </cell>
          <cell r="H48">
            <v>1059.44</v>
          </cell>
          <cell r="I48">
            <v>5297.2</v>
          </cell>
          <cell r="J48" t="str">
            <v>B2C</v>
          </cell>
        </row>
        <row r="49">
          <cell r="A49">
            <v>2047</v>
          </cell>
          <cell r="B49" t="str">
            <v>Nithya R</v>
          </cell>
          <cell r="C49" t="str">
            <v>Accessories</v>
          </cell>
          <cell r="D49">
            <v>45437</v>
          </cell>
          <cell r="E49">
            <v>45447</v>
          </cell>
          <cell r="F49" t="str">
            <v>Chennai</v>
          </cell>
          <cell r="G49">
            <v>2</v>
          </cell>
          <cell r="H49">
            <v>653.65</v>
          </cell>
          <cell r="I49">
            <v>1307.3</v>
          </cell>
          <cell r="J49" t="str">
            <v>B2B</v>
          </cell>
        </row>
        <row r="50">
          <cell r="A50">
            <v>2048</v>
          </cell>
          <cell r="B50" t="str">
            <v>Nithya R</v>
          </cell>
          <cell r="C50" t="str">
            <v>Jeans</v>
          </cell>
          <cell r="D50">
            <v>45318</v>
          </cell>
          <cell r="E50">
            <v>45329</v>
          </cell>
          <cell r="F50" t="str">
            <v>Hyderabad</v>
          </cell>
          <cell r="G50">
            <v>3</v>
          </cell>
          <cell r="H50">
            <v>2320</v>
          </cell>
          <cell r="I50">
            <v>6960</v>
          </cell>
          <cell r="J50" t="str">
            <v>B2B</v>
          </cell>
        </row>
        <row r="51">
          <cell r="A51">
            <v>2049</v>
          </cell>
          <cell r="B51" t="str">
            <v>Divya T</v>
          </cell>
          <cell r="C51" t="str">
            <v>Dresses</v>
          </cell>
          <cell r="D51">
            <v>44643</v>
          </cell>
          <cell r="E51">
            <v>44650</v>
          </cell>
          <cell r="F51" t="str">
            <v>Mumbai</v>
          </cell>
          <cell r="G51">
            <v>4</v>
          </cell>
          <cell r="H51">
            <v>3434.59</v>
          </cell>
          <cell r="I51">
            <v>13738.36</v>
          </cell>
          <cell r="J51" t="str">
            <v>B2C</v>
          </cell>
        </row>
        <row r="52">
          <cell r="A52">
            <v>2050</v>
          </cell>
          <cell r="B52" t="str">
            <v>Prakash V</v>
          </cell>
          <cell r="C52" t="str">
            <v>Shoes</v>
          </cell>
          <cell r="D52">
            <v>45394</v>
          </cell>
          <cell r="E52">
            <v>45405</v>
          </cell>
          <cell r="F52" t="str">
            <v>Pune</v>
          </cell>
          <cell r="G52">
            <v>3</v>
          </cell>
          <cell r="H52">
            <v>4651.09</v>
          </cell>
          <cell r="I52">
            <v>13953.27</v>
          </cell>
          <cell r="J52" t="str">
            <v>B2B</v>
          </cell>
        </row>
        <row r="53">
          <cell r="A53">
            <v>2051</v>
          </cell>
          <cell r="B53" t="str">
            <v>Arjun Reddy</v>
          </cell>
          <cell r="C53" t="str">
            <v>T-Shirts</v>
          </cell>
          <cell r="D53">
            <v>45406</v>
          </cell>
          <cell r="E53">
            <v>45408</v>
          </cell>
          <cell r="F53" t="str">
            <v>Mumbai</v>
          </cell>
          <cell r="G53">
            <v>6</v>
          </cell>
          <cell r="H53">
            <v>3977.22</v>
          </cell>
          <cell r="I53">
            <v>23863.32</v>
          </cell>
          <cell r="J53" t="str">
            <v>B2C</v>
          </cell>
        </row>
        <row r="54">
          <cell r="A54">
            <v>2052</v>
          </cell>
          <cell r="B54" t="str">
            <v>Saranya D</v>
          </cell>
          <cell r="C54" t="str">
            <v>Accessories</v>
          </cell>
          <cell r="D54">
            <v>45070</v>
          </cell>
          <cell r="E54">
            <v>45076</v>
          </cell>
          <cell r="F54" t="str">
            <v>Mumbai</v>
          </cell>
          <cell r="G54">
            <v>2</v>
          </cell>
          <cell r="H54">
            <v>2097.9499999999998</v>
          </cell>
          <cell r="I54">
            <v>4195.8999999999996</v>
          </cell>
          <cell r="J54" t="str">
            <v>B2B</v>
          </cell>
        </row>
        <row r="55">
          <cell r="A55">
            <v>2053</v>
          </cell>
          <cell r="B55" t="str">
            <v>Kavitha S</v>
          </cell>
          <cell r="C55" t="str">
            <v>T-Shirts</v>
          </cell>
          <cell r="D55">
            <v>44970</v>
          </cell>
          <cell r="E55">
            <v>44985</v>
          </cell>
          <cell r="F55" t="str">
            <v>Bangalore</v>
          </cell>
          <cell r="G55">
            <v>6</v>
          </cell>
          <cell r="H55">
            <v>1734.4</v>
          </cell>
          <cell r="I55">
            <v>10406.4</v>
          </cell>
          <cell r="J55" t="str">
            <v>B2B</v>
          </cell>
        </row>
        <row r="56">
          <cell r="A56">
            <v>2054</v>
          </cell>
          <cell r="B56" t="str">
            <v>Lakshmi S</v>
          </cell>
          <cell r="C56" t="str">
            <v>Jeans</v>
          </cell>
          <cell r="D56">
            <v>44957</v>
          </cell>
          <cell r="E56">
            <v>44965</v>
          </cell>
          <cell r="F56" t="str">
            <v>Delhi</v>
          </cell>
          <cell r="G56">
            <v>5</v>
          </cell>
          <cell r="H56">
            <v>4362.46</v>
          </cell>
          <cell r="I56">
            <v>21812.3</v>
          </cell>
          <cell r="J56" t="str">
            <v>B2C</v>
          </cell>
        </row>
        <row r="57">
          <cell r="A57">
            <v>2055</v>
          </cell>
          <cell r="B57" t="str">
            <v>Sneha R</v>
          </cell>
          <cell r="C57" t="str">
            <v>Accessories</v>
          </cell>
          <cell r="D57">
            <v>45605</v>
          </cell>
          <cell r="E57">
            <v>45613</v>
          </cell>
          <cell r="F57" t="str">
            <v>Pune</v>
          </cell>
          <cell r="G57">
            <v>6</v>
          </cell>
          <cell r="H57">
            <v>4714.41</v>
          </cell>
          <cell r="I57">
            <v>28286.46</v>
          </cell>
          <cell r="J57" t="str">
            <v>B2B</v>
          </cell>
        </row>
        <row r="58">
          <cell r="A58">
            <v>2056</v>
          </cell>
          <cell r="B58" t="str">
            <v>Ravi Kumar</v>
          </cell>
          <cell r="C58" t="str">
            <v>T-Shirts</v>
          </cell>
          <cell r="D58">
            <v>45105</v>
          </cell>
          <cell r="E58">
            <v>45107</v>
          </cell>
          <cell r="F58" t="str">
            <v>Chennai</v>
          </cell>
          <cell r="G58">
            <v>7</v>
          </cell>
          <cell r="H58">
            <v>1924.73</v>
          </cell>
          <cell r="I58">
            <v>13473.11</v>
          </cell>
          <cell r="J58" t="str">
            <v>B2C</v>
          </cell>
        </row>
        <row r="59">
          <cell r="A59">
            <v>2057</v>
          </cell>
          <cell r="B59" t="str">
            <v>Pooja M</v>
          </cell>
          <cell r="C59" t="str">
            <v>Shoes</v>
          </cell>
          <cell r="D59">
            <v>45609</v>
          </cell>
          <cell r="E59">
            <v>45612</v>
          </cell>
          <cell r="F59" t="str">
            <v>Bangalore</v>
          </cell>
          <cell r="G59">
            <v>4</v>
          </cell>
          <cell r="H59">
            <v>1497.2</v>
          </cell>
          <cell r="I59">
            <v>5988.8</v>
          </cell>
          <cell r="J59" t="str">
            <v>B2C</v>
          </cell>
        </row>
        <row r="60">
          <cell r="A60">
            <v>2058</v>
          </cell>
          <cell r="B60" t="str">
            <v>Anitha Raj</v>
          </cell>
          <cell r="C60" t="str">
            <v>Shoes</v>
          </cell>
          <cell r="D60">
            <v>44965</v>
          </cell>
          <cell r="E60">
            <v>44972</v>
          </cell>
          <cell r="F60" t="str">
            <v>Bangalore</v>
          </cell>
          <cell r="G60">
            <v>2</v>
          </cell>
          <cell r="H60">
            <v>4759.71</v>
          </cell>
          <cell r="I60">
            <v>9519.42</v>
          </cell>
          <cell r="J60" t="str">
            <v>B2C</v>
          </cell>
        </row>
        <row r="61">
          <cell r="A61">
            <v>2059</v>
          </cell>
          <cell r="B61" t="str">
            <v>Revathi A</v>
          </cell>
          <cell r="C61" t="str">
            <v>Dresses</v>
          </cell>
          <cell r="D61">
            <v>44817</v>
          </cell>
          <cell r="E61">
            <v>44830</v>
          </cell>
          <cell r="F61" t="str">
            <v>Delhi</v>
          </cell>
          <cell r="G61">
            <v>5</v>
          </cell>
          <cell r="H61">
            <v>3434.4</v>
          </cell>
          <cell r="I61">
            <v>17172</v>
          </cell>
          <cell r="J61" t="str">
            <v>B2C</v>
          </cell>
        </row>
        <row r="62">
          <cell r="A62">
            <v>2060</v>
          </cell>
          <cell r="B62" t="str">
            <v>Vijay K</v>
          </cell>
          <cell r="C62" t="str">
            <v>Accessories</v>
          </cell>
          <cell r="D62">
            <v>45167</v>
          </cell>
          <cell r="E62">
            <v>45177</v>
          </cell>
          <cell r="F62" t="str">
            <v>Mumbai</v>
          </cell>
          <cell r="G62">
            <v>4</v>
          </cell>
          <cell r="H62">
            <v>2276.1</v>
          </cell>
          <cell r="I62">
            <v>9104.4</v>
          </cell>
          <cell r="J62" t="str">
            <v>B2C</v>
          </cell>
        </row>
        <row r="63">
          <cell r="A63">
            <v>2061</v>
          </cell>
          <cell r="B63" t="str">
            <v>Saranya D</v>
          </cell>
          <cell r="C63" t="str">
            <v>Accessories</v>
          </cell>
          <cell r="D63">
            <v>44918</v>
          </cell>
          <cell r="E63">
            <v>44929</v>
          </cell>
          <cell r="F63" t="str">
            <v>Hyderabad</v>
          </cell>
          <cell r="G63">
            <v>5</v>
          </cell>
          <cell r="H63">
            <v>2208.5500000000002</v>
          </cell>
          <cell r="I63">
            <v>11042.75</v>
          </cell>
          <cell r="J63" t="str">
            <v>B2B</v>
          </cell>
        </row>
        <row r="64">
          <cell r="A64">
            <v>2062</v>
          </cell>
          <cell r="B64" t="str">
            <v>Divya T</v>
          </cell>
          <cell r="C64" t="str">
            <v>Dresses</v>
          </cell>
          <cell r="D64">
            <v>44992</v>
          </cell>
          <cell r="E64">
            <v>45000</v>
          </cell>
          <cell r="F64" t="str">
            <v>Ahmedabad</v>
          </cell>
          <cell r="G64">
            <v>6</v>
          </cell>
          <cell r="H64">
            <v>2485.44</v>
          </cell>
          <cell r="I64">
            <v>14912.64</v>
          </cell>
          <cell r="J64" t="str">
            <v>B2C</v>
          </cell>
        </row>
        <row r="65">
          <cell r="A65">
            <v>2063</v>
          </cell>
          <cell r="B65" t="str">
            <v>Saranya D</v>
          </cell>
          <cell r="C65" t="str">
            <v>T-Shirts</v>
          </cell>
          <cell r="D65">
            <v>45608</v>
          </cell>
          <cell r="E65">
            <v>45617</v>
          </cell>
          <cell r="F65" t="str">
            <v>Ahmedabad</v>
          </cell>
          <cell r="G65">
            <v>3</v>
          </cell>
          <cell r="H65">
            <v>3396.6</v>
          </cell>
          <cell r="I65">
            <v>10189.799999999999</v>
          </cell>
          <cell r="J65" t="str">
            <v>B2C</v>
          </cell>
        </row>
        <row r="66">
          <cell r="A66">
            <v>2064</v>
          </cell>
          <cell r="B66" t="str">
            <v>Santhosh P</v>
          </cell>
          <cell r="C66" t="str">
            <v>Accessories</v>
          </cell>
          <cell r="D66">
            <v>45248</v>
          </cell>
          <cell r="E66">
            <v>45251</v>
          </cell>
          <cell r="F66" t="str">
            <v>Ahmedabad</v>
          </cell>
          <cell r="G66">
            <v>4</v>
          </cell>
          <cell r="H66">
            <v>3462.14</v>
          </cell>
          <cell r="I66">
            <v>13848.56</v>
          </cell>
          <cell r="J66" t="str">
            <v>B2B</v>
          </cell>
        </row>
        <row r="67">
          <cell r="A67">
            <v>2065</v>
          </cell>
          <cell r="B67" t="str">
            <v>Meena Iyer</v>
          </cell>
          <cell r="C67" t="str">
            <v>T-Shirts</v>
          </cell>
          <cell r="D67">
            <v>44612</v>
          </cell>
          <cell r="E67">
            <v>44614</v>
          </cell>
          <cell r="F67" t="str">
            <v>Mumbai</v>
          </cell>
          <cell r="G67">
            <v>8</v>
          </cell>
          <cell r="H67">
            <v>3172.99</v>
          </cell>
          <cell r="I67">
            <v>25383.919999999998</v>
          </cell>
          <cell r="J67" t="str">
            <v>B2B</v>
          </cell>
        </row>
        <row r="68">
          <cell r="A68">
            <v>2066</v>
          </cell>
          <cell r="B68" t="str">
            <v>Rahul G</v>
          </cell>
          <cell r="C68" t="str">
            <v>Jackets</v>
          </cell>
          <cell r="D68">
            <v>44960</v>
          </cell>
          <cell r="E68">
            <v>44973</v>
          </cell>
          <cell r="F68" t="str">
            <v>Pune</v>
          </cell>
          <cell r="G68">
            <v>7</v>
          </cell>
          <cell r="H68">
            <v>2623.57</v>
          </cell>
          <cell r="I68">
            <v>18364.990000000002</v>
          </cell>
          <cell r="J68" t="str">
            <v>B2B</v>
          </cell>
        </row>
        <row r="69">
          <cell r="A69">
            <v>2067</v>
          </cell>
          <cell r="B69" t="str">
            <v>Deepa K</v>
          </cell>
          <cell r="C69" t="str">
            <v>Accessories</v>
          </cell>
          <cell r="D69">
            <v>44573</v>
          </cell>
          <cell r="E69">
            <v>44587</v>
          </cell>
          <cell r="F69" t="str">
            <v>Ahmedabad</v>
          </cell>
          <cell r="G69">
            <v>2</v>
          </cell>
          <cell r="H69">
            <v>3958.58</v>
          </cell>
          <cell r="I69">
            <v>7917.16</v>
          </cell>
          <cell r="J69" t="str">
            <v>B2B</v>
          </cell>
        </row>
        <row r="70">
          <cell r="A70">
            <v>2068</v>
          </cell>
          <cell r="B70" t="str">
            <v>Arjun Reddy</v>
          </cell>
          <cell r="C70" t="str">
            <v>Accessories</v>
          </cell>
          <cell r="D70">
            <v>45622</v>
          </cell>
          <cell r="E70">
            <v>45631</v>
          </cell>
          <cell r="F70" t="str">
            <v>Chennai</v>
          </cell>
          <cell r="G70">
            <v>4</v>
          </cell>
          <cell r="H70">
            <v>4612.1099999999997</v>
          </cell>
          <cell r="I70">
            <v>18448.439999999999</v>
          </cell>
          <cell r="J70" t="str">
            <v>B2B</v>
          </cell>
        </row>
        <row r="71">
          <cell r="A71">
            <v>2069</v>
          </cell>
          <cell r="B71" t="str">
            <v>Rahul G</v>
          </cell>
          <cell r="C71" t="str">
            <v>T-Shirts</v>
          </cell>
          <cell r="D71">
            <v>45513</v>
          </cell>
          <cell r="E71">
            <v>45525</v>
          </cell>
          <cell r="F71" t="str">
            <v>Hyderabad</v>
          </cell>
          <cell r="G71">
            <v>6</v>
          </cell>
          <cell r="H71">
            <v>4765.1899999999996</v>
          </cell>
          <cell r="I71">
            <v>28591.14</v>
          </cell>
          <cell r="J71" t="str">
            <v>B2C</v>
          </cell>
        </row>
        <row r="72">
          <cell r="A72">
            <v>2070</v>
          </cell>
          <cell r="B72" t="str">
            <v>Revathi A</v>
          </cell>
          <cell r="C72" t="str">
            <v>Accessories</v>
          </cell>
          <cell r="D72">
            <v>45595</v>
          </cell>
          <cell r="E72">
            <v>45603</v>
          </cell>
          <cell r="F72" t="str">
            <v>Ahmedabad</v>
          </cell>
          <cell r="G72">
            <v>8</v>
          </cell>
          <cell r="H72">
            <v>4516.88</v>
          </cell>
          <cell r="I72">
            <v>36135.040000000001</v>
          </cell>
          <cell r="J72" t="str">
            <v>B2C</v>
          </cell>
        </row>
        <row r="73">
          <cell r="A73">
            <v>2071</v>
          </cell>
          <cell r="B73" t="str">
            <v>Rahul G</v>
          </cell>
          <cell r="C73" t="str">
            <v>Dresses</v>
          </cell>
          <cell r="D73">
            <v>45068</v>
          </cell>
          <cell r="E73">
            <v>45083</v>
          </cell>
          <cell r="F73" t="str">
            <v>Pune</v>
          </cell>
          <cell r="G73">
            <v>5</v>
          </cell>
          <cell r="H73">
            <v>3899.32</v>
          </cell>
          <cell r="I73">
            <v>19496.599999999999</v>
          </cell>
          <cell r="J73" t="str">
            <v>B2C</v>
          </cell>
        </row>
        <row r="74">
          <cell r="A74">
            <v>2072</v>
          </cell>
          <cell r="B74" t="str">
            <v>Balaji N</v>
          </cell>
          <cell r="C74" t="str">
            <v>T-Shirts</v>
          </cell>
          <cell r="D74">
            <v>45124</v>
          </cell>
          <cell r="E74">
            <v>45133</v>
          </cell>
          <cell r="F74" t="str">
            <v>Chennai</v>
          </cell>
          <cell r="G74">
            <v>5</v>
          </cell>
          <cell r="H74">
            <v>1402.12</v>
          </cell>
          <cell r="I74">
            <v>7010.6</v>
          </cell>
          <cell r="J74" t="str">
            <v>B2C</v>
          </cell>
        </row>
        <row r="75">
          <cell r="A75">
            <v>2073</v>
          </cell>
          <cell r="B75" t="str">
            <v>Arun Pandi</v>
          </cell>
          <cell r="C75" t="str">
            <v>Shoes</v>
          </cell>
          <cell r="D75">
            <v>44727</v>
          </cell>
          <cell r="E75">
            <v>44731</v>
          </cell>
          <cell r="F75" t="str">
            <v>Mumbai</v>
          </cell>
          <cell r="G75">
            <v>4</v>
          </cell>
          <cell r="H75">
            <v>2100.27</v>
          </cell>
          <cell r="I75">
            <v>8401.08</v>
          </cell>
          <cell r="J75" t="str">
            <v>B2B</v>
          </cell>
        </row>
        <row r="76">
          <cell r="A76">
            <v>2074</v>
          </cell>
          <cell r="B76" t="str">
            <v>Ganesh R</v>
          </cell>
          <cell r="C76" t="str">
            <v>T-Shirts</v>
          </cell>
          <cell r="D76">
            <v>44693</v>
          </cell>
          <cell r="E76">
            <v>44701</v>
          </cell>
          <cell r="F76" t="str">
            <v>Bangalore</v>
          </cell>
          <cell r="G76">
            <v>6</v>
          </cell>
          <cell r="H76">
            <v>2850.27</v>
          </cell>
          <cell r="I76">
            <v>17101.62</v>
          </cell>
          <cell r="J76" t="str">
            <v>B2C</v>
          </cell>
        </row>
        <row r="77">
          <cell r="A77">
            <v>2075</v>
          </cell>
          <cell r="B77" t="str">
            <v>Karthik Vel</v>
          </cell>
          <cell r="C77" t="str">
            <v>T-Shirts</v>
          </cell>
          <cell r="D77">
            <v>45422</v>
          </cell>
          <cell r="E77">
            <v>45430</v>
          </cell>
          <cell r="F77" t="str">
            <v>Ahmedabad</v>
          </cell>
          <cell r="G77">
            <v>1</v>
          </cell>
          <cell r="H77">
            <v>4326.6400000000003</v>
          </cell>
          <cell r="I77">
            <v>4326.6400000000003</v>
          </cell>
          <cell r="J77" t="str">
            <v>B2C</v>
          </cell>
        </row>
        <row r="78">
          <cell r="A78">
            <v>2076</v>
          </cell>
          <cell r="B78" t="str">
            <v>Kavitha S</v>
          </cell>
          <cell r="C78" t="str">
            <v>Jeans</v>
          </cell>
          <cell r="D78">
            <v>45282</v>
          </cell>
          <cell r="E78">
            <v>45288</v>
          </cell>
          <cell r="F78" t="str">
            <v>Ahmedabad</v>
          </cell>
          <cell r="G78">
            <v>7</v>
          </cell>
          <cell r="H78">
            <v>4311.21</v>
          </cell>
          <cell r="I78">
            <v>30178.47</v>
          </cell>
          <cell r="J78" t="str">
            <v>B2C</v>
          </cell>
        </row>
        <row r="79">
          <cell r="A79">
            <v>2077</v>
          </cell>
          <cell r="B79" t="str">
            <v>Nithya R</v>
          </cell>
          <cell r="C79" t="str">
            <v>Accessories</v>
          </cell>
          <cell r="D79">
            <v>45013</v>
          </cell>
          <cell r="E79">
            <v>45022</v>
          </cell>
          <cell r="F79" t="str">
            <v>Mumbai</v>
          </cell>
          <cell r="G79">
            <v>5</v>
          </cell>
          <cell r="H79">
            <v>2348.4299999999998</v>
          </cell>
          <cell r="I79">
            <v>11742.15</v>
          </cell>
          <cell r="J79" t="str">
            <v>B2B</v>
          </cell>
        </row>
        <row r="80">
          <cell r="A80">
            <v>2078</v>
          </cell>
          <cell r="B80" t="str">
            <v>Vijay K</v>
          </cell>
          <cell r="C80" t="str">
            <v>Dresses</v>
          </cell>
          <cell r="D80">
            <v>45390</v>
          </cell>
          <cell r="E80">
            <v>45403</v>
          </cell>
          <cell r="F80" t="str">
            <v>Mumbai</v>
          </cell>
          <cell r="G80">
            <v>8</v>
          </cell>
          <cell r="H80">
            <v>4621.8500000000004</v>
          </cell>
          <cell r="I80">
            <v>36974.800000000003</v>
          </cell>
          <cell r="J80" t="str">
            <v>B2B</v>
          </cell>
        </row>
        <row r="81">
          <cell r="A81">
            <v>2079</v>
          </cell>
          <cell r="B81" t="str">
            <v>Vijay K</v>
          </cell>
          <cell r="C81" t="str">
            <v>Shoes</v>
          </cell>
          <cell r="D81">
            <v>44617</v>
          </cell>
          <cell r="E81">
            <v>44620</v>
          </cell>
          <cell r="F81" t="str">
            <v>Pune</v>
          </cell>
          <cell r="G81">
            <v>7</v>
          </cell>
          <cell r="H81">
            <v>937.79</v>
          </cell>
          <cell r="I81">
            <v>6564.53</v>
          </cell>
          <cell r="J81" t="str">
            <v>B2C</v>
          </cell>
        </row>
        <row r="82">
          <cell r="A82">
            <v>2080</v>
          </cell>
          <cell r="B82" t="str">
            <v>Arjun Reddy</v>
          </cell>
          <cell r="C82" t="str">
            <v>Jeans</v>
          </cell>
          <cell r="D82">
            <v>45094</v>
          </cell>
          <cell r="E82">
            <v>45102</v>
          </cell>
          <cell r="F82" t="str">
            <v>Delhi</v>
          </cell>
          <cell r="G82">
            <v>4</v>
          </cell>
          <cell r="H82">
            <v>2437.09</v>
          </cell>
          <cell r="I82">
            <v>9748.36</v>
          </cell>
          <cell r="J82" t="str">
            <v>B2C</v>
          </cell>
        </row>
        <row r="83">
          <cell r="A83">
            <v>2081</v>
          </cell>
          <cell r="B83" t="str">
            <v>Prakash V</v>
          </cell>
          <cell r="C83" t="str">
            <v>Jackets</v>
          </cell>
          <cell r="D83">
            <v>45131</v>
          </cell>
          <cell r="E83">
            <v>45145</v>
          </cell>
          <cell r="F83" t="str">
            <v>Ahmedabad</v>
          </cell>
          <cell r="G83">
            <v>7</v>
          </cell>
          <cell r="H83">
            <v>1485.68</v>
          </cell>
          <cell r="I83">
            <v>10399.76</v>
          </cell>
          <cell r="J83" t="str">
            <v>B2B</v>
          </cell>
        </row>
        <row r="84">
          <cell r="A84">
            <v>2082</v>
          </cell>
          <cell r="B84" t="str">
            <v>Kavitha S</v>
          </cell>
          <cell r="C84" t="str">
            <v>Jeans</v>
          </cell>
          <cell r="D84">
            <v>44668</v>
          </cell>
          <cell r="E84">
            <v>44675</v>
          </cell>
          <cell r="F84" t="str">
            <v>Mumbai</v>
          </cell>
          <cell r="G84">
            <v>2</v>
          </cell>
          <cell r="H84">
            <v>3971.8</v>
          </cell>
          <cell r="I84">
            <v>7943.6</v>
          </cell>
          <cell r="J84" t="str">
            <v>B2B</v>
          </cell>
        </row>
        <row r="85">
          <cell r="A85">
            <v>2083</v>
          </cell>
          <cell r="B85" t="str">
            <v>Prakash V</v>
          </cell>
          <cell r="C85" t="str">
            <v>Jeans</v>
          </cell>
          <cell r="D85">
            <v>45068</v>
          </cell>
          <cell r="E85">
            <v>45073</v>
          </cell>
          <cell r="F85" t="str">
            <v>Ahmedabad</v>
          </cell>
          <cell r="G85">
            <v>1</v>
          </cell>
          <cell r="H85">
            <v>3220.28</v>
          </cell>
          <cell r="I85">
            <v>3220.28</v>
          </cell>
          <cell r="J85" t="str">
            <v>B2B</v>
          </cell>
        </row>
        <row r="86">
          <cell r="A86">
            <v>2084</v>
          </cell>
          <cell r="B86" t="str">
            <v>Deepa K</v>
          </cell>
          <cell r="C86" t="str">
            <v>Jackets</v>
          </cell>
          <cell r="D86">
            <v>44796</v>
          </cell>
          <cell r="E86">
            <v>44807</v>
          </cell>
          <cell r="F86" t="str">
            <v>Mumbai</v>
          </cell>
          <cell r="G86">
            <v>8</v>
          </cell>
          <cell r="H86">
            <v>3587.49</v>
          </cell>
          <cell r="I86">
            <v>28699.919999999998</v>
          </cell>
          <cell r="J86" t="str">
            <v>B2C</v>
          </cell>
        </row>
        <row r="87">
          <cell r="A87">
            <v>2085</v>
          </cell>
          <cell r="B87" t="str">
            <v>Arjun Reddy</v>
          </cell>
          <cell r="C87" t="str">
            <v>Shoes</v>
          </cell>
          <cell r="D87">
            <v>44796</v>
          </cell>
          <cell r="E87">
            <v>44810</v>
          </cell>
          <cell r="F87" t="str">
            <v>Ahmedabad</v>
          </cell>
          <cell r="G87">
            <v>3</v>
          </cell>
          <cell r="H87">
            <v>4834.1899999999996</v>
          </cell>
          <cell r="I87">
            <v>14502.57</v>
          </cell>
          <cell r="J87" t="str">
            <v>B2B</v>
          </cell>
        </row>
        <row r="88">
          <cell r="A88">
            <v>2086</v>
          </cell>
          <cell r="B88" t="str">
            <v>Manoj K</v>
          </cell>
          <cell r="C88" t="str">
            <v>Jeans</v>
          </cell>
          <cell r="D88">
            <v>45200</v>
          </cell>
          <cell r="E88">
            <v>45211</v>
          </cell>
          <cell r="F88" t="str">
            <v>Pune</v>
          </cell>
          <cell r="G88">
            <v>7</v>
          </cell>
          <cell r="H88">
            <v>2164.2800000000002</v>
          </cell>
          <cell r="I88">
            <v>15149.96</v>
          </cell>
          <cell r="J88" t="str">
            <v>B2B</v>
          </cell>
        </row>
        <row r="89">
          <cell r="A89">
            <v>2087</v>
          </cell>
          <cell r="B89" t="str">
            <v>Priya Nair</v>
          </cell>
          <cell r="C89" t="str">
            <v>Shoes</v>
          </cell>
          <cell r="D89">
            <v>45059</v>
          </cell>
          <cell r="E89">
            <v>45062</v>
          </cell>
          <cell r="F89" t="str">
            <v>Pune</v>
          </cell>
          <cell r="G89">
            <v>5</v>
          </cell>
          <cell r="H89">
            <v>4296.38</v>
          </cell>
          <cell r="I89">
            <v>21481.9</v>
          </cell>
          <cell r="J89" t="str">
            <v>B2B</v>
          </cell>
        </row>
        <row r="90">
          <cell r="A90">
            <v>2088</v>
          </cell>
          <cell r="B90" t="str">
            <v>Manoj K</v>
          </cell>
          <cell r="C90" t="str">
            <v>Jeans</v>
          </cell>
          <cell r="D90">
            <v>45273</v>
          </cell>
          <cell r="E90">
            <v>45283</v>
          </cell>
          <cell r="F90" t="str">
            <v>Bangalore</v>
          </cell>
          <cell r="G90">
            <v>6</v>
          </cell>
          <cell r="H90">
            <v>624.1</v>
          </cell>
          <cell r="I90">
            <v>3744.6</v>
          </cell>
          <cell r="J90" t="str">
            <v>B2C</v>
          </cell>
        </row>
        <row r="91">
          <cell r="A91">
            <v>2089</v>
          </cell>
          <cell r="B91" t="str">
            <v>Anitha Raj</v>
          </cell>
          <cell r="C91" t="str">
            <v>Jackets</v>
          </cell>
          <cell r="D91">
            <v>45565</v>
          </cell>
          <cell r="E91">
            <v>45568</v>
          </cell>
          <cell r="F91" t="str">
            <v>Bangalore</v>
          </cell>
          <cell r="G91">
            <v>6</v>
          </cell>
          <cell r="H91">
            <v>3287.25</v>
          </cell>
          <cell r="I91">
            <v>19723.5</v>
          </cell>
          <cell r="J91" t="str">
            <v>B2C</v>
          </cell>
        </row>
        <row r="92">
          <cell r="A92">
            <v>2090</v>
          </cell>
          <cell r="B92" t="str">
            <v>Ganesh R</v>
          </cell>
          <cell r="C92" t="str">
            <v>T-Shirts</v>
          </cell>
          <cell r="D92">
            <v>45453</v>
          </cell>
          <cell r="E92">
            <v>45457</v>
          </cell>
          <cell r="F92" t="str">
            <v>Pune</v>
          </cell>
          <cell r="G92">
            <v>5</v>
          </cell>
          <cell r="H92">
            <v>3194.79</v>
          </cell>
          <cell r="I92">
            <v>15973.95</v>
          </cell>
          <cell r="J92" t="str">
            <v>B2C</v>
          </cell>
        </row>
        <row r="93">
          <cell r="A93">
            <v>2091</v>
          </cell>
          <cell r="B93" t="str">
            <v>Rahul G</v>
          </cell>
          <cell r="C93" t="str">
            <v>Jackets</v>
          </cell>
          <cell r="D93">
            <v>45111</v>
          </cell>
          <cell r="E93">
            <v>45118</v>
          </cell>
          <cell r="F93" t="str">
            <v>Ahmedabad</v>
          </cell>
          <cell r="G93">
            <v>4</v>
          </cell>
          <cell r="H93">
            <v>4204.4399999999996</v>
          </cell>
          <cell r="I93">
            <v>16817.759999999998</v>
          </cell>
          <cell r="J93" t="str">
            <v>B2B</v>
          </cell>
        </row>
        <row r="94">
          <cell r="A94">
            <v>2092</v>
          </cell>
          <cell r="B94" t="str">
            <v>Ravi Kumar</v>
          </cell>
          <cell r="C94" t="str">
            <v>Jackets</v>
          </cell>
          <cell r="D94">
            <v>45061</v>
          </cell>
          <cell r="E94">
            <v>45075</v>
          </cell>
          <cell r="F94" t="str">
            <v>Bangalore</v>
          </cell>
          <cell r="G94">
            <v>7</v>
          </cell>
          <cell r="H94">
            <v>1881.06</v>
          </cell>
          <cell r="I94">
            <v>13167.42</v>
          </cell>
          <cell r="J94" t="str">
            <v>B2C</v>
          </cell>
        </row>
        <row r="95">
          <cell r="A95">
            <v>2093</v>
          </cell>
          <cell r="B95" t="str">
            <v>Arun Pandi</v>
          </cell>
          <cell r="C95" t="str">
            <v>T-Shirts</v>
          </cell>
          <cell r="D95">
            <v>45560</v>
          </cell>
          <cell r="E95">
            <v>45565</v>
          </cell>
          <cell r="F95" t="str">
            <v>Delhi</v>
          </cell>
          <cell r="G95">
            <v>5</v>
          </cell>
          <cell r="H95">
            <v>1899.59</v>
          </cell>
          <cell r="I95">
            <v>9497.9500000000007</v>
          </cell>
          <cell r="J95" t="str">
            <v>B2C</v>
          </cell>
        </row>
        <row r="96">
          <cell r="A96">
            <v>2094</v>
          </cell>
          <cell r="B96" t="str">
            <v>Nithya R</v>
          </cell>
          <cell r="C96" t="str">
            <v>Jeans</v>
          </cell>
          <cell r="D96">
            <v>45620</v>
          </cell>
          <cell r="E96">
            <v>45625</v>
          </cell>
          <cell r="F96" t="str">
            <v>Chennai</v>
          </cell>
          <cell r="G96">
            <v>4</v>
          </cell>
          <cell r="H96">
            <v>3684.35</v>
          </cell>
          <cell r="I96">
            <v>14737.4</v>
          </cell>
          <cell r="J96" t="str">
            <v>B2C</v>
          </cell>
        </row>
        <row r="97">
          <cell r="A97">
            <v>2095</v>
          </cell>
          <cell r="B97" t="str">
            <v>Nithya R</v>
          </cell>
          <cell r="C97" t="str">
            <v>T-Shirts</v>
          </cell>
          <cell r="D97">
            <v>45537</v>
          </cell>
          <cell r="E97">
            <v>45549</v>
          </cell>
          <cell r="F97" t="str">
            <v>Pune</v>
          </cell>
          <cell r="G97">
            <v>8</v>
          </cell>
          <cell r="H97">
            <v>2406.42</v>
          </cell>
          <cell r="I97">
            <v>19251.36</v>
          </cell>
          <cell r="J97" t="str">
            <v>B2B</v>
          </cell>
        </row>
        <row r="98">
          <cell r="A98">
            <v>2096</v>
          </cell>
          <cell r="B98" t="str">
            <v>Priya Nair</v>
          </cell>
          <cell r="C98" t="str">
            <v>Dresses</v>
          </cell>
          <cell r="D98">
            <v>45015</v>
          </cell>
          <cell r="E98">
            <v>45023</v>
          </cell>
          <cell r="F98" t="str">
            <v>Pune</v>
          </cell>
          <cell r="G98">
            <v>4</v>
          </cell>
          <cell r="H98">
            <v>1739.17</v>
          </cell>
          <cell r="I98">
            <v>6956.68</v>
          </cell>
          <cell r="J98" t="str">
            <v>B2C</v>
          </cell>
        </row>
        <row r="99">
          <cell r="A99">
            <v>2097</v>
          </cell>
          <cell r="B99" t="str">
            <v>Kavitha S</v>
          </cell>
          <cell r="C99" t="str">
            <v>Shoes</v>
          </cell>
          <cell r="D99">
            <v>45649</v>
          </cell>
          <cell r="E99">
            <v>45656</v>
          </cell>
          <cell r="F99" t="str">
            <v>Bangalore</v>
          </cell>
          <cell r="G99">
            <v>6</v>
          </cell>
          <cell r="H99">
            <v>1953.51</v>
          </cell>
          <cell r="I99">
            <v>11721.06</v>
          </cell>
          <cell r="J99" t="str">
            <v>B2C</v>
          </cell>
        </row>
        <row r="100">
          <cell r="A100">
            <v>2098</v>
          </cell>
          <cell r="B100" t="str">
            <v>Ravi Kumar</v>
          </cell>
          <cell r="C100" t="str">
            <v>Dresses</v>
          </cell>
          <cell r="D100">
            <v>45076</v>
          </cell>
          <cell r="E100">
            <v>45081</v>
          </cell>
          <cell r="F100" t="str">
            <v>Chennai</v>
          </cell>
          <cell r="G100">
            <v>4</v>
          </cell>
          <cell r="H100">
            <v>1783.08</v>
          </cell>
          <cell r="I100">
            <v>7132.32</v>
          </cell>
          <cell r="J100" t="str">
            <v>B2B</v>
          </cell>
        </row>
        <row r="101">
          <cell r="A101">
            <v>2099</v>
          </cell>
          <cell r="B101" t="str">
            <v>Meena Iyer</v>
          </cell>
          <cell r="C101" t="str">
            <v>T-Shirts</v>
          </cell>
          <cell r="D101">
            <v>45553</v>
          </cell>
          <cell r="E101">
            <v>45559</v>
          </cell>
          <cell r="F101" t="str">
            <v>Pune</v>
          </cell>
          <cell r="G101">
            <v>5</v>
          </cell>
          <cell r="H101">
            <v>4908.3999999999996</v>
          </cell>
          <cell r="I101">
            <v>24542</v>
          </cell>
          <cell r="J101" t="str">
            <v>B2B</v>
          </cell>
        </row>
        <row r="102">
          <cell r="A102">
            <v>2100</v>
          </cell>
          <cell r="B102" t="str">
            <v>Divya T</v>
          </cell>
          <cell r="C102" t="str">
            <v>T-Shirts</v>
          </cell>
          <cell r="D102">
            <v>45301</v>
          </cell>
          <cell r="E102">
            <v>45305</v>
          </cell>
          <cell r="F102" t="str">
            <v>Delhi</v>
          </cell>
          <cell r="G102">
            <v>1</v>
          </cell>
          <cell r="H102">
            <v>3627.69</v>
          </cell>
          <cell r="I102">
            <v>3627.69</v>
          </cell>
          <cell r="J102" t="str">
            <v>B2B</v>
          </cell>
        </row>
        <row r="103">
          <cell r="A103">
            <v>2101</v>
          </cell>
          <cell r="B103" t="str">
            <v>Ravi Kumar</v>
          </cell>
          <cell r="C103" t="str">
            <v>Jeans</v>
          </cell>
          <cell r="D103">
            <v>44673</v>
          </cell>
          <cell r="E103">
            <v>44683</v>
          </cell>
          <cell r="F103" t="str">
            <v>Delhi</v>
          </cell>
          <cell r="G103">
            <v>3</v>
          </cell>
          <cell r="H103">
            <v>3297.99</v>
          </cell>
          <cell r="I103">
            <v>9893.9699999999993</v>
          </cell>
          <cell r="J103" t="str">
            <v>B2C</v>
          </cell>
        </row>
        <row r="104">
          <cell r="A104">
            <v>2102</v>
          </cell>
          <cell r="B104" t="str">
            <v>Suresh M</v>
          </cell>
          <cell r="C104" t="str">
            <v>Jeans</v>
          </cell>
          <cell r="D104">
            <v>45144</v>
          </cell>
          <cell r="E104">
            <v>45153</v>
          </cell>
          <cell r="F104" t="str">
            <v>Bangalore</v>
          </cell>
          <cell r="G104">
            <v>8</v>
          </cell>
          <cell r="H104">
            <v>1901.32</v>
          </cell>
          <cell r="I104">
            <v>15210.56</v>
          </cell>
          <cell r="J104" t="str">
            <v>B2B</v>
          </cell>
        </row>
        <row r="105">
          <cell r="A105">
            <v>2103</v>
          </cell>
          <cell r="B105" t="str">
            <v>Ravi Kumar</v>
          </cell>
          <cell r="C105" t="str">
            <v>Jackets</v>
          </cell>
          <cell r="D105">
            <v>44795</v>
          </cell>
          <cell r="E105">
            <v>44810</v>
          </cell>
          <cell r="F105" t="str">
            <v>Chennai</v>
          </cell>
          <cell r="G105">
            <v>7</v>
          </cell>
          <cell r="H105">
            <v>2611.21</v>
          </cell>
          <cell r="I105">
            <v>18278.47</v>
          </cell>
          <cell r="J105" t="str">
            <v>B2B</v>
          </cell>
        </row>
        <row r="106">
          <cell r="A106">
            <v>2104</v>
          </cell>
          <cell r="B106" t="str">
            <v>Deepa K</v>
          </cell>
          <cell r="C106" t="str">
            <v>T-Shirts</v>
          </cell>
          <cell r="D106">
            <v>45184</v>
          </cell>
          <cell r="E106">
            <v>45187</v>
          </cell>
          <cell r="F106" t="str">
            <v>Mumbai</v>
          </cell>
          <cell r="G106">
            <v>2</v>
          </cell>
          <cell r="H106">
            <v>2922.94</v>
          </cell>
          <cell r="I106">
            <v>5845.88</v>
          </cell>
          <cell r="J106" t="str">
            <v>B2C</v>
          </cell>
        </row>
        <row r="107">
          <cell r="A107">
            <v>2105</v>
          </cell>
          <cell r="B107" t="str">
            <v>Revathi A</v>
          </cell>
          <cell r="C107" t="str">
            <v>Shoes</v>
          </cell>
          <cell r="D107">
            <v>45024</v>
          </cell>
          <cell r="E107">
            <v>45038</v>
          </cell>
          <cell r="F107" t="str">
            <v>Hyderabad</v>
          </cell>
          <cell r="G107">
            <v>7</v>
          </cell>
          <cell r="H107">
            <v>2417.42</v>
          </cell>
          <cell r="I107">
            <v>16921.939999999999</v>
          </cell>
          <cell r="J107" t="str">
            <v>B2C</v>
          </cell>
        </row>
        <row r="108">
          <cell r="A108">
            <v>2106</v>
          </cell>
          <cell r="B108" t="str">
            <v>Divya T</v>
          </cell>
          <cell r="C108" t="str">
            <v>Shoes</v>
          </cell>
          <cell r="D108">
            <v>45440</v>
          </cell>
          <cell r="E108">
            <v>45446</v>
          </cell>
          <cell r="F108" t="str">
            <v>Hyderabad</v>
          </cell>
          <cell r="G108">
            <v>1</v>
          </cell>
          <cell r="H108">
            <v>3165.27</v>
          </cell>
          <cell r="I108">
            <v>3165.27</v>
          </cell>
          <cell r="J108" t="str">
            <v>B2B</v>
          </cell>
        </row>
        <row r="109">
          <cell r="A109">
            <v>2107</v>
          </cell>
          <cell r="B109" t="str">
            <v>Prakash V</v>
          </cell>
          <cell r="C109" t="str">
            <v>T-Shirts</v>
          </cell>
          <cell r="D109">
            <v>44994</v>
          </cell>
          <cell r="E109">
            <v>45000</v>
          </cell>
          <cell r="F109" t="str">
            <v>Pune</v>
          </cell>
          <cell r="G109">
            <v>2</v>
          </cell>
          <cell r="H109">
            <v>1038.17</v>
          </cell>
          <cell r="I109">
            <v>2076.34</v>
          </cell>
          <cell r="J109" t="str">
            <v>B2B</v>
          </cell>
        </row>
        <row r="110">
          <cell r="A110">
            <v>2108</v>
          </cell>
          <cell r="B110" t="str">
            <v>Nithya R</v>
          </cell>
          <cell r="C110" t="str">
            <v>Jeans</v>
          </cell>
          <cell r="D110">
            <v>44882</v>
          </cell>
          <cell r="E110">
            <v>44884</v>
          </cell>
          <cell r="F110" t="str">
            <v>Bangalore</v>
          </cell>
          <cell r="G110">
            <v>8</v>
          </cell>
          <cell r="H110">
            <v>3540.04</v>
          </cell>
          <cell r="I110">
            <v>28320.32</v>
          </cell>
          <cell r="J110" t="str">
            <v>B2C</v>
          </cell>
        </row>
        <row r="111">
          <cell r="A111">
            <v>2109</v>
          </cell>
          <cell r="B111" t="str">
            <v>Divya T</v>
          </cell>
          <cell r="C111" t="str">
            <v>Jeans</v>
          </cell>
          <cell r="D111">
            <v>45036</v>
          </cell>
          <cell r="E111">
            <v>45042</v>
          </cell>
          <cell r="F111" t="str">
            <v>Pune</v>
          </cell>
          <cell r="G111">
            <v>5</v>
          </cell>
          <cell r="H111">
            <v>3604.04</v>
          </cell>
          <cell r="I111">
            <v>18020.2</v>
          </cell>
          <cell r="J111" t="str">
            <v>B2C</v>
          </cell>
        </row>
        <row r="112">
          <cell r="A112">
            <v>2110</v>
          </cell>
          <cell r="B112" t="str">
            <v>Priya Nair</v>
          </cell>
          <cell r="C112" t="str">
            <v>Accessories</v>
          </cell>
          <cell r="D112">
            <v>45040</v>
          </cell>
          <cell r="E112">
            <v>45046</v>
          </cell>
          <cell r="F112" t="str">
            <v>Ahmedabad</v>
          </cell>
          <cell r="G112">
            <v>4</v>
          </cell>
          <cell r="H112">
            <v>2298.15</v>
          </cell>
          <cell r="I112">
            <v>9192.6</v>
          </cell>
          <cell r="J112" t="str">
            <v>B2B</v>
          </cell>
        </row>
        <row r="113">
          <cell r="A113">
            <v>2111</v>
          </cell>
          <cell r="B113" t="str">
            <v>Balaji N</v>
          </cell>
          <cell r="C113" t="str">
            <v>T-Shirts</v>
          </cell>
          <cell r="D113">
            <v>45106</v>
          </cell>
          <cell r="E113">
            <v>45121</v>
          </cell>
          <cell r="F113" t="str">
            <v>Mumbai</v>
          </cell>
          <cell r="G113">
            <v>2</v>
          </cell>
          <cell r="H113">
            <v>580.29999999999995</v>
          </cell>
          <cell r="I113">
            <v>1160.5999999999999</v>
          </cell>
          <cell r="J113" t="str">
            <v>B2C</v>
          </cell>
        </row>
        <row r="114">
          <cell r="A114">
            <v>2112</v>
          </cell>
          <cell r="B114" t="str">
            <v>Revathi A</v>
          </cell>
          <cell r="C114" t="str">
            <v>Accessories</v>
          </cell>
          <cell r="D114">
            <v>45153</v>
          </cell>
          <cell r="E114">
            <v>45162</v>
          </cell>
          <cell r="F114" t="str">
            <v>Chennai</v>
          </cell>
          <cell r="G114">
            <v>8</v>
          </cell>
          <cell r="H114">
            <v>3536.79</v>
          </cell>
          <cell r="I114">
            <v>28294.32</v>
          </cell>
          <cell r="J114" t="str">
            <v>B2C</v>
          </cell>
        </row>
        <row r="115">
          <cell r="A115">
            <v>2113</v>
          </cell>
          <cell r="B115" t="str">
            <v>Ravi Kumar</v>
          </cell>
          <cell r="C115" t="str">
            <v>Shoes</v>
          </cell>
          <cell r="D115">
            <v>45573</v>
          </cell>
          <cell r="E115">
            <v>45582</v>
          </cell>
          <cell r="F115" t="str">
            <v>Chennai</v>
          </cell>
          <cell r="G115">
            <v>1</v>
          </cell>
          <cell r="H115">
            <v>4480.29</v>
          </cell>
          <cell r="I115">
            <v>4480.29</v>
          </cell>
          <cell r="J115" t="str">
            <v>B2C</v>
          </cell>
        </row>
        <row r="116">
          <cell r="A116">
            <v>2114</v>
          </cell>
          <cell r="B116" t="str">
            <v>Revathi A</v>
          </cell>
          <cell r="C116" t="str">
            <v>Dresses</v>
          </cell>
          <cell r="D116">
            <v>44614</v>
          </cell>
          <cell r="E116">
            <v>44617</v>
          </cell>
          <cell r="F116" t="str">
            <v>Mumbai</v>
          </cell>
          <cell r="G116">
            <v>1</v>
          </cell>
          <cell r="H116">
            <v>4997.99</v>
          </cell>
          <cell r="I116">
            <v>4997.99</v>
          </cell>
          <cell r="J116" t="str">
            <v>B2C</v>
          </cell>
        </row>
        <row r="117">
          <cell r="A117">
            <v>2115</v>
          </cell>
          <cell r="B117" t="str">
            <v>Manoj K</v>
          </cell>
          <cell r="C117" t="str">
            <v>Jeans</v>
          </cell>
          <cell r="D117">
            <v>44920</v>
          </cell>
          <cell r="E117">
            <v>44929</v>
          </cell>
          <cell r="F117" t="str">
            <v>Hyderabad</v>
          </cell>
          <cell r="G117">
            <v>8</v>
          </cell>
          <cell r="H117">
            <v>4605.54</v>
          </cell>
          <cell r="I117">
            <v>36844.32</v>
          </cell>
          <cell r="J117" t="str">
            <v>B2B</v>
          </cell>
        </row>
        <row r="118">
          <cell r="A118">
            <v>2116</v>
          </cell>
          <cell r="B118" t="str">
            <v>Manoj K</v>
          </cell>
          <cell r="C118" t="str">
            <v>Jackets</v>
          </cell>
          <cell r="D118">
            <v>45569</v>
          </cell>
          <cell r="E118">
            <v>45572</v>
          </cell>
          <cell r="F118" t="str">
            <v>Bangalore</v>
          </cell>
          <cell r="G118">
            <v>6</v>
          </cell>
          <cell r="H118">
            <v>2219.2399999999998</v>
          </cell>
          <cell r="I118">
            <v>13315.44</v>
          </cell>
          <cell r="J118" t="str">
            <v>B2C</v>
          </cell>
        </row>
        <row r="119">
          <cell r="A119">
            <v>2117</v>
          </cell>
          <cell r="B119" t="str">
            <v>Saranya D</v>
          </cell>
          <cell r="C119" t="str">
            <v>Jeans</v>
          </cell>
          <cell r="D119">
            <v>44891</v>
          </cell>
          <cell r="E119">
            <v>44898</v>
          </cell>
          <cell r="F119" t="str">
            <v>Bangalore</v>
          </cell>
          <cell r="G119">
            <v>8</v>
          </cell>
          <cell r="H119">
            <v>1654.62</v>
          </cell>
          <cell r="I119">
            <v>13236.96</v>
          </cell>
          <cell r="J119" t="str">
            <v>B2C</v>
          </cell>
        </row>
        <row r="120">
          <cell r="A120">
            <v>2118</v>
          </cell>
          <cell r="B120" t="str">
            <v>Prakash V</v>
          </cell>
          <cell r="C120" t="str">
            <v>Shoes</v>
          </cell>
          <cell r="D120">
            <v>44637</v>
          </cell>
          <cell r="E120">
            <v>44646</v>
          </cell>
          <cell r="F120" t="str">
            <v>Chennai</v>
          </cell>
          <cell r="G120">
            <v>6</v>
          </cell>
          <cell r="H120">
            <v>1486.27</v>
          </cell>
          <cell r="I120">
            <v>8917.6200000000008</v>
          </cell>
          <cell r="J120" t="str">
            <v>B2B</v>
          </cell>
        </row>
        <row r="121">
          <cell r="A121">
            <v>2119</v>
          </cell>
          <cell r="B121" t="str">
            <v>Prakash V</v>
          </cell>
          <cell r="C121" t="str">
            <v>Jackets</v>
          </cell>
          <cell r="D121">
            <v>45615</v>
          </cell>
          <cell r="E121">
            <v>45630</v>
          </cell>
          <cell r="F121" t="str">
            <v>Chennai</v>
          </cell>
          <cell r="G121">
            <v>8</v>
          </cell>
          <cell r="H121">
            <v>2242.2600000000002</v>
          </cell>
          <cell r="I121">
            <v>17938.080000000002</v>
          </cell>
          <cell r="J121" t="str">
            <v>B2B</v>
          </cell>
        </row>
        <row r="122">
          <cell r="A122">
            <v>2120</v>
          </cell>
          <cell r="B122" t="str">
            <v>Santhosh P</v>
          </cell>
          <cell r="C122" t="str">
            <v>Dresses</v>
          </cell>
          <cell r="D122">
            <v>45582</v>
          </cell>
          <cell r="E122">
            <v>45594</v>
          </cell>
          <cell r="F122" t="str">
            <v>Bangalore</v>
          </cell>
          <cell r="G122">
            <v>1</v>
          </cell>
          <cell r="H122">
            <v>1256.72</v>
          </cell>
          <cell r="I122">
            <v>1256.72</v>
          </cell>
          <cell r="J122" t="str">
            <v>B2B</v>
          </cell>
        </row>
        <row r="123">
          <cell r="A123">
            <v>2121</v>
          </cell>
          <cell r="B123" t="str">
            <v>Divya T</v>
          </cell>
          <cell r="C123" t="str">
            <v>Jackets</v>
          </cell>
          <cell r="D123">
            <v>45554</v>
          </cell>
          <cell r="E123">
            <v>45557</v>
          </cell>
          <cell r="F123" t="str">
            <v>Chennai</v>
          </cell>
          <cell r="G123">
            <v>4</v>
          </cell>
          <cell r="H123">
            <v>3635.98</v>
          </cell>
          <cell r="I123">
            <v>14543.92</v>
          </cell>
          <cell r="J123" t="str">
            <v>B2C</v>
          </cell>
        </row>
        <row r="124">
          <cell r="A124">
            <v>2122</v>
          </cell>
          <cell r="B124" t="str">
            <v>Nithya R</v>
          </cell>
          <cell r="C124" t="str">
            <v>Jeans</v>
          </cell>
          <cell r="D124">
            <v>45397</v>
          </cell>
          <cell r="E124">
            <v>45400</v>
          </cell>
          <cell r="F124" t="str">
            <v>Mumbai</v>
          </cell>
          <cell r="G124">
            <v>2</v>
          </cell>
          <cell r="H124">
            <v>2468.81</v>
          </cell>
          <cell r="I124">
            <v>4937.62</v>
          </cell>
          <cell r="J124" t="str">
            <v>B2B</v>
          </cell>
        </row>
        <row r="125">
          <cell r="A125">
            <v>2123</v>
          </cell>
          <cell r="B125" t="str">
            <v>Balaji N</v>
          </cell>
          <cell r="C125" t="str">
            <v>T-Shirts</v>
          </cell>
          <cell r="D125">
            <v>45582</v>
          </cell>
          <cell r="E125">
            <v>45595</v>
          </cell>
          <cell r="F125" t="str">
            <v>Delhi</v>
          </cell>
          <cell r="G125">
            <v>5</v>
          </cell>
          <cell r="H125">
            <v>2252.8000000000002</v>
          </cell>
          <cell r="I125">
            <v>11264</v>
          </cell>
          <cell r="J125" t="str">
            <v>B2C</v>
          </cell>
        </row>
        <row r="126">
          <cell r="A126">
            <v>2124</v>
          </cell>
          <cell r="B126" t="str">
            <v>Kavitha S</v>
          </cell>
          <cell r="C126" t="str">
            <v>T-Shirts</v>
          </cell>
          <cell r="D126">
            <v>45497</v>
          </cell>
          <cell r="E126">
            <v>45507</v>
          </cell>
          <cell r="F126" t="str">
            <v>Mumbai</v>
          </cell>
          <cell r="G126">
            <v>7</v>
          </cell>
          <cell r="H126">
            <v>1195.8699999999999</v>
          </cell>
          <cell r="I126">
            <v>8371.09</v>
          </cell>
          <cell r="J126" t="str">
            <v>B2B</v>
          </cell>
        </row>
        <row r="127">
          <cell r="A127">
            <v>2125</v>
          </cell>
          <cell r="B127" t="str">
            <v>Priya Nair</v>
          </cell>
          <cell r="C127" t="str">
            <v>Dresses</v>
          </cell>
          <cell r="D127">
            <v>45411</v>
          </cell>
          <cell r="E127">
            <v>45418</v>
          </cell>
          <cell r="F127" t="str">
            <v>Ahmedabad</v>
          </cell>
          <cell r="G127">
            <v>5</v>
          </cell>
          <cell r="H127">
            <v>4156.58</v>
          </cell>
          <cell r="I127">
            <v>20782.900000000001</v>
          </cell>
          <cell r="J127" t="str">
            <v>B2C</v>
          </cell>
        </row>
        <row r="128">
          <cell r="A128">
            <v>2126</v>
          </cell>
          <cell r="B128" t="str">
            <v>Uma S</v>
          </cell>
          <cell r="C128" t="str">
            <v>Dresses</v>
          </cell>
          <cell r="D128">
            <v>45564</v>
          </cell>
          <cell r="E128">
            <v>45579</v>
          </cell>
          <cell r="F128" t="str">
            <v>Mumbai</v>
          </cell>
          <cell r="G128">
            <v>8</v>
          </cell>
          <cell r="H128">
            <v>2831.33</v>
          </cell>
          <cell r="I128">
            <v>22650.639999999999</v>
          </cell>
          <cell r="J128" t="str">
            <v>B2C</v>
          </cell>
        </row>
        <row r="129">
          <cell r="A129">
            <v>2127</v>
          </cell>
          <cell r="B129" t="str">
            <v>Arun Pandi</v>
          </cell>
          <cell r="C129" t="str">
            <v>Shoes</v>
          </cell>
          <cell r="D129">
            <v>45334</v>
          </cell>
          <cell r="E129">
            <v>45343</v>
          </cell>
          <cell r="F129" t="str">
            <v>Delhi</v>
          </cell>
          <cell r="G129">
            <v>4</v>
          </cell>
          <cell r="H129">
            <v>4909.6400000000003</v>
          </cell>
          <cell r="I129">
            <v>19638.560000000001</v>
          </cell>
          <cell r="J129" t="str">
            <v>B2B</v>
          </cell>
        </row>
        <row r="130">
          <cell r="A130">
            <v>2128</v>
          </cell>
          <cell r="B130" t="str">
            <v>Manoj K</v>
          </cell>
          <cell r="C130" t="str">
            <v>Jackets</v>
          </cell>
          <cell r="D130">
            <v>45040</v>
          </cell>
          <cell r="E130">
            <v>45055</v>
          </cell>
          <cell r="F130" t="str">
            <v>Ahmedabad</v>
          </cell>
          <cell r="G130">
            <v>7</v>
          </cell>
          <cell r="H130">
            <v>505.14</v>
          </cell>
          <cell r="I130">
            <v>3535.98</v>
          </cell>
          <cell r="J130" t="str">
            <v>B2C</v>
          </cell>
        </row>
        <row r="131">
          <cell r="A131">
            <v>2129</v>
          </cell>
          <cell r="B131" t="str">
            <v>Ganesh R</v>
          </cell>
          <cell r="C131" t="str">
            <v>Jackets</v>
          </cell>
          <cell r="D131">
            <v>45352</v>
          </cell>
          <cell r="E131">
            <v>45364</v>
          </cell>
          <cell r="F131" t="str">
            <v>Ahmedabad</v>
          </cell>
          <cell r="G131">
            <v>3</v>
          </cell>
          <cell r="H131">
            <v>2628.04</v>
          </cell>
          <cell r="I131">
            <v>7884.12</v>
          </cell>
          <cell r="J131" t="str">
            <v>B2B</v>
          </cell>
        </row>
        <row r="132">
          <cell r="A132">
            <v>2130</v>
          </cell>
          <cell r="B132" t="str">
            <v>Deepa K</v>
          </cell>
          <cell r="C132" t="str">
            <v>Shoes</v>
          </cell>
          <cell r="D132">
            <v>45241</v>
          </cell>
          <cell r="E132">
            <v>45256</v>
          </cell>
          <cell r="F132" t="str">
            <v>Chennai</v>
          </cell>
          <cell r="G132">
            <v>8</v>
          </cell>
          <cell r="H132">
            <v>768.64</v>
          </cell>
          <cell r="I132">
            <v>6149.12</v>
          </cell>
          <cell r="J132" t="str">
            <v>B2C</v>
          </cell>
        </row>
        <row r="133">
          <cell r="A133">
            <v>2131</v>
          </cell>
          <cell r="B133" t="str">
            <v>Anitha Raj</v>
          </cell>
          <cell r="C133" t="str">
            <v>Accessories</v>
          </cell>
          <cell r="D133">
            <v>44857</v>
          </cell>
          <cell r="E133">
            <v>44865</v>
          </cell>
          <cell r="F133" t="str">
            <v>Ahmedabad</v>
          </cell>
          <cell r="G133">
            <v>3</v>
          </cell>
          <cell r="H133">
            <v>651.69000000000005</v>
          </cell>
          <cell r="I133">
            <v>1955.07</v>
          </cell>
          <cell r="J133" t="str">
            <v>B2C</v>
          </cell>
        </row>
        <row r="134">
          <cell r="A134">
            <v>2132</v>
          </cell>
          <cell r="B134" t="str">
            <v>Arun Pandi</v>
          </cell>
          <cell r="C134" t="str">
            <v>Shoes</v>
          </cell>
          <cell r="D134">
            <v>45376</v>
          </cell>
          <cell r="E134">
            <v>45388</v>
          </cell>
          <cell r="F134" t="str">
            <v>Chennai</v>
          </cell>
          <cell r="G134">
            <v>6</v>
          </cell>
          <cell r="H134">
            <v>4306</v>
          </cell>
          <cell r="I134">
            <v>25836</v>
          </cell>
          <cell r="J134" t="str">
            <v>B2C</v>
          </cell>
        </row>
        <row r="135">
          <cell r="A135">
            <v>2133</v>
          </cell>
          <cell r="B135" t="str">
            <v>Arun Pandi</v>
          </cell>
          <cell r="C135" t="str">
            <v>Accessories</v>
          </cell>
          <cell r="D135">
            <v>45561</v>
          </cell>
          <cell r="E135">
            <v>45576</v>
          </cell>
          <cell r="F135" t="str">
            <v>Hyderabad</v>
          </cell>
          <cell r="G135">
            <v>1</v>
          </cell>
          <cell r="H135">
            <v>3202.06</v>
          </cell>
          <cell r="I135">
            <v>3202.06</v>
          </cell>
          <cell r="J135" t="str">
            <v>B2B</v>
          </cell>
        </row>
        <row r="136">
          <cell r="A136">
            <v>2134</v>
          </cell>
          <cell r="B136" t="str">
            <v>Balaji N</v>
          </cell>
          <cell r="C136" t="str">
            <v>Accessories</v>
          </cell>
          <cell r="D136">
            <v>45150</v>
          </cell>
          <cell r="E136">
            <v>45155</v>
          </cell>
          <cell r="F136" t="str">
            <v>Pune</v>
          </cell>
          <cell r="G136">
            <v>2</v>
          </cell>
          <cell r="H136">
            <v>2339.67</v>
          </cell>
          <cell r="I136">
            <v>4679.34</v>
          </cell>
          <cell r="J136" t="str">
            <v>B2B</v>
          </cell>
        </row>
        <row r="137">
          <cell r="A137">
            <v>2135</v>
          </cell>
          <cell r="B137" t="str">
            <v>Prakash V</v>
          </cell>
          <cell r="C137" t="str">
            <v>Accessories</v>
          </cell>
          <cell r="D137">
            <v>44767</v>
          </cell>
          <cell r="E137">
            <v>44776</v>
          </cell>
          <cell r="F137" t="str">
            <v>Mumbai</v>
          </cell>
          <cell r="G137">
            <v>5</v>
          </cell>
          <cell r="H137">
            <v>4546.09</v>
          </cell>
          <cell r="I137">
            <v>22730.45</v>
          </cell>
          <cell r="J137" t="str">
            <v>B2B</v>
          </cell>
        </row>
        <row r="138">
          <cell r="A138">
            <v>2136</v>
          </cell>
          <cell r="B138" t="str">
            <v>Arun Pandi</v>
          </cell>
          <cell r="C138" t="str">
            <v>Jeans</v>
          </cell>
          <cell r="D138">
            <v>45162</v>
          </cell>
          <cell r="E138">
            <v>45169</v>
          </cell>
          <cell r="F138" t="str">
            <v>Delhi</v>
          </cell>
          <cell r="G138">
            <v>7</v>
          </cell>
          <cell r="H138">
            <v>984.18</v>
          </cell>
          <cell r="I138">
            <v>6889.26</v>
          </cell>
          <cell r="J138" t="str">
            <v>B2C</v>
          </cell>
        </row>
        <row r="139">
          <cell r="A139">
            <v>2137</v>
          </cell>
          <cell r="B139" t="str">
            <v>Manoj K</v>
          </cell>
          <cell r="C139" t="str">
            <v>Accessories</v>
          </cell>
          <cell r="D139">
            <v>44930</v>
          </cell>
          <cell r="E139">
            <v>44934</v>
          </cell>
          <cell r="F139" t="str">
            <v>Mumbai</v>
          </cell>
          <cell r="G139">
            <v>2</v>
          </cell>
          <cell r="H139">
            <v>3164.61</v>
          </cell>
          <cell r="I139">
            <v>6329.22</v>
          </cell>
          <cell r="J139" t="str">
            <v>B2C</v>
          </cell>
        </row>
        <row r="140">
          <cell r="A140">
            <v>2138</v>
          </cell>
          <cell r="B140" t="str">
            <v>Revathi A</v>
          </cell>
          <cell r="C140" t="str">
            <v>Accessories</v>
          </cell>
          <cell r="D140">
            <v>45055</v>
          </cell>
          <cell r="E140">
            <v>45064</v>
          </cell>
          <cell r="F140" t="str">
            <v>Hyderabad</v>
          </cell>
          <cell r="G140">
            <v>3</v>
          </cell>
          <cell r="H140">
            <v>1391.29</v>
          </cell>
          <cell r="I140">
            <v>4173.87</v>
          </cell>
          <cell r="J140" t="str">
            <v>B2C</v>
          </cell>
        </row>
        <row r="141">
          <cell r="A141">
            <v>2139</v>
          </cell>
          <cell r="B141" t="str">
            <v>Rahul G</v>
          </cell>
          <cell r="C141" t="str">
            <v>Dresses</v>
          </cell>
          <cell r="D141">
            <v>44581</v>
          </cell>
          <cell r="E141">
            <v>44595</v>
          </cell>
          <cell r="F141" t="str">
            <v>Bangalore</v>
          </cell>
          <cell r="G141">
            <v>5</v>
          </cell>
          <cell r="H141">
            <v>3484.77</v>
          </cell>
          <cell r="I141">
            <v>17423.849999999999</v>
          </cell>
          <cell r="J141" t="str">
            <v>B2B</v>
          </cell>
        </row>
        <row r="142">
          <cell r="A142">
            <v>2140</v>
          </cell>
          <cell r="B142" t="str">
            <v>Priya Nair</v>
          </cell>
          <cell r="C142" t="str">
            <v>Jackets</v>
          </cell>
          <cell r="D142">
            <v>45269</v>
          </cell>
          <cell r="E142">
            <v>45280</v>
          </cell>
          <cell r="F142" t="str">
            <v>Delhi</v>
          </cell>
          <cell r="G142">
            <v>7</v>
          </cell>
          <cell r="H142">
            <v>3544.47</v>
          </cell>
          <cell r="I142">
            <v>24811.29</v>
          </cell>
          <cell r="J142" t="str">
            <v>B2C</v>
          </cell>
        </row>
        <row r="143">
          <cell r="A143">
            <v>2141</v>
          </cell>
          <cell r="B143" t="str">
            <v>Divya T</v>
          </cell>
          <cell r="C143" t="str">
            <v>T-Shirts</v>
          </cell>
          <cell r="D143">
            <v>45349</v>
          </cell>
          <cell r="E143">
            <v>45364</v>
          </cell>
          <cell r="F143" t="str">
            <v>Bangalore</v>
          </cell>
          <cell r="G143">
            <v>2</v>
          </cell>
          <cell r="H143">
            <v>1414.87</v>
          </cell>
          <cell r="I143">
            <v>2829.74</v>
          </cell>
          <cell r="J143" t="str">
            <v>B2C</v>
          </cell>
        </row>
        <row r="144">
          <cell r="A144">
            <v>2142</v>
          </cell>
          <cell r="B144" t="str">
            <v>Manoj K</v>
          </cell>
          <cell r="C144" t="str">
            <v>Dresses</v>
          </cell>
          <cell r="D144">
            <v>45166</v>
          </cell>
          <cell r="E144">
            <v>45168</v>
          </cell>
          <cell r="F144" t="str">
            <v>Ahmedabad</v>
          </cell>
          <cell r="G144">
            <v>7</v>
          </cell>
          <cell r="H144">
            <v>1590.06</v>
          </cell>
          <cell r="I144">
            <v>11130.42</v>
          </cell>
          <cell r="J144" t="str">
            <v>B2B</v>
          </cell>
        </row>
        <row r="145">
          <cell r="A145">
            <v>2143</v>
          </cell>
          <cell r="B145" t="str">
            <v>Revathi A</v>
          </cell>
          <cell r="C145" t="str">
            <v>Accessories</v>
          </cell>
          <cell r="D145">
            <v>45579</v>
          </cell>
          <cell r="E145">
            <v>45594</v>
          </cell>
          <cell r="F145" t="str">
            <v>Delhi</v>
          </cell>
          <cell r="G145">
            <v>4</v>
          </cell>
          <cell r="H145">
            <v>3153.21</v>
          </cell>
          <cell r="I145">
            <v>12612.84</v>
          </cell>
          <cell r="J145" t="str">
            <v>B2C</v>
          </cell>
        </row>
        <row r="146">
          <cell r="A146">
            <v>2144</v>
          </cell>
          <cell r="B146" t="str">
            <v>Lakshmi S</v>
          </cell>
          <cell r="C146" t="str">
            <v>Accessories</v>
          </cell>
          <cell r="D146">
            <v>44951</v>
          </cell>
          <cell r="E146">
            <v>44962</v>
          </cell>
          <cell r="F146" t="str">
            <v>Delhi</v>
          </cell>
          <cell r="G146">
            <v>3</v>
          </cell>
          <cell r="H146">
            <v>3252.77</v>
          </cell>
          <cell r="I146">
            <v>9758.31</v>
          </cell>
          <cell r="J146" t="str">
            <v>B2B</v>
          </cell>
        </row>
        <row r="147">
          <cell r="A147">
            <v>2145</v>
          </cell>
          <cell r="B147" t="str">
            <v>Divya T</v>
          </cell>
          <cell r="C147" t="str">
            <v>Jackets</v>
          </cell>
          <cell r="D147">
            <v>44630</v>
          </cell>
          <cell r="E147">
            <v>44641</v>
          </cell>
          <cell r="F147" t="str">
            <v>Delhi</v>
          </cell>
          <cell r="G147">
            <v>3</v>
          </cell>
          <cell r="H147">
            <v>723.63</v>
          </cell>
          <cell r="I147">
            <v>2170.89</v>
          </cell>
          <cell r="J147" t="str">
            <v>B2C</v>
          </cell>
        </row>
        <row r="148">
          <cell r="A148">
            <v>2146</v>
          </cell>
          <cell r="B148" t="str">
            <v>Arun Pandi</v>
          </cell>
          <cell r="C148" t="str">
            <v>Accessories</v>
          </cell>
          <cell r="D148">
            <v>45412</v>
          </cell>
          <cell r="E148">
            <v>45416</v>
          </cell>
          <cell r="F148" t="str">
            <v>Mumbai</v>
          </cell>
          <cell r="G148">
            <v>3</v>
          </cell>
          <cell r="H148">
            <v>3996.61</v>
          </cell>
          <cell r="I148">
            <v>11989.83</v>
          </cell>
          <cell r="J148" t="str">
            <v>B2C</v>
          </cell>
        </row>
        <row r="149">
          <cell r="A149">
            <v>2147</v>
          </cell>
          <cell r="B149" t="str">
            <v>Santhosh P</v>
          </cell>
          <cell r="C149" t="str">
            <v>Shoes</v>
          </cell>
          <cell r="D149">
            <v>45120</v>
          </cell>
          <cell r="E149">
            <v>45135</v>
          </cell>
          <cell r="F149" t="str">
            <v>Mumbai</v>
          </cell>
          <cell r="G149">
            <v>5</v>
          </cell>
          <cell r="H149">
            <v>4596.03</v>
          </cell>
          <cell r="I149">
            <v>22980.15</v>
          </cell>
          <cell r="J149" t="str">
            <v>B2C</v>
          </cell>
        </row>
        <row r="150">
          <cell r="A150">
            <v>2148</v>
          </cell>
          <cell r="B150" t="str">
            <v>Divya T</v>
          </cell>
          <cell r="C150" t="str">
            <v>Accessories</v>
          </cell>
          <cell r="D150">
            <v>45255</v>
          </cell>
          <cell r="E150">
            <v>45269</v>
          </cell>
          <cell r="F150" t="str">
            <v>Chennai</v>
          </cell>
          <cell r="G150">
            <v>8</v>
          </cell>
          <cell r="H150">
            <v>4825.6000000000004</v>
          </cell>
          <cell r="I150">
            <v>38604.800000000003</v>
          </cell>
          <cell r="J150" t="str">
            <v>B2B</v>
          </cell>
        </row>
        <row r="151">
          <cell r="A151">
            <v>2149</v>
          </cell>
          <cell r="B151" t="str">
            <v>Prakash V</v>
          </cell>
          <cell r="C151" t="str">
            <v>T-Shirts</v>
          </cell>
          <cell r="D151">
            <v>45375</v>
          </cell>
          <cell r="E151">
            <v>45390</v>
          </cell>
          <cell r="F151" t="str">
            <v>Ahmedabad</v>
          </cell>
          <cell r="G151">
            <v>6</v>
          </cell>
          <cell r="H151">
            <v>724.42</v>
          </cell>
          <cell r="I151">
            <v>4346.5200000000004</v>
          </cell>
          <cell r="J151" t="str">
            <v>B2C</v>
          </cell>
        </row>
        <row r="152">
          <cell r="A152">
            <v>2150</v>
          </cell>
          <cell r="B152" t="str">
            <v>Anitha Raj</v>
          </cell>
          <cell r="C152" t="str">
            <v>Dresses</v>
          </cell>
          <cell r="D152">
            <v>44815</v>
          </cell>
          <cell r="E152">
            <v>44824</v>
          </cell>
          <cell r="F152" t="str">
            <v>Delhi</v>
          </cell>
          <cell r="G152">
            <v>5</v>
          </cell>
          <cell r="H152">
            <v>3047.43</v>
          </cell>
          <cell r="I152">
            <v>15237.15</v>
          </cell>
          <cell r="J152" t="str">
            <v>B2C</v>
          </cell>
        </row>
        <row r="153">
          <cell r="A153">
            <v>2151</v>
          </cell>
          <cell r="B153" t="str">
            <v>Suresh M</v>
          </cell>
          <cell r="C153" t="str">
            <v>Accessories</v>
          </cell>
          <cell r="D153">
            <v>45040</v>
          </cell>
          <cell r="E153">
            <v>45049</v>
          </cell>
          <cell r="F153" t="str">
            <v>Chennai</v>
          </cell>
          <cell r="G153">
            <v>6</v>
          </cell>
          <cell r="H153">
            <v>4601.7</v>
          </cell>
          <cell r="I153">
            <v>27610.2</v>
          </cell>
          <cell r="J153" t="str">
            <v>B2B</v>
          </cell>
        </row>
        <row r="154">
          <cell r="A154">
            <v>2152</v>
          </cell>
          <cell r="B154" t="str">
            <v>Balaji N</v>
          </cell>
          <cell r="C154" t="str">
            <v>Jeans</v>
          </cell>
          <cell r="D154">
            <v>45512</v>
          </cell>
          <cell r="E154">
            <v>45525</v>
          </cell>
          <cell r="F154" t="str">
            <v>Delhi</v>
          </cell>
          <cell r="G154">
            <v>7</v>
          </cell>
          <cell r="H154">
            <v>848.38</v>
          </cell>
          <cell r="I154">
            <v>5938.66</v>
          </cell>
          <cell r="J154" t="str">
            <v>B2B</v>
          </cell>
        </row>
        <row r="155">
          <cell r="A155">
            <v>2153</v>
          </cell>
          <cell r="B155" t="str">
            <v>Karthik Vel</v>
          </cell>
          <cell r="C155" t="str">
            <v>Dresses</v>
          </cell>
          <cell r="D155">
            <v>45570</v>
          </cell>
          <cell r="E155">
            <v>45573</v>
          </cell>
          <cell r="F155" t="str">
            <v>Chennai</v>
          </cell>
          <cell r="G155">
            <v>4</v>
          </cell>
          <cell r="H155">
            <v>4470.12</v>
          </cell>
          <cell r="I155">
            <v>17880.48</v>
          </cell>
          <cell r="J155" t="str">
            <v>B2B</v>
          </cell>
        </row>
        <row r="156">
          <cell r="A156">
            <v>2154</v>
          </cell>
          <cell r="B156" t="str">
            <v>Vijay K</v>
          </cell>
          <cell r="C156" t="str">
            <v>Jackets</v>
          </cell>
          <cell r="D156">
            <v>45321</v>
          </cell>
          <cell r="E156">
            <v>45333</v>
          </cell>
          <cell r="F156" t="str">
            <v>Pune</v>
          </cell>
          <cell r="G156">
            <v>7</v>
          </cell>
          <cell r="H156">
            <v>3060.5</v>
          </cell>
          <cell r="I156">
            <v>21423.5</v>
          </cell>
          <cell r="J156" t="str">
            <v>B2B</v>
          </cell>
        </row>
        <row r="157">
          <cell r="A157">
            <v>2155</v>
          </cell>
          <cell r="B157" t="str">
            <v>Pooja M</v>
          </cell>
          <cell r="C157" t="str">
            <v>Accessories</v>
          </cell>
          <cell r="D157">
            <v>44764</v>
          </cell>
          <cell r="E157">
            <v>44779</v>
          </cell>
          <cell r="F157" t="str">
            <v>Bangalore</v>
          </cell>
          <cell r="G157">
            <v>7</v>
          </cell>
          <cell r="H157">
            <v>4713.55</v>
          </cell>
          <cell r="I157">
            <v>32994.85</v>
          </cell>
          <cell r="J157" t="str">
            <v>B2C</v>
          </cell>
        </row>
        <row r="158">
          <cell r="A158">
            <v>2156</v>
          </cell>
          <cell r="B158" t="str">
            <v>Karthik Vel</v>
          </cell>
          <cell r="C158" t="str">
            <v>Accessories</v>
          </cell>
          <cell r="D158">
            <v>45320</v>
          </cell>
          <cell r="E158">
            <v>45325</v>
          </cell>
          <cell r="F158" t="str">
            <v>Bangalore</v>
          </cell>
          <cell r="G158">
            <v>8</v>
          </cell>
          <cell r="H158">
            <v>4767.6099999999997</v>
          </cell>
          <cell r="I158">
            <v>38140.879999999997</v>
          </cell>
          <cell r="J158" t="str">
            <v>B2C</v>
          </cell>
        </row>
        <row r="159">
          <cell r="A159">
            <v>2157</v>
          </cell>
          <cell r="B159" t="str">
            <v>Suresh M</v>
          </cell>
          <cell r="C159" t="str">
            <v>Accessories</v>
          </cell>
          <cell r="D159">
            <v>45314</v>
          </cell>
          <cell r="E159">
            <v>45324</v>
          </cell>
          <cell r="F159" t="str">
            <v>Pune</v>
          </cell>
          <cell r="G159">
            <v>6</v>
          </cell>
          <cell r="H159">
            <v>584.59</v>
          </cell>
          <cell r="I159">
            <v>3507.54</v>
          </cell>
          <cell r="J159" t="str">
            <v>B2C</v>
          </cell>
        </row>
        <row r="160">
          <cell r="A160">
            <v>2158</v>
          </cell>
          <cell r="B160" t="str">
            <v>Meena Iyer</v>
          </cell>
          <cell r="C160" t="str">
            <v>Jeans</v>
          </cell>
          <cell r="D160">
            <v>45493</v>
          </cell>
          <cell r="E160">
            <v>45496</v>
          </cell>
          <cell r="F160" t="str">
            <v>Pune</v>
          </cell>
          <cell r="G160">
            <v>4</v>
          </cell>
          <cell r="H160">
            <v>3316.01</v>
          </cell>
          <cell r="I160">
            <v>13264.04</v>
          </cell>
          <cell r="J160" t="str">
            <v>B2B</v>
          </cell>
        </row>
        <row r="161">
          <cell r="A161">
            <v>2159</v>
          </cell>
          <cell r="B161" t="str">
            <v>Karthik Vel</v>
          </cell>
          <cell r="C161" t="str">
            <v>Dresses</v>
          </cell>
          <cell r="D161">
            <v>45060</v>
          </cell>
          <cell r="E161">
            <v>45064</v>
          </cell>
          <cell r="F161" t="str">
            <v>Ahmedabad</v>
          </cell>
          <cell r="G161">
            <v>4</v>
          </cell>
          <cell r="H161">
            <v>622.47</v>
          </cell>
          <cell r="I161">
            <v>2489.88</v>
          </cell>
          <cell r="J161" t="str">
            <v>B2B</v>
          </cell>
        </row>
        <row r="162">
          <cell r="A162">
            <v>2160</v>
          </cell>
          <cell r="B162" t="str">
            <v>Manoj K</v>
          </cell>
          <cell r="C162" t="str">
            <v>T-Shirts</v>
          </cell>
          <cell r="D162">
            <v>45039</v>
          </cell>
          <cell r="E162">
            <v>45046</v>
          </cell>
          <cell r="F162" t="str">
            <v>Ahmedabad</v>
          </cell>
          <cell r="G162">
            <v>3</v>
          </cell>
          <cell r="H162">
            <v>4006.63</v>
          </cell>
          <cell r="I162">
            <v>12019.89</v>
          </cell>
          <cell r="J162" t="str">
            <v>B2B</v>
          </cell>
        </row>
        <row r="163">
          <cell r="A163">
            <v>2161</v>
          </cell>
          <cell r="B163" t="str">
            <v>Ravi Kumar</v>
          </cell>
          <cell r="C163" t="str">
            <v>T-Shirts</v>
          </cell>
          <cell r="D163">
            <v>44828</v>
          </cell>
          <cell r="E163">
            <v>44838</v>
          </cell>
          <cell r="F163" t="str">
            <v>Delhi</v>
          </cell>
          <cell r="G163">
            <v>3</v>
          </cell>
          <cell r="H163">
            <v>816.65</v>
          </cell>
          <cell r="I163">
            <v>2449.9499999999998</v>
          </cell>
          <cell r="J163" t="str">
            <v>B2B</v>
          </cell>
        </row>
        <row r="164">
          <cell r="A164">
            <v>2162</v>
          </cell>
          <cell r="B164" t="str">
            <v>Deepa K</v>
          </cell>
          <cell r="C164" t="str">
            <v>Jeans</v>
          </cell>
          <cell r="D164">
            <v>45295</v>
          </cell>
          <cell r="E164">
            <v>45309</v>
          </cell>
          <cell r="F164" t="str">
            <v>Ahmedabad</v>
          </cell>
          <cell r="G164">
            <v>4</v>
          </cell>
          <cell r="H164">
            <v>3067.61</v>
          </cell>
          <cell r="I164">
            <v>12270.44</v>
          </cell>
          <cell r="J164" t="str">
            <v>B2B</v>
          </cell>
        </row>
        <row r="165">
          <cell r="A165">
            <v>2163</v>
          </cell>
          <cell r="B165" t="str">
            <v>Arjun Reddy</v>
          </cell>
          <cell r="C165" t="str">
            <v>Dresses</v>
          </cell>
          <cell r="D165">
            <v>44669</v>
          </cell>
          <cell r="E165">
            <v>44673</v>
          </cell>
          <cell r="F165" t="str">
            <v>Pune</v>
          </cell>
          <cell r="G165">
            <v>7</v>
          </cell>
          <cell r="H165">
            <v>2772.6</v>
          </cell>
          <cell r="I165">
            <v>19408.2</v>
          </cell>
          <cell r="J165" t="str">
            <v>B2B</v>
          </cell>
        </row>
        <row r="166">
          <cell r="A166">
            <v>2164</v>
          </cell>
          <cell r="B166" t="str">
            <v>Kavitha S</v>
          </cell>
          <cell r="C166" t="str">
            <v>Jackets</v>
          </cell>
          <cell r="D166">
            <v>45303</v>
          </cell>
          <cell r="E166">
            <v>45313</v>
          </cell>
          <cell r="F166" t="str">
            <v>Hyderabad</v>
          </cell>
          <cell r="G166">
            <v>2</v>
          </cell>
          <cell r="H166">
            <v>2424.4299999999998</v>
          </cell>
          <cell r="I166">
            <v>4848.8599999999997</v>
          </cell>
          <cell r="J166" t="str">
            <v>B2B</v>
          </cell>
        </row>
        <row r="167">
          <cell r="A167">
            <v>2165</v>
          </cell>
          <cell r="B167" t="str">
            <v>Revathi A</v>
          </cell>
          <cell r="C167" t="str">
            <v>Jeans</v>
          </cell>
          <cell r="D167">
            <v>45629</v>
          </cell>
          <cell r="E167">
            <v>45635</v>
          </cell>
          <cell r="F167" t="str">
            <v>Bangalore</v>
          </cell>
          <cell r="G167">
            <v>1</v>
          </cell>
          <cell r="H167">
            <v>585.88</v>
          </cell>
          <cell r="I167">
            <v>585.88</v>
          </cell>
          <cell r="J167" t="str">
            <v>B2C</v>
          </cell>
        </row>
        <row r="168">
          <cell r="A168">
            <v>2166</v>
          </cell>
          <cell r="B168" t="str">
            <v>Vijay K</v>
          </cell>
          <cell r="C168" t="str">
            <v>Jackets</v>
          </cell>
          <cell r="D168">
            <v>44783</v>
          </cell>
          <cell r="E168">
            <v>44792</v>
          </cell>
          <cell r="F168" t="str">
            <v>Pune</v>
          </cell>
          <cell r="G168">
            <v>8</v>
          </cell>
          <cell r="H168">
            <v>645.41</v>
          </cell>
          <cell r="I168">
            <v>5163.28</v>
          </cell>
          <cell r="J168" t="str">
            <v>B2B</v>
          </cell>
        </row>
        <row r="169">
          <cell r="A169">
            <v>2167</v>
          </cell>
          <cell r="B169" t="str">
            <v>Arun Pandi</v>
          </cell>
          <cell r="C169" t="str">
            <v>Shoes</v>
          </cell>
          <cell r="D169">
            <v>44865</v>
          </cell>
          <cell r="E169">
            <v>44868</v>
          </cell>
          <cell r="F169" t="str">
            <v>Mumbai</v>
          </cell>
          <cell r="G169">
            <v>5</v>
          </cell>
          <cell r="H169">
            <v>3234.29</v>
          </cell>
          <cell r="I169">
            <v>16171.45</v>
          </cell>
          <cell r="J169" t="str">
            <v>B2C</v>
          </cell>
        </row>
        <row r="170">
          <cell r="A170">
            <v>2168</v>
          </cell>
          <cell r="B170" t="str">
            <v>Vijay K</v>
          </cell>
          <cell r="C170" t="str">
            <v>Shoes</v>
          </cell>
          <cell r="D170">
            <v>45648</v>
          </cell>
          <cell r="E170">
            <v>45654</v>
          </cell>
          <cell r="F170" t="str">
            <v>Bangalore</v>
          </cell>
          <cell r="G170">
            <v>7</v>
          </cell>
          <cell r="H170">
            <v>766.14</v>
          </cell>
          <cell r="I170">
            <v>5362.98</v>
          </cell>
          <cell r="J170" t="str">
            <v>B2B</v>
          </cell>
        </row>
        <row r="171">
          <cell r="A171">
            <v>2169</v>
          </cell>
          <cell r="B171" t="str">
            <v>Balaji N</v>
          </cell>
          <cell r="C171" t="str">
            <v>Accessories</v>
          </cell>
          <cell r="D171">
            <v>45002</v>
          </cell>
          <cell r="E171">
            <v>45010</v>
          </cell>
          <cell r="F171" t="str">
            <v>Bangalore</v>
          </cell>
          <cell r="G171">
            <v>4</v>
          </cell>
          <cell r="H171">
            <v>2244.92</v>
          </cell>
          <cell r="I171">
            <v>8979.68</v>
          </cell>
          <cell r="J171" t="str">
            <v>B2C</v>
          </cell>
        </row>
        <row r="172">
          <cell r="A172">
            <v>2170</v>
          </cell>
          <cell r="B172" t="str">
            <v>Vijay K</v>
          </cell>
          <cell r="C172" t="str">
            <v>Jackets</v>
          </cell>
          <cell r="D172">
            <v>44756</v>
          </cell>
          <cell r="E172">
            <v>44763</v>
          </cell>
          <cell r="F172" t="str">
            <v>Bangalore</v>
          </cell>
          <cell r="G172">
            <v>6</v>
          </cell>
          <cell r="H172">
            <v>3426.01</v>
          </cell>
          <cell r="I172">
            <v>20556.060000000001</v>
          </cell>
          <cell r="J172" t="str">
            <v>B2C</v>
          </cell>
        </row>
        <row r="173">
          <cell r="A173">
            <v>2171</v>
          </cell>
          <cell r="B173" t="str">
            <v>Deepa K</v>
          </cell>
          <cell r="C173" t="str">
            <v>Accessories</v>
          </cell>
          <cell r="D173">
            <v>45533</v>
          </cell>
          <cell r="E173">
            <v>45536</v>
          </cell>
          <cell r="F173" t="str">
            <v>Chennai</v>
          </cell>
          <cell r="G173">
            <v>2</v>
          </cell>
          <cell r="H173">
            <v>738.18</v>
          </cell>
          <cell r="I173">
            <v>1476.36</v>
          </cell>
          <cell r="J173" t="str">
            <v>B2B</v>
          </cell>
        </row>
        <row r="174">
          <cell r="A174">
            <v>2172</v>
          </cell>
          <cell r="B174" t="str">
            <v>Uma S</v>
          </cell>
          <cell r="C174" t="str">
            <v>Accessories</v>
          </cell>
          <cell r="D174">
            <v>45325</v>
          </cell>
          <cell r="E174">
            <v>45339</v>
          </cell>
          <cell r="F174" t="str">
            <v>Mumbai</v>
          </cell>
          <cell r="G174">
            <v>1</v>
          </cell>
          <cell r="H174">
            <v>3056.39</v>
          </cell>
          <cell r="I174">
            <v>3056.39</v>
          </cell>
          <cell r="J174" t="str">
            <v>B2C</v>
          </cell>
        </row>
        <row r="175">
          <cell r="A175">
            <v>2173</v>
          </cell>
          <cell r="B175" t="str">
            <v>Saranya D</v>
          </cell>
          <cell r="C175" t="str">
            <v>Jeans</v>
          </cell>
          <cell r="D175">
            <v>45403</v>
          </cell>
          <cell r="E175">
            <v>45410</v>
          </cell>
          <cell r="F175" t="str">
            <v>Ahmedabad</v>
          </cell>
          <cell r="G175">
            <v>7</v>
          </cell>
          <cell r="H175">
            <v>4380.03</v>
          </cell>
          <cell r="I175">
            <v>30660.21</v>
          </cell>
          <cell r="J175" t="str">
            <v>B2B</v>
          </cell>
        </row>
        <row r="176">
          <cell r="A176">
            <v>2174</v>
          </cell>
          <cell r="B176" t="str">
            <v>Divya T</v>
          </cell>
          <cell r="C176" t="str">
            <v>Shoes</v>
          </cell>
          <cell r="D176">
            <v>45201</v>
          </cell>
          <cell r="E176">
            <v>45208</v>
          </cell>
          <cell r="F176" t="str">
            <v>Chennai</v>
          </cell>
          <cell r="G176">
            <v>4</v>
          </cell>
          <cell r="H176">
            <v>1027.23</v>
          </cell>
          <cell r="I176">
            <v>4108.92</v>
          </cell>
          <cell r="J176" t="str">
            <v>B2C</v>
          </cell>
        </row>
        <row r="177">
          <cell r="A177">
            <v>2175</v>
          </cell>
          <cell r="B177" t="str">
            <v>Lakshmi S</v>
          </cell>
          <cell r="C177" t="str">
            <v>Jeans</v>
          </cell>
          <cell r="D177">
            <v>45279</v>
          </cell>
          <cell r="E177">
            <v>45294</v>
          </cell>
          <cell r="F177" t="str">
            <v>Hyderabad</v>
          </cell>
          <cell r="G177">
            <v>6</v>
          </cell>
          <cell r="H177">
            <v>839.96</v>
          </cell>
          <cell r="I177">
            <v>5039.76</v>
          </cell>
          <cell r="J177" t="str">
            <v>B2C</v>
          </cell>
        </row>
        <row r="178">
          <cell r="A178">
            <v>2176</v>
          </cell>
          <cell r="B178" t="str">
            <v>Manoj K</v>
          </cell>
          <cell r="C178" t="str">
            <v>T-Shirts</v>
          </cell>
          <cell r="D178">
            <v>45440</v>
          </cell>
          <cell r="E178">
            <v>45455</v>
          </cell>
          <cell r="F178" t="str">
            <v>Hyderabad</v>
          </cell>
          <cell r="G178">
            <v>1</v>
          </cell>
          <cell r="H178">
            <v>3162.28</v>
          </cell>
          <cell r="I178">
            <v>3162.28</v>
          </cell>
          <cell r="J178" t="str">
            <v>B2C</v>
          </cell>
        </row>
        <row r="179">
          <cell r="A179">
            <v>2177</v>
          </cell>
          <cell r="B179" t="str">
            <v>Anitha Raj</v>
          </cell>
          <cell r="C179" t="str">
            <v>T-Shirts</v>
          </cell>
          <cell r="D179">
            <v>45121</v>
          </cell>
          <cell r="E179">
            <v>45134</v>
          </cell>
          <cell r="F179" t="str">
            <v>Ahmedabad</v>
          </cell>
          <cell r="G179">
            <v>5</v>
          </cell>
          <cell r="H179">
            <v>4631.2299999999996</v>
          </cell>
          <cell r="I179">
            <v>23156.15</v>
          </cell>
          <cell r="J179" t="str">
            <v>B2C</v>
          </cell>
        </row>
        <row r="180">
          <cell r="A180">
            <v>2178</v>
          </cell>
          <cell r="B180" t="str">
            <v>Anitha Raj</v>
          </cell>
          <cell r="C180" t="str">
            <v>T-Shirts</v>
          </cell>
          <cell r="D180">
            <v>44855</v>
          </cell>
          <cell r="E180">
            <v>44866</v>
          </cell>
          <cell r="F180" t="str">
            <v>Pune</v>
          </cell>
          <cell r="G180">
            <v>7</v>
          </cell>
          <cell r="H180">
            <v>627.04999999999995</v>
          </cell>
          <cell r="I180">
            <v>4389.3500000000004</v>
          </cell>
          <cell r="J180" t="str">
            <v>B2B</v>
          </cell>
        </row>
        <row r="181">
          <cell r="A181">
            <v>2179</v>
          </cell>
          <cell r="B181" t="str">
            <v>Priya Nair</v>
          </cell>
          <cell r="C181" t="str">
            <v>Accessories</v>
          </cell>
          <cell r="D181">
            <v>45648</v>
          </cell>
          <cell r="E181">
            <v>45653</v>
          </cell>
          <cell r="F181" t="str">
            <v>Bangalore</v>
          </cell>
          <cell r="G181">
            <v>7</v>
          </cell>
          <cell r="H181">
            <v>2432.14</v>
          </cell>
          <cell r="I181">
            <v>17024.98</v>
          </cell>
          <cell r="J181" t="str">
            <v>B2B</v>
          </cell>
        </row>
        <row r="182">
          <cell r="A182">
            <v>2180</v>
          </cell>
          <cell r="B182" t="str">
            <v>Sneha R</v>
          </cell>
          <cell r="C182" t="str">
            <v>Dresses</v>
          </cell>
          <cell r="D182">
            <v>45226</v>
          </cell>
          <cell r="E182">
            <v>45240</v>
          </cell>
          <cell r="F182" t="str">
            <v>Hyderabad</v>
          </cell>
          <cell r="G182">
            <v>2</v>
          </cell>
          <cell r="H182">
            <v>4451.71</v>
          </cell>
          <cell r="I182">
            <v>8903.42</v>
          </cell>
          <cell r="J182" t="str">
            <v>B2B</v>
          </cell>
        </row>
        <row r="183">
          <cell r="A183">
            <v>2181</v>
          </cell>
          <cell r="B183" t="str">
            <v>Arjun Reddy</v>
          </cell>
          <cell r="C183" t="str">
            <v>Shoes</v>
          </cell>
          <cell r="D183">
            <v>44663</v>
          </cell>
          <cell r="E183">
            <v>44675</v>
          </cell>
          <cell r="F183" t="str">
            <v>Chennai</v>
          </cell>
          <cell r="G183">
            <v>5</v>
          </cell>
          <cell r="H183">
            <v>2382.63</v>
          </cell>
          <cell r="I183">
            <v>11913.15</v>
          </cell>
          <cell r="J183" t="str">
            <v>B2C</v>
          </cell>
        </row>
        <row r="184">
          <cell r="A184">
            <v>2182</v>
          </cell>
          <cell r="B184" t="str">
            <v>Kavitha S</v>
          </cell>
          <cell r="C184" t="str">
            <v>Shoes</v>
          </cell>
          <cell r="D184">
            <v>45467</v>
          </cell>
          <cell r="E184">
            <v>45475</v>
          </cell>
          <cell r="F184" t="str">
            <v>Delhi</v>
          </cell>
          <cell r="G184">
            <v>4</v>
          </cell>
          <cell r="H184">
            <v>3848.23</v>
          </cell>
          <cell r="I184">
            <v>15392.92</v>
          </cell>
          <cell r="J184" t="str">
            <v>B2B</v>
          </cell>
        </row>
        <row r="185">
          <cell r="A185">
            <v>2183</v>
          </cell>
          <cell r="B185" t="str">
            <v>Sneha R</v>
          </cell>
          <cell r="C185" t="str">
            <v>Jackets</v>
          </cell>
          <cell r="D185">
            <v>44789</v>
          </cell>
          <cell r="E185">
            <v>44795</v>
          </cell>
          <cell r="F185" t="str">
            <v>Pune</v>
          </cell>
          <cell r="G185">
            <v>8</v>
          </cell>
          <cell r="H185">
            <v>2776.59</v>
          </cell>
          <cell r="I185">
            <v>22212.720000000001</v>
          </cell>
          <cell r="J185" t="str">
            <v>B2C</v>
          </cell>
        </row>
        <row r="186">
          <cell r="A186">
            <v>2184</v>
          </cell>
          <cell r="B186" t="str">
            <v>Karthik Vel</v>
          </cell>
          <cell r="C186" t="str">
            <v>T-Shirts</v>
          </cell>
          <cell r="D186">
            <v>45371</v>
          </cell>
          <cell r="E186">
            <v>45382</v>
          </cell>
          <cell r="F186" t="str">
            <v>Chennai</v>
          </cell>
          <cell r="G186">
            <v>1</v>
          </cell>
          <cell r="H186">
            <v>1260.79</v>
          </cell>
          <cell r="I186">
            <v>1260.79</v>
          </cell>
          <cell r="J186" t="str">
            <v>B2B</v>
          </cell>
        </row>
        <row r="187">
          <cell r="A187">
            <v>2185</v>
          </cell>
          <cell r="B187" t="str">
            <v>Prakash V</v>
          </cell>
          <cell r="C187" t="str">
            <v>T-Shirts</v>
          </cell>
          <cell r="D187">
            <v>45085</v>
          </cell>
          <cell r="E187">
            <v>45091</v>
          </cell>
          <cell r="F187" t="str">
            <v>Delhi</v>
          </cell>
          <cell r="G187">
            <v>2</v>
          </cell>
          <cell r="H187">
            <v>336.33</v>
          </cell>
          <cell r="I187">
            <v>672.66</v>
          </cell>
          <cell r="J187" t="str">
            <v>B2C</v>
          </cell>
        </row>
        <row r="188">
          <cell r="A188">
            <v>2186</v>
          </cell>
          <cell r="B188" t="str">
            <v>Arjun Reddy</v>
          </cell>
          <cell r="C188" t="str">
            <v>T-Shirts</v>
          </cell>
          <cell r="D188">
            <v>45340</v>
          </cell>
          <cell r="E188">
            <v>45350</v>
          </cell>
          <cell r="F188" t="str">
            <v>Pune</v>
          </cell>
          <cell r="G188">
            <v>4</v>
          </cell>
          <cell r="H188">
            <v>2651.23</v>
          </cell>
          <cell r="I188">
            <v>10604.92</v>
          </cell>
          <cell r="J188" t="str">
            <v>B2C</v>
          </cell>
        </row>
        <row r="189">
          <cell r="A189">
            <v>2187</v>
          </cell>
          <cell r="B189" t="str">
            <v>Priya Nair</v>
          </cell>
          <cell r="C189" t="str">
            <v>Jackets</v>
          </cell>
          <cell r="D189">
            <v>44648</v>
          </cell>
          <cell r="E189">
            <v>44656</v>
          </cell>
          <cell r="F189" t="str">
            <v>Chennai</v>
          </cell>
          <cell r="G189">
            <v>8</v>
          </cell>
          <cell r="H189">
            <v>4629.46</v>
          </cell>
          <cell r="I189">
            <v>37035.68</v>
          </cell>
          <cell r="J189" t="str">
            <v>B2C</v>
          </cell>
        </row>
        <row r="190">
          <cell r="A190">
            <v>2188</v>
          </cell>
          <cell r="B190" t="str">
            <v>Manoj K</v>
          </cell>
          <cell r="C190" t="str">
            <v>Jackets</v>
          </cell>
          <cell r="D190">
            <v>45390</v>
          </cell>
          <cell r="E190">
            <v>45403</v>
          </cell>
          <cell r="F190" t="str">
            <v>Pune</v>
          </cell>
          <cell r="G190">
            <v>7</v>
          </cell>
          <cell r="H190">
            <v>1660.72</v>
          </cell>
          <cell r="I190">
            <v>11625.04</v>
          </cell>
          <cell r="J190" t="str">
            <v>B2C</v>
          </cell>
        </row>
        <row r="191">
          <cell r="A191">
            <v>2189</v>
          </cell>
          <cell r="B191" t="str">
            <v>Anitha Raj</v>
          </cell>
          <cell r="C191" t="str">
            <v>Dresses</v>
          </cell>
          <cell r="D191">
            <v>44913</v>
          </cell>
          <cell r="E191">
            <v>44927</v>
          </cell>
          <cell r="F191" t="str">
            <v>Hyderabad</v>
          </cell>
          <cell r="G191">
            <v>8</v>
          </cell>
          <cell r="H191">
            <v>4210.5200000000004</v>
          </cell>
          <cell r="I191">
            <v>33684.160000000003</v>
          </cell>
          <cell r="J191" t="str">
            <v>B2C</v>
          </cell>
        </row>
        <row r="192">
          <cell r="A192">
            <v>2190</v>
          </cell>
          <cell r="B192" t="str">
            <v>Priya Nair</v>
          </cell>
          <cell r="C192" t="str">
            <v>Jackets</v>
          </cell>
          <cell r="D192">
            <v>44778</v>
          </cell>
          <cell r="E192">
            <v>44783</v>
          </cell>
          <cell r="F192" t="str">
            <v>Bangalore</v>
          </cell>
          <cell r="G192">
            <v>7</v>
          </cell>
          <cell r="H192">
            <v>2762.62</v>
          </cell>
          <cell r="I192">
            <v>19338.34</v>
          </cell>
          <cell r="J192" t="str">
            <v>B2C</v>
          </cell>
        </row>
        <row r="193">
          <cell r="A193">
            <v>2191</v>
          </cell>
          <cell r="B193" t="str">
            <v>Divya T</v>
          </cell>
          <cell r="C193" t="str">
            <v>Accessories</v>
          </cell>
          <cell r="D193">
            <v>45257</v>
          </cell>
          <cell r="E193">
            <v>45262</v>
          </cell>
          <cell r="F193" t="str">
            <v>Delhi</v>
          </cell>
          <cell r="G193">
            <v>3</v>
          </cell>
          <cell r="H193">
            <v>658.98</v>
          </cell>
          <cell r="I193">
            <v>1976.94</v>
          </cell>
          <cell r="J193" t="str">
            <v>B2B</v>
          </cell>
        </row>
        <row r="194">
          <cell r="A194">
            <v>2192</v>
          </cell>
          <cell r="B194" t="str">
            <v>Santhosh P</v>
          </cell>
          <cell r="C194" t="str">
            <v>Shoes</v>
          </cell>
          <cell r="D194">
            <v>44959</v>
          </cell>
          <cell r="E194">
            <v>44973</v>
          </cell>
          <cell r="F194" t="str">
            <v>Delhi</v>
          </cell>
          <cell r="G194">
            <v>6</v>
          </cell>
          <cell r="H194">
            <v>3718.68</v>
          </cell>
          <cell r="I194">
            <v>22312.080000000002</v>
          </cell>
          <cell r="J194" t="str">
            <v>B2B</v>
          </cell>
        </row>
        <row r="195">
          <cell r="A195">
            <v>2193</v>
          </cell>
          <cell r="B195" t="str">
            <v>Lakshmi S</v>
          </cell>
          <cell r="C195" t="str">
            <v>Jeans</v>
          </cell>
          <cell r="D195">
            <v>44861</v>
          </cell>
          <cell r="E195">
            <v>44867</v>
          </cell>
          <cell r="F195" t="str">
            <v>Mumbai</v>
          </cell>
          <cell r="G195">
            <v>3</v>
          </cell>
          <cell r="H195">
            <v>3131.28</v>
          </cell>
          <cell r="I195">
            <v>9393.84</v>
          </cell>
          <cell r="J195" t="str">
            <v>B2B</v>
          </cell>
        </row>
        <row r="196">
          <cell r="A196">
            <v>2194</v>
          </cell>
          <cell r="B196" t="str">
            <v>Arjun Reddy</v>
          </cell>
          <cell r="C196" t="str">
            <v>Accessories</v>
          </cell>
          <cell r="D196">
            <v>45573</v>
          </cell>
          <cell r="E196">
            <v>45582</v>
          </cell>
          <cell r="F196" t="str">
            <v>Ahmedabad</v>
          </cell>
          <cell r="G196">
            <v>8</v>
          </cell>
          <cell r="H196">
            <v>3501.33</v>
          </cell>
          <cell r="I196">
            <v>28010.639999999999</v>
          </cell>
          <cell r="J196" t="str">
            <v>B2C</v>
          </cell>
        </row>
        <row r="197">
          <cell r="A197">
            <v>2195</v>
          </cell>
          <cell r="B197" t="str">
            <v>Balaji N</v>
          </cell>
          <cell r="C197" t="str">
            <v>Dresses</v>
          </cell>
          <cell r="D197">
            <v>44871</v>
          </cell>
          <cell r="E197">
            <v>44880</v>
          </cell>
          <cell r="F197" t="str">
            <v>Chennai</v>
          </cell>
          <cell r="G197">
            <v>8</v>
          </cell>
          <cell r="H197">
            <v>2378.38</v>
          </cell>
          <cell r="I197">
            <v>19027.04</v>
          </cell>
          <cell r="J197" t="str">
            <v>B2C</v>
          </cell>
        </row>
        <row r="198">
          <cell r="A198">
            <v>2196</v>
          </cell>
          <cell r="B198" t="str">
            <v>Ravi Kumar</v>
          </cell>
          <cell r="C198" t="str">
            <v>Shoes</v>
          </cell>
          <cell r="D198">
            <v>44677</v>
          </cell>
          <cell r="E198">
            <v>44684</v>
          </cell>
          <cell r="F198" t="str">
            <v>Hyderabad</v>
          </cell>
          <cell r="G198">
            <v>2</v>
          </cell>
          <cell r="H198">
            <v>1758.92</v>
          </cell>
          <cell r="I198">
            <v>3517.84</v>
          </cell>
          <cell r="J198" t="str">
            <v>B2C</v>
          </cell>
        </row>
        <row r="199">
          <cell r="A199">
            <v>2197</v>
          </cell>
          <cell r="B199" t="str">
            <v>Karthik Vel</v>
          </cell>
          <cell r="C199" t="str">
            <v>Jeans</v>
          </cell>
          <cell r="D199">
            <v>45317</v>
          </cell>
          <cell r="E199">
            <v>45332</v>
          </cell>
          <cell r="F199" t="str">
            <v>Delhi</v>
          </cell>
          <cell r="G199">
            <v>2</v>
          </cell>
          <cell r="H199">
            <v>3329.93</v>
          </cell>
          <cell r="I199">
            <v>6659.86</v>
          </cell>
          <cell r="J199" t="str">
            <v>B2B</v>
          </cell>
        </row>
        <row r="200">
          <cell r="A200">
            <v>2198</v>
          </cell>
          <cell r="B200" t="str">
            <v>Revathi A</v>
          </cell>
          <cell r="C200" t="str">
            <v>Shoes</v>
          </cell>
          <cell r="D200">
            <v>45600</v>
          </cell>
          <cell r="E200">
            <v>45608</v>
          </cell>
          <cell r="F200" t="str">
            <v>Bangalore</v>
          </cell>
          <cell r="G200">
            <v>1</v>
          </cell>
          <cell r="H200">
            <v>2413.75</v>
          </cell>
          <cell r="I200">
            <v>2413.75</v>
          </cell>
          <cell r="J200" t="str">
            <v>B2B</v>
          </cell>
        </row>
        <row r="201">
          <cell r="A201">
            <v>2199</v>
          </cell>
          <cell r="B201" t="str">
            <v>Arun Pandi</v>
          </cell>
          <cell r="C201" t="str">
            <v>Shoes</v>
          </cell>
          <cell r="D201">
            <v>45536</v>
          </cell>
          <cell r="E201">
            <v>45546</v>
          </cell>
          <cell r="F201" t="str">
            <v>Mumbai</v>
          </cell>
          <cell r="G201">
            <v>1</v>
          </cell>
          <cell r="H201">
            <v>2417.46</v>
          </cell>
          <cell r="I201">
            <v>2417.46</v>
          </cell>
          <cell r="J201" t="str">
            <v>B2C</v>
          </cell>
        </row>
        <row r="202">
          <cell r="A202">
            <v>2200</v>
          </cell>
          <cell r="B202" t="str">
            <v>Ganesh R</v>
          </cell>
          <cell r="C202" t="str">
            <v>Jeans</v>
          </cell>
          <cell r="D202">
            <v>45595</v>
          </cell>
          <cell r="E202">
            <v>45607</v>
          </cell>
          <cell r="F202" t="str">
            <v>Mumbai</v>
          </cell>
          <cell r="G202">
            <v>1</v>
          </cell>
          <cell r="H202">
            <v>1464.4</v>
          </cell>
          <cell r="I202">
            <v>1464.4</v>
          </cell>
          <cell r="J202" t="str">
            <v>B2C</v>
          </cell>
        </row>
        <row r="203">
          <cell r="A203">
            <v>2201</v>
          </cell>
          <cell r="B203" t="str">
            <v>Rahul G</v>
          </cell>
          <cell r="C203" t="str">
            <v>Shoes</v>
          </cell>
          <cell r="D203">
            <v>45632</v>
          </cell>
          <cell r="E203">
            <v>45643</v>
          </cell>
          <cell r="F203" t="str">
            <v>Mumbai</v>
          </cell>
          <cell r="G203">
            <v>6</v>
          </cell>
          <cell r="H203">
            <v>2052.4</v>
          </cell>
          <cell r="I203">
            <v>12314.4</v>
          </cell>
          <cell r="J203" t="str">
            <v>B2C</v>
          </cell>
        </row>
        <row r="204">
          <cell r="A204">
            <v>2202</v>
          </cell>
          <cell r="B204" t="str">
            <v>Vijay K</v>
          </cell>
          <cell r="C204" t="str">
            <v>Jackets</v>
          </cell>
          <cell r="D204">
            <v>45254</v>
          </cell>
          <cell r="E204">
            <v>45266</v>
          </cell>
          <cell r="F204" t="str">
            <v>Hyderabad</v>
          </cell>
          <cell r="G204">
            <v>1</v>
          </cell>
          <cell r="H204">
            <v>4009.37</v>
          </cell>
          <cell r="I204">
            <v>4009.37</v>
          </cell>
          <cell r="J204" t="str">
            <v>B2C</v>
          </cell>
        </row>
        <row r="205">
          <cell r="A205">
            <v>2203</v>
          </cell>
          <cell r="B205" t="str">
            <v>Priya Nair</v>
          </cell>
          <cell r="C205" t="str">
            <v>Dresses</v>
          </cell>
          <cell r="D205">
            <v>44755</v>
          </cell>
          <cell r="E205">
            <v>44765</v>
          </cell>
          <cell r="F205" t="str">
            <v>Pune</v>
          </cell>
          <cell r="G205">
            <v>7</v>
          </cell>
          <cell r="H205">
            <v>1635.49</v>
          </cell>
          <cell r="I205">
            <v>11448.43</v>
          </cell>
          <cell r="J205" t="str">
            <v>B2B</v>
          </cell>
        </row>
        <row r="206">
          <cell r="A206">
            <v>2204</v>
          </cell>
          <cell r="B206" t="str">
            <v>Arun Pandi</v>
          </cell>
          <cell r="C206" t="str">
            <v>Jeans</v>
          </cell>
          <cell r="D206">
            <v>44851</v>
          </cell>
          <cell r="E206">
            <v>44858</v>
          </cell>
          <cell r="F206" t="str">
            <v>Delhi</v>
          </cell>
          <cell r="G206">
            <v>7</v>
          </cell>
          <cell r="H206">
            <v>906.07</v>
          </cell>
          <cell r="I206">
            <v>6342.49</v>
          </cell>
          <cell r="J206" t="str">
            <v>B2B</v>
          </cell>
        </row>
        <row r="207">
          <cell r="A207">
            <v>2205</v>
          </cell>
          <cell r="B207" t="str">
            <v>Divya T</v>
          </cell>
          <cell r="C207" t="str">
            <v>Shoes</v>
          </cell>
          <cell r="D207">
            <v>45333</v>
          </cell>
          <cell r="E207">
            <v>45345</v>
          </cell>
          <cell r="F207" t="str">
            <v>Ahmedabad</v>
          </cell>
          <cell r="G207">
            <v>6</v>
          </cell>
          <cell r="H207">
            <v>4121.97</v>
          </cell>
          <cell r="I207">
            <v>24731.82</v>
          </cell>
          <cell r="J207" t="str">
            <v>B2B</v>
          </cell>
        </row>
        <row r="208">
          <cell r="A208">
            <v>2206</v>
          </cell>
          <cell r="B208" t="str">
            <v>Balaji N</v>
          </cell>
          <cell r="C208" t="str">
            <v>Accessories</v>
          </cell>
          <cell r="D208">
            <v>45429</v>
          </cell>
          <cell r="E208">
            <v>45439</v>
          </cell>
          <cell r="F208" t="str">
            <v>Delhi</v>
          </cell>
          <cell r="G208">
            <v>1</v>
          </cell>
          <cell r="H208">
            <v>2004.21</v>
          </cell>
          <cell r="I208">
            <v>2004.21</v>
          </cell>
          <cell r="J208" t="str">
            <v>B2B</v>
          </cell>
        </row>
        <row r="209">
          <cell r="A209">
            <v>2207</v>
          </cell>
          <cell r="B209" t="str">
            <v>Meena Iyer</v>
          </cell>
          <cell r="C209" t="str">
            <v>Dresses</v>
          </cell>
          <cell r="D209">
            <v>45557</v>
          </cell>
          <cell r="E209">
            <v>45562</v>
          </cell>
          <cell r="F209" t="str">
            <v>Mumbai</v>
          </cell>
          <cell r="G209">
            <v>3</v>
          </cell>
          <cell r="H209">
            <v>1028.24</v>
          </cell>
          <cell r="I209">
            <v>3084.72</v>
          </cell>
          <cell r="J209" t="str">
            <v>B2C</v>
          </cell>
        </row>
        <row r="210">
          <cell r="A210">
            <v>2208</v>
          </cell>
          <cell r="B210" t="str">
            <v>Suresh M</v>
          </cell>
          <cell r="C210" t="str">
            <v>Shoes</v>
          </cell>
          <cell r="D210">
            <v>45640</v>
          </cell>
          <cell r="E210">
            <v>45642</v>
          </cell>
          <cell r="F210" t="str">
            <v>Pune</v>
          </cell>
          <cell r="G210">
            <v>6</v>
          </cell>
          <cell r="H210">
            <v>4419.05</v>
          </cell>
          <cell r="I210">
            <v>26514.3</v>
          </cell>
          <cell r="J210" t="str">
            <v>B2B</v>
          </cell>
        </row>
        <row r="211">
          <cell r="A211">
            <v>2209</v>
          </cell>
          <cell r="B211" t="str">
            <v>Revathi A</v>
          </cell>
          <cell r="C211" t="str">
            <v>Jackets</v>
          </cell>
          <cell r="D211">
            <v>44877</v>
          </cell>
          <cell r="E211">
            <v>44881</v>
          </cell>
          <cell r="F211" t="str">
            <v>Mumbai</v>
          </cell>
          <cell r="G211">
            <v>3</v>
          </cell>
          <cell r="H211">
            <v>3689.56</v>
          </cell>
          <cell r="I211">
            <v>11068.68</v>
          </cell>
          <cell r="J211" t="str">
            <v>B2B</v>
          </cell>
        </row>
        <row r="212">
          <cell r="A212">
            <v>2210</v>
          </cell>
          <cell r="B212" t="str">
            <v>Pooja M</v>
          </cell>
          <cell r="C212" t="str">
            <v>Dresses</v>
          </cell>
          <cell r="D212">
            <v>45048</v>
          </cell>
          <cell r="E212">
            <v>45057</v>
          </cell>
          <cell r="F212" t="str">
            <v>Hyderabad</v>
          </cell>
          <cell r="G212">
            <v>5</v>
          </cell>
          <cell r="H212">
            <v>3836.24</v>
          </cell>
          <cell r="I212">
            <v>19181.2</v>
          </cell>
          <cell r="J212" t="str">
            <v>B2C</v>
          </cell>
        </row>
        <row r="213">
          <cell r="A213">
            <v>2211</v>
          </cell>
          <cell r="B213" t="str">
            <v>Lakshmi S</v>
          </cell>
          <cell r="C213" t="str">
            <v>Shoes</v>
          </cell>
          <cell r="D213">
            <v>45051</v>
          </cell>
          <cell r="E213">
            <v>45057</v>
          </cell>
          <cell r="F213" t="str">
            <v>Ahmedabad</v>
          </cell>
          <cell r="G213">
            <v>8</v>
          </cell>
          <cell r="H213">
            <v>4548.68</v>
          </cell>
          <cell r="I213">
            <v>36389.440000000002</v>
          </cell>
          <cell r="J213" t="str">
            <v>B2B</v>
          </cell>
        </row>
        <row r="214">
          <cell r="A214">
            <v>2212</v>
          </cell>
          <cell r="B214" t="str">
            <v>Sneha R</v>
          </cell>
          <cell r="C214" t="str">
            <v>Accessories</v>
          </cell>
          <cell r="D214">
            <v>45464</v>
          </cell>
          <cell r="E214">
            <v>45473</v>
          </cell>
          <cell r="F214" t="str">
            <v>Ahmedabad</v>
          </cell>
          <cell r="G214">
            <v>5</v>
          </cell>
          <cell r="H214">
            <v>3957.18</v>
          </cell>
          <cell r="I214">
            <v>19785.900000000001</v>
          </cell>
          <cell r="J214" t="str">
            <v>B2C</v>
          </cell>
        </row>
        <row r="215">
          <cell r="A215">
            <v>2213</v>
          </cell>
          <cell r="B215" t="str">
            <v>Arjun Reddy</v>
          </cell>
          <cell r="C215" t="str">
            <v>T-Shirts</v>
          </cell>
          <cell r="D215">
            <v>44845</v>
          </cell>
          <cell r="E215">
            <v>44860</v>
          </cell>
          <cell r="F215" t="str">
            <v>Delhi</v>
          </cell>
          <cell r="G215">
            <v>1</v>
          </cell>
          <cell r="H215">
            <v>3313.54</v>
          </cell>
          <cell r="I215">
            <v>3313.54</v>
          </cell>
          <cell r="J215" t="str">
            <v>B2C</v>
          </cell>
        </row>
        <row r="216">
          <cell r="A216">
            <v>2214</v>
          </cell>
          <cell r="B216" t="str">
            <v>Nithya R</v>
          </cell>
          <cell r="C216" t="str">
            <v>Jeans</v>
          </cell>
          <cell r="D216">
            <v>45618</v>
          </cell>
          <cell r="E216">
            <v>45633</v>
          </cell>
          <cell r="F216" t="str">
            <v>Chennai</v>
          </cell>
          <cell r="G216">
            <v>5</v>
          </cell>
          <cell r="H216">
            <v>694.21</v>
          </cell>
          <cell r="I216">
            <v>3471.05</v>
          </cell>
          <cell r="J216" t="str">
            <v>B2B</v>
          </cell>
        </row>
        <row r="217">
          <cell r="A217">
            <v>2215</v>
          </cell>
          <cell r="B217" t="str">
            <v>Ravi Kumar</v>
          </cell>
          <cell r="C217" t="str">
            <v>Jackets</v>
          </cell>
          <cell r="D217">
            <v>45613</v>
          </cell>
          <cell r="E217">
            <v>45617</v>
          </cell>
          <cell r="F217" t="str">
            <v>Ahmedabad</v>
          </cell>
          <cell r="G217">
            <v>7</v>
          </cell>
          <cell r="H217">
            <v>731.05</v>
          </cell>
          <cell r="I217">
            <v>5117.3500000000004</v>
          </cell>
          <cell r="J217" t="str">
            <v>B2B</v>
          </cell>
        </row>
        <row r="218">
          <cell r="A218">
            <v>2216</v>
          </cell>
          <cell r="B218" t="str">
            <v>Rahul G</v>
          </cell>
          <cell r="C218" t="str">
            <v>Dresses</v>
          </cell>
          <cell r="D218">
            <v>44616</v>
          </cell>
          <cell r="E218">
            <v>44624</v>
          </cell>
          <cell r="F218" t="str">
            <v>Chennai</v>
          </cell>
          <cell r="G218">
            <v>7</v>
          </cell>
          <cell r="H218">
            <v>2659.43</v>
          </cell>
          <cell r="I218">
            <v>18616.009999999998</v>
          </cell>
          <cell r="J218" t="str">
            <v>B2B</v>
          </cell>
        </row>
        <row r="219">
          <cell r="A219">
            <v>2217</v>
          </cell>
          <cell r="B219" t="str">
            <v>Vijay K</v>
          </cell>
          <cell r="C219" t="str">
            <v>Jeans</v>
          </cell>
          <cell r="D219">
            <v>45329</v>
          </cell>
          <cell r="E219">
            <v>45334</v>
          </cell>
          <cell r="F219" t="str">
            <v>Chennai</v>
          </cell>
          <cell r="G219">
            <v>6</v>
          </cell>
          <cell r="H219">
            <v>4674.88</v>
          </cell>
          <cell r="I219">
            <v>28049.279999999999</v>
          </cell>
          <cell r="J219" t="str">
            <v>B2C</v>
          </cell>
        </row>
        <row r="220">
          <cell r="A220">
            <v>2218</v>
          </cell>
          <cell r="B220" t="str">
            <v>Deepa K</v>
          </cell>
          <cell r="C220" t="str">
            <v>T-Shirts</v>
          </cell>
          <cell r="D220">
            <v>44640</v>
          </cell>
          <cell r="E220">
            <v>44646</v>
          </cell>
          <cell r="F220" t="str">
            <v>Ahmedabad</v>
          </cell>
          <cell r="G220">
            <v>8</v>
          </cell>
          <cell r="H220">
            <v>3571.54</v>
          </cell>
          <cell r="I220">
            <v>28572.32</v>
          </cell>
          <cell r="J220" t="str">
            <v>B2B</v>
          </cell>
        </row>
        <row r="221">
          <cell r="A221">
            <v>2219</v>
          </cell>
          <cell r="B221" t="str">
            <v>Prakash V</v>
          </cell>
          <cell r="C221" t="str">
            <v>Accessories</v>
          </cell>
          <cell r="D221">
            <v>45522</v>
          </cell>
          <cell r="E221">
            <v>45531</v>
          </cell>
          <cell r="F221" t="str">
            <v>Hyderabad</v>
          </cell>
          <cell r="G221">
            <v>1</v>
          </cell>
          <cell r="H221">
            <v>4557.53</v>
          </cell>
          <cell r="I221">
            <v>4557.53</v>
          </cell>
          <cell r="J221" t="str">
            <v>B2B</v>
          </cell>
        </row>
        <row r="222">
          <cell r="A222">
            <v>2220</v>
          </cell>
          <cell r="B222" t="str">
            <v>Ravi Kumar</v>
          </cell>
          <cell r="C222" t="str">
            <v>T-Shirts</v>
          </cell>
          <cell r="D222">
            <v>44868</v>
          </cell>
          <cell r="E222">
            <v>44878</v>
          </cell>
          <cell r="F222" t="str">
            <v>Pune</v>
          </cell>
          <cell r="G222">
            <v>7</v>
          </cell>
          <cell r="H222">
            <v>822.58</v>
          </cell>
          <cell r="I222">
            <v>5758.06</v>
          </cell>
          <cell r="J222" t="str">
            <v>B2C</v>
          </cell>
        </row>
        <row r="223">
          <cell r="A223">
            <v>2221</v>
          </cell>
          <cell r="B223" t="str">
            <v>Lakshmi S</v>
          </cell>
          <cell r="C223" t="str">
            <v>Dresses</v>
          </cell>
          <cell r="D223">
            <v>44811</v>
          </cell>
          <cell r="E223">
            <v>44813</v>
          </cell>
          <cell r="F223" t="str">
            <v>Mumbai</v>
          </cell>
          <cell r="G223">
            <v>7</v>
          </cell>
          <cell r="H223">
            <v>3303.07</v>
          </cell>
          <cell r="I223">
            <v>23121.49</v>
          </cell>
          <cell r="J223" t="str">
            <v>B2C</v>
          </cell>
        </row>
        <row r="224">
          <cell r="A224">
            <v>2222</v>
          </cell>
          <cell r="B224" t="str">
            <v>Priya Nair</v>
          </cell>
          <cell r="C224" t="str">
            <v>Jeans</v>
          </cell>
          <cell r="D224">
            <v>45585</v>
          </cell>
          <cell r="E224">
            <v>45596</v>
          </cell>
          <cell r="F224" t="str">
            <v>Hyderabad</v>
          </cell>
          <cell r="G224">
            <v>1</v>
          </cell>
          <cell r="H224">
            <v>3270.19</v>
          </cell>
          <cell r="I224">
            <v>3270.19</v>
          </cell>
          <cell r="J224" t="str">
            <v>B2B</v>
          </cell>
        </row>
        <row r="225">
          <cell r="A225">
            <v>2223</v>
          </cell>
          <cell r="B225" t="str">
            <v>Ganesh R</v>
          </cell>
          <cell r="C225" t="str">
            <v>T-Shirts</v>
          </cell>
          <cell r="D225">
            <v>45158</v>
          </cell>
          <cell r="E225">
            <v>45166</v>
          </cell>
          <cell r="F225" t="str">
            <v>Chennai</v>
          </cell>
          <cell r="G225">
            <v>6</v>
          </cell>
          <cell r="H225">
            <v>1430.65</v>
          </cell>
          <cell r="I225">
            <v>8583.9</v>
          </cell>
          <cell r="J225" t="str">
            <v>B2C</v>
          </cell>
        </row>
        <row r="226">
          <cell r="A226">
            <v>2224</v>
          </cell>
          <cell r="B226" t="str">
            <v>Arjun Reddy</v>
          </cell>
          <cell r="C226" t="str">
            <v>Accessories</v>
          </cell>
          <cell r="D226">
            <v>44737</v>
          </cell>
          <cell r="E226">
            <v>44747</v>
          </cell>
          <cell r="F226" t="str">
            <v>Delhi</v>
          </cell>
          <cell r="G226">
            <v>2</v>
          </cell>
          <cell r="H226">
            <v>4781</v>
          </cell>
          <cell r="I226">
            <v>9562</v>
          </cell>
          <cell r="J226" t="str">
            <v>B2B</v>
          </cell>
        </row>
        <row r="227">
          <cell r="A227">
            <v>2225</v>
          </cell>
          <cell r="B227" t="str">
            <v>Vijay K</v>
          </cell>
          <cell r="C227" t="str">
            <v>Jackets</v>
          </cell>
          <cell r="D227">
            <v>44651</v>
          </cell>
          <cell r="E227">
            <v>44663</v>
          </cell>
          <cell r="F227" t="str">
            <v>Bangalore</v>
          </cell>
          <cell r="G227">
            <v>6</v>
          </cell>
          <cell r="H227">
            <v>1492.16</v>
          </cell>
          <cell r="I227">
            <v>8952.9599999999991</v>
          </cell>
          <cell r="J227" t="str">
            <v>B2B</v>
          </cell>
        </row>
        <row r="228">
          <cell r="A228">
            <v>2226</v>
          </cell>
          <cell r="B228" t="str">
            <v>Sneha R</v>
          </cell>
          <cell r="C228" t="str">
            <v>Jeans</v>
          </cell>
          <cell r="D228">
            <v>45268</v>
          </cell>
          <cell r="E228">
            <v>45273</v>
          </cell>
          <cell r="F228" t="str">
            <v>Pune</v>
          </cell>
          <cell r="G228">
            <v>2</v>
          </cell>
          <cell r="H228">
            <v>3926.06</v>
          </cell>
          <cell r="I228">
            <v>7852.12</v>
          </cell>
          <cell r="J228" t="str">
            <v>B2C</v>
          </cell>
        </row>
        <row r="229">
          <cell r="A229">
            <v>2227</v>
          </cell>
          <cell r="B229" t="str">
            <v>Deepa K</v>
          </cell>
          <cell r="C229" t="str">
            <v>Jeans</v>
          </cell>
          <cell r="D229">
            <v>45283</v>
          </cell>
          <cell r="E229">
            <v>45293</v>
          </cell>
          <cell r="F229" t="str">
            <v>Delhi</v>
          </cell>
          <cell r="G229">
            <v>3</v>
          </cell>
          <cell r="H229">
            <v>4202.8</v>
          </cell>
          <cell r="I229">
            <v>12608.4</v>
          </cell>
          <cell r="J229" t="str">
            <v>B2C</v>
          </cell>
        </row>
        <row r="230">
          <cell r="A230">
            <v>2228</v>
          </cell>
          <cell r="B230" t="str">
            <v>Ganesh R</v>
          </cell>
          <cell r="C230" t="str">
            <v>Jackets</v>
          </cell>
          <cell r="D230">
            <v>44935</v>
          </cell>
          <cell r="E230">
            <v>44949</v>
          </cell>
          <cell r="F230" t="str">
            <v>Mumbai</v>
          </cell>
          <cell r="G230">
            <v>2</v>
          </cell>
          <cell r="H230">
            <v>3665.41</v>
          </cell>
          <cell r="I230">
            <v>7330.82</v>
          </cell>
          <cell r="J230" t="str">
            <v>B2C</v>
          </cell>
        </row>
        <row r="231">
          <cell r="A231">
            <v>2229</v>
          </cell>
          <cell r="B231" t="str">
            <v>Karthik Vel</v>
          </cell>
          <cell r="C231" t="str">
            <v>Dresses</v>
          </cell>
          <cell r="D231">
            <v>44974</v>
          </cell>
          <cell r="E231">
            <v>44976</v>
          </cell>
          <cell r="F231" t="str">
            <v>Ahmedabad</v>
          </cell>
          <cell r="G231">
            <v>4</v>
          </cell>
          <cell r="H231">
            <v>4463.21</v>
          </cell>
          <cell r="I231">
            <v>17852.84</v>
          </cell>
          <cell r="J231" t="str">
            <v>B2C</v>
          </cell>
        </row>
        <row r="232">
          <cell r="A232">
            <v>2230</v>
          </cell>
          <cell r="B232" t="str">
            <v>Divya T</v>
          </cell>
          <cell r="C232" t="str">
            <v>Shoes</v>
          </cell>
          <cell r="D232">
            <v>45377</v>
          </cell>
          <cell r="E232">
            <v>45392</v>
          </cell>
          <cell r="F232" t="str">
            <v>Hyderabad</v>
          </cell>
          <cell r="G232">
            <v>8</v>
          </cell>
          <cell r="H232">
            <v>1490.57</v>
          </cell>
          <cell r="I232">
            <v>11924.56</v>
          </cell>
          <cell r="J232" t="str">
            <v>B2B</v>
          </cell>
        </row>
        <row r="233">
          <cell r="A233">
            <v>2231</v>
          </cell>
          <cell r="B233" t="str">
            <v>Divya T</v>
          </cell>
          <cell r="C233" t="str">
            <v>Dresses</v>
          </cell>
          <cell r="D233">
            <v>44659</v>
          </cell>
          <cell r="E233">
            <v>44674</v>
          </cell>
          <cell r="F233" t="str">
            <v>Pune</v>
          </cell>
          <cell r="G233">
            <v>6</v>
          </cell>
          <cell r="H233">
            <v>1584.12</v>
          </cell>
          <cell r="I233">
            <v>9504.7199999999993</v>
          </cell>
          <cell r="J233" t="str">
            <v>B2C</v>
          </cell>
        </row>
        <row r="234">
          <cell r="A234">
            <v>2232</v>
          </cell>
          <cell r="B234" t="str">
            <v>Pooja M</v>
          </cell>
          <cell r="C234" t="str">
            <v>Jackets</v>
          </cell>
          <cell r="D234">
            <v>45462</v>
          </cell>
          <cell r="E234">
            <v>45470</v>
          </cell>
          <cell r="F234" t="str">
            <v>Delhi</v>
          </cell>
          <cell r="G234">
            <v>3</v>
          </cell>
          <cell r="H234">
            <v>2632.16</v>
          </cell>
          <cell r="I234">
            <v>7896.48</v>
          </cell>
          <cell r="J234" t="str">
            <v>B2C</v>
          </cell>
        </row>
        <row r="235">
          <cell r="A235">
            <v>2233</v>
          </cell>
          <cell r="B235" t="str">
            <v>Sneha R</v>
          </cell>
          <cell r="C235" t="str">
            <v>Shoes</v>
          </cell>
          <cell r="D235">
            <v>45108</v>
          </cell>
          <cell r="E235">
            <v>45122</v>
          </cell>
          <cell r="F235" t="str">
            <v>Chennai</v>
          </cell>
          <cell r="G235">
            <v>7</v>
          </cell>
          <cell r="H235">
            <v>670.96</v>
          </cell>
          <cell r="I235">
            <v>4696.72</v>
          </cell>
          <cell r="J235" t="str">
            <v>B2B</v>
          </cell>
        </row>
        <row r="236">
          <cell r="A236">
            <v>2234</v>
          </cell>
          <cell r="B236" t="str">
            <v>Nithya R</v>
          </cell>
          <cell r="C236" t="str">
            <v>Dresses</v>
          </cell>
          <cell r="D236">
            <v>45219</v>
          </cell>
          <cell r="E236">
            <v>45222</v>
          </cell>
          <cell r="F236" t="str">
            <v>Chennai</v>
          </cell>
          <cell r="G236">
            <v>6</v>
          </cell>
          <cell r="H236">
            <v>3406.32</v>
          </cell>
          <cell r="I236">
            <v>20437.919999999998</v>
          </cell>
          <cell r="J236" t="str">
            <v>B2C</v>
          </cell>
        </row>
        <row r="237">
          <cell r="A237">
            <v>2235</v>
          </cell>
          <cell r="B237" t="str">
            <v>Rahul G</v>
          </cell>
          <cell r="C237" t="str">
            <v>Shoes</v>
          </cell>
          <cell r="D237">
            <v>45434</v>
          </cell>
          <cell r="E237">
            <v>45438</v>
          </cell>
          <cell r="F237" t="str">
            <v>Pune</v>
          </cell>
          <cell r="G237">
            <v>8</v>
          </cell>
          <cell r="H237">
            <v>1952.27</v>
          </cell>
          <cell r="I237">
            <v>15618.16</v>
          </cell>
          <cell r="J237" t="str">
            <v>B2B</v>
          </cell>
        </row>
        <row r="238">
          <cell r="A238">
            <v>2236</v>
          </cell>
          <cell r="B238" t="str">
            <v>Uma S</v>
          </cell>
          <cell r="C238" t="str">
            <v>Dresses</v>
          </cell>
          <cell r="D238">
            <v>45452</v>
          </cell>
          <cell r="E238">
            <v>45458</v>
          </cell>
          <cell r="F238" t="str">
            <v>Pune</v>
          </cell>
          <cell r="G238">
            <v>1</v>
          </cell>
          <cell r="H238">
            <v>652.69000000000005</v>
          </cell>
          <cell r="I238">
            <v>652.69000000000005</v>
          </cell>
          <cell r="J238" t="str">
            <v>B2C</v>
          </cell>
        </row>
        <row r="239">
          <cell r="A239">
            <v>2237</v>
          </cell>
          <cell r="B239" t="str">
            <v>Sneha R</v>
          </cell>
          <cell r="C239" t="str">
            <v>Shoes</v>
          </cell>
          <cell r="D239">
            <v>44889</v>
          </cell>
          <cell r="E239">
            <v>44891</v>
          </cell>
          <cell r="F239" t="str">
            <v>Mumbai</v>
          </cell>
          <cell r="G239">
            <v>8</v>
          </cell>
          <cell r="H239">
            <v>463.56</v>
          </cell>
          <cell r="I239">
            <v>3708.48</v>
          </cell>
          <cell r="J239" t="str">
            <v>B2B</v>
          </cell>
        </row>
        <row r="240">
          <cell r="A240">
            <v>2238</v>
          </cell>
          <cell r="B240" t="str">
            <v>Lakshmi S</v>
          </cell>
          <cell r="C240" t="str">
            <v>Accessories</v>
          </cell>
          <cell r="D240">
            <v>45312</v>
          </cell>
          <cell r="E240">
            <v>45319</v>
          </cell>
          <cell r="F240" t="str">
            <v>Bangalore</v>
          </cell>
          <cell r="G240">
            <v>1</v>
          </cell>
          <cell r="H240">
            <v>3143.95</v>
          </cell>
          <cell r="I240">
            <v>3143.95</v>
          </cell>
          <cell r="J240" t="str">
            <v>B2C</v>
          </cell>
        </row>
        <row r="241">
          <cell r="A241">
            <v>2239</v>
          </cell>
          <cell r="B241" t="str">
            <v>Sneha R</v>
          </cell>
          <cell r="C241" t="str">
            <v>Dresses</v>
          </cell>
          <cell r="D241">
            <v>45471</v>
          </cell>
          <cell r="E241">
            <v>45485</v>
          </cell>
          <cell r="F241" t="str">
            <v>Chennai</v>
          </cell>
          <cell r="G241">
            <v>3</v>
          </cell>
          <cell r="H241">
            <v>2788.46</v>
          </cell>
          <cell r="I241">
            <v>8365.3799999999992</v>
          </cell>
          <cell r="J241" t="str">
            <v>B2C</v>
          </cell>
        </row>
        <row r="242">
          <cell r="A242">
            <v>2240</v>
          </cell>
          <cell r="B242" t="str">
            <v>Arun Pandi</v>
          </cell>
          <cell r="C242" t="str">
            <v>Accessories</v>
          </cell>
          <cell r="D242">
            <v>45132</v>
          </cell>
          <cell r="E242">
            <v>45137</v>
          </cell>
          <cell r="F242" t="str">
            <v>Chennai</v>
          </cell>
          <cell r="G242">
            <v>1</v>
          </cell>
          <cell r="H242">
            <v>3757.67</v>
          </cell>
          <cell r="I242">
            <v>3757.67</v>
          </cell>
          <cell r="J242" t="str">
            <v>B2C</v>
          </cell>
        </row>
        <row r="243">
          <cell r="A243">
            <v>2241</v>
          </cell>
          <cell r="B243" t="str">
            <v>Santhosh P</v>
          </cell>
          <cell r="C243" t="str">
            <v>Jackets</v>
          </cell>
          <cell r="D243">
            <v>44803</v>
          </cell>
          <cell r="E243">
            <v>44809</v>
          </cell>
          <cell r="F243" t="str">
            <v>Ahmedabad</v>
          </cell>
          <cell r="G243">
            <v>5</v>
          </cell>
          <cell r="H243">
            <v>3608.98</v>
          </cell>
          <cell r="I243">
            <v>18044.900000000001</v>
          </cell>
          <cell r="J243" t="str">
            <v>B2B</v>
          </cell>
        </row>
        <row r="244">
          <cell r="A244">
            <v>2242</v>
          </cell>
          <cell r="B244" t="str">
            <v>Revathi A</v>
          </cell>
          <cell r="C244" t="str">
            <v>Dresses</v>
          </cell>
          <cell r="D244">
            <v>45567</v>
          </cell>
          <cell r="E244">
            <v>45572</v>
          </cell>
          <cell r="F244" t="str">
            <v>Chennai</v>
          </cell>
          <cell r="G244">
            <v>3</v>
          </cell>
          <cell r="H244">
            <v>4308.28</v>
          </cell>
          <cell r="I244">
            <v>12924.84</v>
          </cell>
          <cell r="J244" t="str">
            <v>B2C</v>
          </cell>
        </row>
        <row r="245">
          <cell r="A245">
            <v>2243</v>
          </cell>
          <cell r="B245" t="str">
            <v>Arjun Reddy</v>
          </cell>
          <cell r="C245" t="str">
            <v>Accessories</v>
          </cell>
          <cell r="D245">
            <v>45473</v>
          </cell>
          <cell r="E245">
            <v>45476</v>
          </cell>
          <cell r="F245" t="str">
            <v>Ahmedabad</v>
          </cell>
          <cell r="G245">
            <v>6</v>
          </cell>
          <cell r="H245">
            <v>3438.85</v>
          </cell>
          <cell r="I245">
            <v>20633.099999999999</v>
          </cell>
          <cell r="J245" t="str">
            <v>B2B</v>
          </cell>
        </row>
        <row r="246">
          <cell r="A246">
            <v>2244</v>
          </cell>
          <cell r="B246" t="str">
            <v>Nithya R</v>
          </cell>
          <cell r="C246" t="str">
            <v>Shoes</v>
          </cell>
          <cell r="D246">
            <v>45156</v>
          </cell>
          <cell r="E246">
            <v>45162</v>
          </cell>
          <cell r="F246" t="str">
            <v>Ahmedabad</v>
          </cell>
          <cell r="G246">
            <v>3</v>
          </cell>
          <cell r="H246">
            <v>3645.5</v>
          </cell>
          <cell r="I246">
            <v>10936.5</v>
          </cell>
          <cell r="J246" t="str">
            <v>B2B</v>
          </cell>
        </row>
        <row r="247">
          <cell r="A247">
            <v>2245</v>
          </cell>
          <cell r="B247" t="str">
            <v>Sneha R</v>
          </cell>
          <cell r="C247" t="str">
            <v>Shoes</v>
          </cell>
          <cell r="D247">
            <v>45021</v>
          </cell>
          <cell r="E247">
            <v>45024</v>
          </cell>
          <cell r="F247" t="str">
            <v>Mumbai</v>
          </cell>
          <cell r="G247">
            <v>3</v>
          </cell>
          <cell r="H247">
            <v>1412.66</v>
          </cell>
          <cell r="I247">
            <v>4237.9799999999996</v>
          </cell>
          <cell r="J247" t="str">
            <v>B2C</v>
          </cell>
        </row>
        <row r="248">
          <cell r="A248">
            <v>2246</v>
          </cell>
          <cell r="B248" t="str">
            <v>Anitha Raj</v>
          </cell>
          <cell r="C248" t="str">
            <v>Dresses</v>
          </cell>
          <cell r="D248">
            <v>45317</v>
          </cell>
          <cell r="E248">
            <v>45326</v>
          </cell>
          <cell r="F248" t="str">
            <v>Ahmedabad</v>
          </cell>
          <cell r="G248">
            <v>3</v>
          </cell>
          <cell r="H248">
            <v>3176.16</v>
          </cell>
          <cell r="I248">
            <v>9528.48</v>
          </cell>
          <cell r="J248" t="str">
            <v>B2B</v>
          </cell>
        </row>
        <row r="249">
          <cell r="A249">
            <v>2247</v>
          </cell>
          <cell r="B249" t="str">
            <v>Priya Nair</v>
          </cell>
          <cell r="C249" t="str">
            <v>Dresses</v>
          </cell>
          <cell r="D249">
            <v>45377</v>
          </cell>
          <cell r="E249">
            <v>45390</v>
          </cell>
          <cell r="F249" t="str">
            <v>Pune</v>
          </cell>
          <cell r="G249">
            <v>8</v>
          </cell>
          <cell r="H249">
            <v>2770.77</v>
          </cell>
          <cell r="I249">
            <v>22166.16</v>
          </cell>
          <cell r="J249" t="str">
            <v>B2C</v>
          </cell>
        </row>
        <row r="250">
          <cell r="A250">
            <v>2248</v>
          </cell>
          <cell r="B250" t="str">
            <v>Manoj K</v>
          </cell>
          <cell r="C250" t="str">
            <v>Jeans</v>
          </cell>
          <cell r="D250">
            <v>44818</v>
          </cell>
          <cell r="E250">
            <v>44825</v>
          </cell>
          <cell r="F250" t="str">
            <v>Pune</v>
          </cell>
          <cell r="G250">
            <v>2</v>
          </cell>
          <cell r="H250">
            <v>2414.88</v>
          </cell>
          <cell r="I250">
            <v>4829.76</v>
          </cell>
          <cell r="J250" t="str">
            <v>B2C</v>
          </cell>
        </row>
        <row r="251">
          <cell r="A251">
            <v>2249</v>
          </cell>
          <cell r="B251" t="str">
            <v>Deepa K</v>
          </cell>
          <cell r="C251" t="str">
            <v>Shoes</v>
          </cell>
          <cell r="D251">
            <v>44934</v>
          </cell>
          <cell r="E251">
            <v>44948</v>
          </cell>
          <cell r="F251" t="str">
            <v>Mumbai</v>
          </cell>
          <cell r="G251">
            <v>7</v>
          </cell>
          <cell r="H251">
            <v>2663.46</v>
          </cell>
          <cell r="I251">
            <v>18644.22</v>
          </cell>
          <cell r="J251" t="str">
            <v>B2B</v>
          </cell>
        </row>
        <row r="252">
          <cell r="A252">
            <v>2250</v>
          </cell>
          <cell r="B252" t="str">
            <v>Suresh M</v>
          </cell>
          <cell r="C252" t="str">
            <v>Shoes</v>
          </cell>
          <cell r="D252">
            <v>44875</v>
          </cell>
          <cell r="E252">
            <v>44881</v>
          </cell>
          <cell r="F252" t="str">
            <v>Mumbai</v>
          </cell>
          <cell r="G252">
            <v>3</v>
          </cell>
          <cell r="H252">
            <v>1816.51</v>
          </cell>
          <cell r="I252">
            <v>5449.53</v>
          </cell>
          <cell r="J252" t="str">
            <v>B2B</v>
          </cell>
        </row>
        <row r="253">
          <cell r="A253">
            <v>2251</v>
          </cell>
          <cell r="B253" t="str">
            <v>Sneha R</v>
          </cell>
          <cell r="C253" t="str">
            <v>Shoes</v>
          </cell>
          <cell r="D253">
            <v>45143</v>
          </cell>
          <cell r="E253">
            <v>45158</v>
          </cell>
          <cell r="F253" t="str">
            <v>Chennai</v>
          </cell>
          <cell r="G253">
            <v>5</v>
          </cell>
          <cell r="H253">
            <v>1222.6199999999999</v>
          </cell>
          <cell r="I253">
            <v>6113.1</v>
          </cell>
          <cell r="J253" t="str">
            <v>B2C</v>
          </cell>
        </row>
        <row r="254">
          <cell r="A254">
            <v>2252</v>
          </cell>
          <cell r="B254" t="str">
            <v>Deepa K</v>
          </cell>
          <cell r="C254" t="str">
            <v>Accessories</v>
          </cell>
          <cell r="D254">
            <v>45182</v>
          </cell>
          <cell r="E254">
            <v>45193</v>
          </cell>
          <cell r="F254" t="str">
            <v>Hyderabad</v>
          </cell>
          <cell r="G254">
            <v>2</v>
          </cell>
          <cell r="H254">
            <v>2662.09</v>
          </cell>
          <cell r="I254">
            <v>5324.18</v>
          </cell>
          <cell r="J254" t="str">
            <v>B2B</v>
          </cell>
        </row>
        <row r="255">
          <cell r="A255">
            <v>2253</v>
          </cell>
          <cell r="B255" t="str">
            <v>Manoj K</v>
          </cell>
          <cell r="C255" t="str">
            <v>Shoes</v>
          </cell>
          <cell r="D255">
            <v>44877</v>
          </cell>
          <cell r="E255">
            <v>44881</v>
          </cell>
          <cell r="F255" t="str">
            <v>Pune</v>
          </cell>
          <cell r="G255">
            <v>6</v>
          </cell>
          <cell r="H255">
            <v>4259.8900000000003</v>
          </cell>
          <cell r="I255">
            <v>25559.34</v>
          </cell>
          <cell r="J255" t="str">
            <v>B2B</v>
          </cell>
        </row>
        <row r="256">
          <cell r="A256">
            <v>2254</v>
          </cell>
          <cell r="B256" t="str">
            <v>Anitha Raj</v>
          </cell>
          <cell r="C256" t="str">
            <v>Jeans</v>
          </cell>
          <cell r="D256">
            <v>44655</v>
          </cell>
          <cell r="E256">
            <v>44667</v>
          </cell>
          <cell r="F256" t="str">
            <v>Ahmedabad</v>
          </cell>
          <cell r="G256">
            <v>5</v>
          </cell>
          <cell r="H256">
            <v>3360.31</v>
          </cell>
          <cell r="I256">
            <v>16801.55</v>
          </cell>
          <cell r="J256" t="str">
            <v>B2C</v>
          </cell>
        </row>
        <row r="257">
          <cell r="A257">
            <v>2255</v>
          </cell>
          <cell r="B257" t="str">
            <v>Revathi A</v>
          </cell>
          <cell r="C257" t="str">
            <v>Accessories</v>
          </cell>
          <cell r="D257">
            <v>44624</v>
          </cell>
          <cell r="E257">
            <v>44633</v>
          </cell>
          <cell r="F257" t="str">
            <v>Pune</v>
          </cell>
          <cell r="G257">
            <v>5</v>
          </cell>
          <cell r="H257">
            <v>3316.96</v>
          </cell>
          <cell r="I257">
            <v>16584.8</v>
          </cell>
          <cell r="J257" t="str">
            <v>B2C</v>
          </cell>
        </row>
        <row r="258">
          <cell r="A258">
            <v>2256</v>
          </cell>
          <cell r="B258" t="str">
            <v>Kavitha S</v>
          </cell>
          <cell r="C258" t="str">
            <v>T-Shirts</v>
          </cell>
          <cell r="D258">
            <v>45393</v>
          </cell>
          <cell r="E258">
            <v>45399</v>
          </cell>
          <cell r="F258" t="str">
            <v>Bangalore</v>
          </cell>
          <cell r="G258">
            <v>2</v>
          </cell>
          <cell r="H258">
            <v>3536.48</v>
          </cell>
          <cell r="I258">
            <v>7072.96</v>
          </cell>
          <cell r="J258" t="str">
            <v>B2B</v>
          </cell>
        </row>
        <row r="259">
          <cell r="A259">
            <v>2257</v>
          </cell>
          <cell r="B259" t="str">
            <v>Rahul G</v>
          </cell>
          <cell r="C259" t="str">
            <v>Jackets</v>
          </cell>
          <cell r="D259">
            <v>45553</v>
          </cell>
          <cell r="E259">
            <v>45562</v>
          </cell>
          <cell r="F259" t="str">
            <v>Mumbai</v>
          </cell>
          <cell r="G259">
            <v>6</v>
          </cell>
          <cell r="H259">
            <v>3151.3</v>
          </cell>
          <cell r="I259">
            <v>18907.8</v>
          </cell>
          <cell r="J259" t="str">
            <v>B2C</v>
          </cell>
        </row>
        <row r="260">
          <cell r="A260">
            <v>2258</v>
          </cell>
          <cell r="B260" t="str">
            <v>Ganesh R</v>
          </cell>
          <cell r="C260" t="str">
            <v>Dresses</v>
          </cell>
          <cell r="D260">
            <v>45269</v>
          </cell>
          <cell r="E260">
            <v>45277</v>
          </cell>
          <cell r="F260" t="str">
            <v>Mumbai</v>
          </cell>
          <cell r="G260">
            <v>6</v>
          </cell>
          <cell r="H260">
            <v>2720.41</v>
          </cell>
          <cell r="I260">
            <v>16322.46</v>
          </cell>
          <cell r="J260" t="str">
            <v>B2B</v>
          </cell>
        </row>
        <row r="261">
          <cell r="A261">
            <v>2259</v>
          </cell>
          <cell r="B261" t="str">
            <v>Arun Pandi</v>
          </cell>
          <cell r="C261" t="str">
            <v>T-Shirts</v>
          </cell>
          <cell r="D261">
            <v>45517</v>
          </cell>
          <cell r="E261">
            <v>45520</v>
          </cell>
          <cell r="F261" t="str">
            <v>Delhi</v>
          </cell>
          <cell r="G261">
            <v>8</v>
          </cell>
          <cell r="H261">
            <v>1465.22</v>
          </cell>
          <cell r="I261">
            <v>11721.76</v>
          </cell>
          <cell r="J261" t="str">
            <v>B2B</v>
          </cell>
        </row>
        <row r="262">
          <cell r="A262">
            <v>2260</v>
          </cell>
          <cell r="B262" t="str">
            <v>Karthik Vel</v>
          </cell>
          <cell r="C262" t="str">
            <v>Dresses</v>
          </cell>
          <cell r="D262">
            <v>45348</v>
          </cell>
          <cell r="E262">
            <v>45363</v>
          </cell>
          <cell r="F262" t="str">
            <v>Hyderabad</v>
          </cell>
          <cell r="G262">
            <v>7</v>
          </cell>
          <cell r="H262">
            <v>1466.87</v>
          </cell>
          <cell r="I262">
            <v>10268.09</v>
          </cell>
          <cell r="J262" t="str">
            <v>B2B</v>
          </cell>
        </row>
        <row r="263">
          <cell r="A263">
            <v>2261</v>
          </cell>
          <cell r="B263" t="str">
            <v>Arun Pandi</v>
          </cell>
          <cell r="C263" t="str">
            <v>Shoes</v>
          </cell>
          <cell r="D263">
            <v>45202</v>
          </cell>
          <cell r="E263">
            <v>45207</v>
          </cell>
          <cell r="F263" t="str">
            <v>Ahmedabad</v>
          </cell>
          <cell r="G263">
            <v>3</v>
          </cell>
          <cell r="H263">
            <v>2641.85</v>
          </cell>
          <cell r="I263">
            <v>7925.55</v>
          </cell>
          <cell r="J263" t="str">
            <v>B2C</v>
          </cell>
        </row>
        <row r="264">
          <cell r="A264">
            <v>2262</v>
          </cell>
          <cell r="B264" t="str">
            <v>Kavitha S</v>
          </cell>
          <cell r="C264" t="str">
            <v>Dresses</v>
          </cell>
          <cell r="D264">
            <v>45580</v>
          </cell>
          <cell r="E264">
            <v>45582</v>
          </cell>
          <cell r="F264" t="str">
            <v>Chennai</v>
          </cell>
          <cell r="G264">
            <v>7</v>
          </cell>
          <cell r="H264">
            <v>2675.59</v>
          </cell>
          <cell r="I264">
            <v>18729.13</v>
          </cell>
          <cell r="J264" t="str">
            <v>B2B</v>
          </cell>
        </row>
        <row r="265">
          <cell r="A265">
            <v>2263</v>
          </cell>
          <cell r="B265" t="str">
            <v>Meena Iyer</v>
          </cell>
          <cell r="C265" t="str">
            <v>Shoes</v>
          </cell>
          <cell r="D265">
            <v>45284</v>
          </cell>
          <cell r="E265">
            <v>45286</v>
          </cell>
          <cell r="F265" t="str">
            <v>Chennai</v>
          </cell>
          <cell r="G265">
            <v>5</v>
          </cell>
          <cell r="H265">
            <v>2626</v>
          </cell>
          <cell r="I265">
            <v>13130</v>
          </cell>
          <cell r="J265" t="str">
            <v>B2C</v>
          </cell>
        </row>
        <row r="266">
          <cell r="A266">
            <v>2264</v>
          </cell>
          <cell r="B266" t="str">
            <v>Divya T</v>
          </cell>
          <cell r="C266" t="str">
            <v>Shoes</v>
          </cell>
          <cell r="D266">
            <v>44578</v>
          </cell>
          <cell r="E266">
            <v>44593</v>
          </cell>
          <cell r="F266" t="str">
            <v>Chennai</v>
          </cell>
          <cell r="G266">
            <v>7</v>
          </cell>
          <cell r="H266">
            <v>929.49</v>
          </cell>
          <cell r="I266">
            <v>6506.43</v>
          </cell>
          <cell r="J266" t="str">
            <v>B2C</v>
          </cell>
        </row>
        <row r="267">
          <cell r="A267">
            <v>2265</v>
          </cell>
          <cell r="B267" t="str">
            <v>Uma S</v>
          </cell>
          <cell r="C267" t="str">
            <v>Dresses</v>
          </cell>
          <cell r="D267">
            <v>45387</v>
          </cell>
          <cell r="E267">
            <v>45394</v>
          </cell>
          <cell r="F267" t="str">
            <v>Chennai</v>
          </cell>
          <cell r="G267">
            <v>7</v>
          </cell>
          <cell r="H267">
            <v>540.44000000000005</v>
          </cell>
          <cell r="I267">
            <v>3783.08</v>
          </cell>
          <cell r="J267" t="str">
            <v>B2B</v>
          </cell>
        </row>
        <row r="268">
          <cell r="A268">
            <v>2266</v>
          </cell>
          <cell r="B268" t="str">
            <v>Sneha R</v>
          </cell>
          <cell r="C268" t="str">
            <v>Shoes</v>
          </cell>
          <cell r="D268">
            <v>45153</v>
          </cell>
          <cell r="E268">
            <v>45156</v>
          </cell>
          <cell r="F268" t="str">
            <v>Bangalore</v>
          </cell>
          <cell r="G268">
            <v>8</v>
          </cell>
          <cell r="H268">
            <v>3892.7</v>
          </cell>
          <cell r="I268">
            <v>31141.599999999999</v>
          </cell>
          <cell r="J268" t="str">
            <v>B2C</v>
          </cell>
        </row>
        <row r="269">
          <cell r="A269">
            <v>2267</v>
          </cell>
          <cell r="B269" t="str">
            <v>Revathi A</v>
          </cell>
          <cell r="C269" t="str">
            <v>Accessories</v>
          </cell>
          <cell r="D269">
            <v>44805</v>
          </cell>
          <cell r="E269">
            <v>44809</v>
          </cell>
          <cell r="F269" t="str">
            <v>Chennai</v>
          </cell>
          <cell r="G269">
            <v>7</v>
          </cell>
          <cell r="H269">
            <v>2054.0300000000002</v>
          </cell>
          <cell r="I269">
            <v>14378.21</v>
          </cell>
          <cell r="J269" t="str">
            <v>B2C</v>
          </cell>
        </row>
        <row r="270">
          <cell r="A270">
            <v>2268</v>
          </cell>
          <cell r="B270" t="str">
            <v>Nithya R</v>
          </cell>
          <cell r="C270" t="str">
            <v>Dresses</v>
          </cell>
          <cell r="D270">
            <v>44857</v>
          </cell>
          <cell r="E270">
            <v>44862</v>
          </cell>
          <cell r="F270" t="str">
            <v>Hyderabad</v>
          </cell>
          <cell r="G270">
            <v>7</v>
          </cell>
          <cell r="H270">
            <v>2650.37</v>
          </cell>
          <cell r="I270">
            <v>18552.59</v>
          </cell>
          <cell r="J270" t="str">
            <v>B2B</v>
          </cell>
        </row>
        <row r="271">
          <cell r="A271">
            <v>2269</v>
          </cell>
          <cell r="B271" t="str">
            <v>Karthik Vel</v>
          </cell>
          <cell r="C271" t="str">
            <v>T-Shirts</v>
          </cell>
          <cell r="D271">
            <v>45244</v>
          </cell>
          <cell r="E271">
            <v>45258</v>
          </cell>
          <cell r="F271" t="str">
            <v>Bangalore</v>
          </cell>
          <cell r="G271">
            <v>8</v>
          </cell>
          <cell r="H271">
            <v>1000.02</v>
          </cell>
          <cell r="I271">
            <v>8000.16</v>
          </cell>
          <cell r="J271" t="str">
            <v>B2B</v>
          </cell>
        </row>
        <row r="272">
          <cell r="A272">
            <v>2270</v>
          </cell>
          <cell r="B272" t="str">
            <v>Arun Pandi</v>
          </cell>
          <cell r="C272" t="str">
            <v>Shoes</v>
          </cell>
          <cell r="D272">
            <v>45214</v>
          </cell>
          <cell r="E272">
            <v>45218</v>
          </cell>
          <cell r="F272" t="str">
            <v>Bangalore</v>
          </cell>
          <cell r="G272">
            <v>5</v>
          </cell>
          <cell r="H272">
            <v>3090.51</v>
          </cell>
          <cell r="I272">
            <v>15452.55</v>
          </cell>
          <cell r="J272" t="str">
            <v>B2C</v>
          </cell>
        </row>
        <row r="273">
          <cell r="A273">
            <v>2271</v>
          </cell>
          <cell r="B273" t="str">
            <v>Ganesh R</v>
          </cell>
          <cell r="C273" t="str">
            <v>Shoes</v>
          </cell>
          <cell r="D273">
            <v>45175</v>
          </cell>
          <cell r="E273">
            <v>45184</v>
          </cell>
          <cell r="F273" t="str">
            <v>Ahmedabad</v>
          </cell>
          <cell r="G273">
            <v>1</v>
          </cell>
          <cell r="H273">
            <v>2031.28</v>
          </cell>
          <cell r="I273">
            <v>2031.28</v>
          </cell>
          <cell r="J273" t="str">
            <v>B2B</v>
          </cell>
        </row>
        <row r="274">
          <cell r="A274">
            <v>2272</v>
          </cell>
          <cell r="B274" t="str">
            <v>Pooja M</v>
          </cell>
          <cell r="C274" t="str">
            <v>Shoes</v>
          </cell>
          <cell r="D274">
            <v>45192</v>
          </cell>
          <cell r="E274">
            <v>45206</v>
          </cell>
          <cell r="F274" t="str">
            <v>Pune</v>
          </cell>
          <cell r="G274">
            <v>1</v>
          </cell>
          <cell r="H274">
            <v>3105.48</v>
          </cell>
          <cell r="I274">
            <v>3105.48</v>
          </cell>
          <cell r="J274" t="str">
            <v>B2C</v>
          </cell>
        </row>
        <row r="275">
          <cell r="A275">
            <v>2273</v>
          </cell>
          <cell r="B275" t="str">
            <v>Balaji N</v>
          </cell>
          <cell r="C275" t="str">
            <v>Shoes</v>
          </cell>
          <cell r="D275">
            <v>45028</v>
          </cell>
          <cell r="E275">
            <v>45041</v>
          </cell>
          <cell r="F275" t="str">
            <v>Chennai</v>
          </cell>
          <cell r="G275">
            <v>8</v>
          </cell>
          <cell r="H275">
            <v>1101.4100000000001</v>
          </cell>
          <cell r="I275">
            <v>8811.2800000000007</v>
          </cell>
          <cell r="J275" t="str">
            <v>B2C</v>
          </cell>
        </row>
        <row r="276">
          <cell r="A276">
            <v>2274</v>
          </cell>
          <cell r="B276" t="str">
            <v>Deepa K</v>
          </cell>
          <cell r="C276" t="str">
            <v>Accessories</v>
          </cell>
          <cell r="D276">
            <v>45058</v>
          </cell>
          <cell r="E276">
            <v>45060</v>
          </cell>
          <cell r="F276" t="str">
            <v>Hyderabad</v>
          </cell>
          <cell r="G276">
            <v>2</v>
          </cell>
          <cell r="H276">
            <v>1196.69</v>
          </cell>
          <cell r="I276">
            <v>2393.38</v>
          </cell>
          <cell r="J276" t="str">
            <v>B2C</v>
          </cell>
        </row>
        <row r="277">
          <cell r="A277">
            <v>2275</v>
          </cell>
          <cell r="B277" t="str">
            <v>Arun Pandi</v>
          </cell>
          <cell r="C277" t="str">
            <v>Jackets</v>
          </cell>
          <cell r="D277">
            <v>44872</v>
          </cell>
          <cell r="E277">
            <v>44880</v>
          </cell>
          <cell r="F277" t="str">
            <v>Pune</v>
          </cell>
          <cell r="G277">
            <v>4</v>
          </cell>
          <cell r="H277">
            <v>2228.77</v>
          </cell>
          <cell r="I277">
            <v>8915.08</v>
          </cell>
          <cell r="J277" t="str">
            <v>B2C</v>
          </cell>
        </row>
        <row r="278">
          <cell r="A278">
            <v>2276</v>
          </cell>
          <cell r="B278" t="str">
            <v>Uma S</v>
          </cell>
          <cell r="C278" t="str">
            <v>Accessories</v>
          </cell>
          <cell r="D278">
            <v>44689</v>
          </cell>
          <cell r="E278">
            <v>44702</v>
          </cell>
          <cell r="F278" t="str">
            <v>Mumbai</v>
          </cell>
          <cell r="G278">
            <v>4</v>
          </cell>
          <cell r="H278">
            <v>2936.17</v>
          </cell>
          <cell r="I278">
            <v>11744.68</v>
          </cell>
          <cell r="J278" t="str">
            <v>B2C</v>
          </cell>
        </row>
        <row r="279">
          <cell r="A279">
            <v>2277</v>
          </cell>
          <cell r="B279" t="str">
            <v>Santhosh P</v>
          </cell>
          <cell r="C279" t="str">
            <v>Jackets</v>
          </cell>
          <cell r="D279">
            <v>45204</v>
          </cell>
          <cell r="E279">
            <v>45208</v>
          </cell>
          <cell r="F279" t="str">
            <v>Bangalore</v>
          </cell>
          <cell r="G279">
            <v>6</v>
          </cell>
          <cell r="H279">
            <v>2867.48</v>
          </cell>
          <cell r="I279">
            <v>17204.88</v>
          </cell>
          <cell r="J279" t="str">
            <v>B2C</v>
          </cell>
        </row>
        <row r="280">
          <cell r="A280">
            <v>2278</v>
          </cell>
          <cell r="B280" t="str">
            <v>Revathi A</v>
          </cell>
          <cell r="C280" t="str">
            <v>Jackets</v>
          </cell>
          <cell r="D280">
            <v>44955</v>
          </cell>
          <cell r="E280">
            <v>44960</v>
          </cell>
          <cell r="F280" t="str">
            <v>Delhi</v>
          </cell>
          <cell r="G280">
            <v>5</v>
          </cell>
          <cell r="H280">
            <v>1356.88</v>
          </cell>
          <cell r="I280">
            <v>6784.4</v>
          </cell>
          <cell r="J280" t="str">
            <v>B2C</v>
          </cell>
        </row>
        <row r="281">
          <cell r="A281">
            <v>2279</v>
          </cell>
          <cell r="B281" t="str">
            <v>Prakash V</v>
          </cell>
          <cell r="C281" t="str">
            <v>Dresses</v>
          </cell>
          <cell r="D281">
            <v>44986</v>
          </cell>
          <cell r="E281">
            <v>44999</v>
          </cell>
          <cell r="F281" t="str">
            <v>Pune</v>
          </cell>
          <cell r="G281">
            <v>8</v>
          </cell>
          <cell r="H281">
            <v>1790.09</v>
          </cell>
          <cell r="I281">
            <v>14320.72</v>
          </cell>
          <cell r="J281" t="str">
            <v>B2C</v>
          </cell>
        </row>
        <row r="282">
          <cell r="A282">
            <v>2280</v>
          </cell>
          <cell r="B282" t="str">
            <v>Nithya R</v>
          </cell>
          <cell r="C282" t="str">
            <v>Accessories</v>
          </cell>
          <cell r="D282">
            <v>45122</v>
          </cell>
          <cell r="E282">
            <v>45128</v>
          </cell>
          <cell r="F282" t="str">
            <v>Chennai</v>
          </cell>
          <cell r="G282">
            <v>7</v>
          </cell>
          <cell r="H282">
            <v>4510.07</v>
          </cell>
          <cell r="I282">
            <v>31570.49</v>
          </cell>
          <cell r="J282" t="str">
            <v>B2C</v>
          </cell>
        </row>
        <row r="283">
          <cell r="A283">
            <v>2281</v>
          </cell>
          <cell r="B283" t="str">
            <v>Sneha R</v>
          </cell>
          <cell r="C283" t="str">
            <v>T-Shirts</v>
          </cell>
          <cell r="D283">
            <v>45156</v>
          </cell>
          <cell r="E283">
            <v>45158</v>
          </cell>
          <cell r="F283" t="str">
            <v>Delhi</v>
          </cell>
          <cell r="G283">
            <v>2</v>
          </cell>
          <cell r="H283">
            <v>1927.91</v>
          </cell>
          <cell r="I283">
            <v>3855.82</v>
          </cell>
          <cell r="J283" t="str">
            <v>B2C</v>
          </cell>
        </row>
        <row r="284">
          <cell r="A284">
            <v>2282</v>
          </cell>
          <cell r="B284" t="str">
            <v>Balaji N</v>
          </cell>
          <cell r="C284" t="str">
            <v>Dresses</v>
          </cell>
          <cell r="D284">
            <v>45543</v>
          </cell>
          <cell r="E284">
            <v>45548</v>
          </cell>
          <cell r="F284" t="str">
            <v>Mumbai</v>
          </cell>
          <cell r="G284">
            <v>5</v>
          </cell>
          <cell r="H284">
            <v>4685.21</v>
          </cell>
          <cell r="I284">
            <v>23426.05</v>
          </cell>
          <cell r="J284" t="str">
            <v>B2C</v>
          </cell>
        </row>
        <row r="285">
          <cell r="A285">
            <v>2283</v>
          </cell>
          <cell r="B285" t="str">
            <v>Deepa K</v>
          </cell>
          <cell r="C285" t="str">
            <v>Jeans</v>
          </cell>
          <cell r="D285">
            <v>45052</v>
          </cell>
          <cell r="E285">
            <v>45057</v>
          </cell>
          <cell r="F285" t="str">
            <v>Chennai</v>
          </cell>
          <cell r="G285">
            <v>4</v>
          </cell>
          <cell r="H285">
            <v>3298.34</v>
          </cell>
          <cell r="I285">
            <v>13193.36</v>
          </cell>
          <cell r="J285" t="str">
            <v>B2B</v>
          </cell>
        </row>
        <row r="286">
          <cell r="A286">
            <v>2284</v>
          </cell>
          <cell r="B286" t="str">
            <v>Suresh M</v>
          </cell>
          <cell r="C286" t="str">
            <v>Jackets</v>
          </cell>
          <cell r="D286">
            <v>45238</v>
          </cell>
          <cell r="E286">
            <v>45251</v>
          </cell>
          <cell r="F286" t="str">
            <v>Bangalore</v>
          </cell>
          <cell r="G286">
            <v>2</v>
          </cell>
          <cell r="H286">
            <v>3501.6</v>
          </cell>
          <cell r="I286">
            <v>7003.2</v>
          </cell>
          <cell r="J286" t="str">
            <v>B2B</v>
          </cell>
        </row>
        <row r="287">
          <cell r="A287">
            <v>2285</v>
          </cell>
          <cell r="B287" t="str">
            <v>Anitha Raj</v>
          </cell>
          <cell r="C287" t="str">
            <v>Shoes</v>
          </cell>
          <cell r="D287">
            <v>44885</v>
          </cell>
          <cell r="E287">
            <v>44893</v>
          </cell>
          <cell r="F287" t="str">
            <v>Pune</v>
          </cell>
          <cell r="G287">
            <v>8</v>
          </cell>
          <cell r="H287">
            <v>2544.0100000000002</v>
          </cell>
          <cell r="I287">
            <v>20352.080000000002</v>
          </cell>
          <cell r="J287" t="str">
            <v>B2B</v>
          </cell>
        </row>
        <row r="288">
          <cell r="A288">
            <v>2286</v>
          </cell>
          <cell r="B288" t="str">
            <v>Prakash V</v>
          </cell>
          <cell r="C288" t="str">
            <v>Dresses</v>
          </cell>
          <cell r="D288">
            <v>45219</v>
          </cell>
          <cell r="E288">
            <v>45225</v>
          </cell>
          <cell r="F288" t="str">
            <v>Pune</v>
          </cell>
          <cell r="G288">
            <v>1</v>
          </cell>
          <cell r="H288">
            <v>4567.3</v>
          </cell>
          <cell r="I288">
            <v>4567.3</v>
          </cell>
          <cell r="J288" t="str">
            <v>B2B</v>
          </cell>
        </row>
        <row r="289">
          <cell r="A289">
            <v>2287</v>
          </cell>
          <cell r="B289" t="str">
            <v>Balaji N</v>
          </cell>
          <cell r="C289" t="str">
            <v>Shoes</v>
          </cell>
          <cell r="D289">
            <v>45037</v>
          </cell>
          <cell r="E289">
            <v>45047</v>
          </cell>
          <cell r="F289" t="str">
            <v>Pune</v>
          </cell>
          <cell r="G289">
            <v>1</v>
          </cell>
          <cell r="H289">
            <v>4592.18</v>
          </cell>
          <cell r="I289">
            <v>4592.18</v>
          </cell>
          <cell r="J289" t="str">
            <v>B2B</v>
          </cell>
        </row>
        <row r="290">
          <cell r="A290">
            <v>2288</v>
          </cell>
          <cell r="B290" t="str">
            <v>Pooja M</v>
          </cell>
          <cell r="C290" t="str">
            <v>T-Shirts</v>
          </cell>
          <cell r="D290">
            <v>44636</v>
          </cell>
          <cell r="E290">
            <v>44651</v>
          </cell>
          <cell r="F290" t="str">
            <v>Bangalore</v>
          </cell>
          <cell r="G290">
            <v>8</v>
          </cell>
          <cell r="H290">
            <v>1175.6600000000001</v>
          </cell>
          <cell r="I290">
            <v>9405.2800000000007</v>
          </cell>
          <cell r="J290" t="str">
            <v>B2C</v>
          </cell>
        </row>
        <row r="291">
          <cell r="A291">
            <v>2289</v>
          </cell>
          <cell r="B291" t="str">
            <v>Karthik Vel</v>
          </cell>
          <cell r="C291" t="str">
            <v>Jeans</v>
          </cell>
          <cell r="D291">
            <v>45173</v>
          </cell>
          <cell r="E291">
            <v>45184</v>
          </cell>
          <cell r="F291" t="str">
            <v>Hyderabad</v>
          </cell>
          <cell r="G291">
            <v>2</v>
          </cell>
          <cell r="H291">
            <v>4663.74</v>
          </cell>
          <cell r="I291">
            <v>9327.48</v>
          </cell>
          <cell r="J291" t="str">
            <v>B2C</v>
          </cell>
        </row>
        <row r="292">
          <cell r="A292">
            <v>2290</v>
          </cell>
          <cell r="B292" t="str">
            <v>Divya T</v>
          </cell>
          <cell r="C292" t="str">
            <v>Jackets</v>
          </cell>
          <cell r="D292">
            <v>45635</v>
          </cell>
          <cell r="E292">
            <v>45644</v>
          </cell>
          <cell r="F292" t="str">
            <v>Mumbai</v>
          </cell>
          <cell r="G292">
            <v>8</v>
          </cell>
          <cell r="H292">
            <v>1582.33</v>
          </cell>
          <cell r="I292">
            <v>12658.64</v>
          </cell>
          <cell r="J292" t="str">
            <v>B2B</v>
          </cell>
        </row>
        <row r="293">
          <cell r="A293">
            <v>2291</v>
          </cell>
          <cell r="B293" t="str">
            <v>Arun Pandi</v>
          </cell>
          <cell r="C293" t="str">
            <v>T-Shirts</v>
          </cell>
          <cell r="D293">
            <v>45501</v>
          </cell>
          <cell r="E293">
            <v>45513</v>
          </cell>
          <cell r="F293" t="str">
            <v>Delhi</v>
          </cell>
          <cell r="G293">
            <v>3</v>
          </cell>
          <cell r="H293">
            <v>366.2</v>
          </cell>
          <cell r="I293">
            <v>1098.5999999999999</v>
          </cell>
          <cell r="J293" t="str">
            <v>B2C</v>
          </cell>
        </row>
        <row r="294">
          <cell r="A294">
            <v>2292</v>
          </cell>
          <cell r="B294" t="str">
            <v>Divya T</v>
          </cell>
          <cell r="C294" t="str">
            <v>Shoes</v>
          </cell>
          <cell r="D294">
            <v>44957</v>
          </cell>
          <cell r="E294">
            <v>44961</v>
          </cell>
          <cell r="F294" t="str">
            <v>Hyderabad</v>
          </cell>
          <cell r="G294">
            <v>7</v>
          </cell>
          <cell r="H294">
            <v>4186.8500000000004</v>
          </cell>
          <cell r="I294">
            <v>29307.95</v>
          </cell>
          <cell r="J294" t="str">
            <v>B2C</v>
          </cell>
        </row>
        <row r="295">
          <cell r="A295">
            <v>2293</v>
          </cell>
          <cell r="B295" t="str">
            <v>Priya Nair</v>
          </cell>
          <cell r="C295" t="str">
            <v>Jackets</v>
          </cell>
          <cell r="D295">
            <v>44757</v>
          </cell>
          <cell r="E295">
            <v>44761</v>
          </cell>
          <cell r="F295" t="str">
            <v>Mumbai</v>
          </cell>
          <cell r="G295">
            <v>8</v>
          </cell>
          <cell r="H295">
            <v>1820.93</v>
          </cell>
          <cell r="I295">
            <v>14567.44</v>
          </cell>
          <cell r="J295" t="str">
            <v>B2B</v>
          </cell>
        </row>
        <row r="296">
          <cell r="A296">
            <v>2294</v>
          </cell>
          <cell r="B296" t="str">
            <v>Anitha Raj</v>
          </cell>
          <cell r="C296" t="str">
            <v>Dresses</v>
          </cell>
          <cell r="D296">
            <v>45347</v>
          </cell>
          <cell r="E296">
            <v>45352</v>
          </cell>
          <cell r="F296" t="str">
            <v>Bangalore</v>
          </cell>
          <cell r="G296">
            <v>5</v>
          </cell>
          <cell r="H296">
            <v>4783.96</v>
          </cell>
          <cell r="I296">
            <v>23919.8</v>
          </cell>
          <cell r="J296" t="str">
            <v>B2C</v>
          </cell>
        </row>
        <row r="297">
          <cell r="A297">
            <v>2295</v>
          </cell>
          <cell r="B297" t="str">
            <v>Manoj K</v>
          </cell>
          <cell r="C297" t="str">
            <v>Accessories</v>
          </cell>
          <cell r="D297">
            <v>44585</v>
          </cell>
          <cell r="E297">
            <v>44591</v>
          </cell>
          <cell r="F297" t="str">
            <v>Pune</v>
          </cell>
          <cell r="G297">
            <v>6</v>
          </cell>
          <cell r="H297">
            <v>3556.01</v>
          </cell>
          <cell r="I297">
            <v>21336.06</v>
          </cell>
          <cell r="J297" t="str">
            <v>B2B</v>
          </cell>
        </row>
        <row r="298">
          <cell r="A298">
            <v>2296</v>
          </cell>
          <cell r="B298" t="str">
            <v>Saranya D</v>
          </cell>
          <cell r="C298" t="str">
            <v>Jeans</v>
          </cell>
          <cell r="D298">
            <v>45515</v>
          </cell>
          <cell r="E298">
            <v>45521</v>
          </cell>
          <cell r="F298" t="str">
            <v>Mumbai</v>
          </cell>
          <cell r="G298">
            <v>7</v>
          </cell>
          <cell r="H298">
            <v>3524.55</v>
          </cell>
          <cell r="I298">
            <v>24671.85</v>
          </cell>
          <cell r="J298" t="str">
            <v>B2C</v>
          </cell>
        </row>
        <row r="299">
          <cell r="A299">
            <v>2297</v>
          </cell>
          <cell r="B299" t="str">
            <v>Ganesh R</v>
          </cell>
          <cell r="C299" t="str">
            <v>Jeans</v>
          </cell>
          <cell r="D299">
            <v>45166</v>
          </cell>
          <cell r="E299">
            <v>45173</v>
          </cell>
          <cell r="F299" t="str">
            <v>Hyderabad</v>
          </cell>
          <cell r="G299">
            <v>4</v>
          </cell>
          <cell r="H299">
            <v>1329.9</v>
          </cell>
          <cell r="I299">
            <v>5319.6</v>
          </cell>
          <cell r="J299" t="str">
            <v>B2B</v>
          </cell>
        </row>
        <row r="300">
          <cell r="A300">
            <v>2298</v>
          </cell>
          <cell r="B300" t="str">
            <v>Kavitha S</v>
          </cell>
          <cell r="C300" t="str">
            <v>T-Shirts</v>
          </cell>
          <cell r="D300">
            <v>45493</v>
          </cell>
          <cell r="E300">
            <v>45506</v>
          </cell>
          <cell r="F300" t="str">
            <v>Hyderabad</v>
          </cell>
          <cell r="G300">
            <v>6</v>
          </cell>
          <cell r="H300">
            <v>2254.4699999999998</v>
          </cell>
          <cell r="I300">
            <v>13526.82</v>
          </cell>
          <cell r="J300" t="str">
            <v>B2C</v>
          </cell>
        </row>
        <row r="301">
          <cell r="A301">
            <v>2299</v>
          </cell>
          <cell r="B301" t="str">
            <v>Prakash V</v>
          </cell>
          <cell r="C301" t="str">
            <v>Shoes</v>
          </cell>
          <cell r="D301">
            <v>45009</v>
          </cell>
          <cell r="E301">
            <v>45023</v>
          </cell>
          <cell r="F301" t="str">
            <v>Mumbai</v>
          </cell>
          <cell r="G301">
            <v>2</v>
          </cell>
          <cell r="H301">
            <v>2769.88</v>
          </cell>
          <cell r="I301">
            <v>5539.76</v>
          </cell>
          <cell r="J301" t="str">
            <v>B2C</v>
          </cell>
        </row>
        <row r="302">
          <cell r="A302">
            <v>2300</v>
          </cell>
          <cell r="B302" t="str">
            <v>Priya Nair</v>
          </cell>
          <cell r="C302" t="str">
            <v>Shoes</v>
          </cell>
          <cell r="D302">
            <v>44791</v>
          </cell>
          <cell r="E302">
            <v>44793</v>
          </cell>
          <cell r="F302" t="str">
            <v>Ahmedabad</v>
          </cell>
          <cell r="G302">
            <v>4</v>
          </cell>
          <cell r="H302">
            <v>2991.7</v>
          </cell>
          <cell r="I302">
            <v>11966.8</v>
          </cell>
          <cell r="J302" t="str">
            <v>B2B</v>
          </cell>
        </row>
        <row r="303">
          <cell r="A303">
            <v>2301</v>
          </cell>
          <cell r="B303" t="str">
            <v>Arjun Reddy</v>
          </cell>
          <cell r="C303" t="str">
            <v>Dresses</v>
          </cell>
          <cell r="D303">
            <v>45627</v>
          </cell>
          <cell r="E303">
            <v>45636</v>
          </cell>
          <cell r="F303" t="str">
            <v>Chennai</v>
          </cell>
          <cell r="G303">
            <v>4</v>
          </cell>
          <cell r="H303">
            <v>3669.51</v>
          </cell>
          <cell r="I303">
            <v>14678.04</v>
          </cell>
          <cell r="J303" t="str">
            <v>B2C</v>
          </cell>
        </row>
        <row r="304">
          <cell r="A304">
            <v>2302</v>
          </cell>
          <cell r="B304" t="str">
            <v>Priya Nair</v>
          </cell>
          <cell r="C304" t="str">
            <v>Shoes</v>
          </cell>
          <cell r="D304">
            <v>45474</v>
          </cell>
          <cell r="E304">
            <v>45488</v>
          </cell>
          <cell r="F304" t="str">
            <v>Chennai</v>
          </cell>
          <cell r="G304">
            <v>8</v>
          </cell>
          <cell r="H304">
            <v>920.14</v>
          </cell>
          <cell r="I304">
            <v>7361.12</v>
          </cell>
          <cell r="J304" t="str">
            <v>B2C</v>
          </cell>
        </row>
        <row r="305">
          <cell r="A305">
            <v>2303</v>
          </cell>
          <cell r="B305" t="str">
            <v>Rahul G</v>
          </cell>
          <cell r="C305" t="str">
            <v>Shoes</v>
          </cell>
          <cell r="D305">
            <v>44680</v>
          </cell>
          <cell r="E305">
            <v>44690</v>
          </cell>
          <cell r="F305" t="str">
            <v>Bangalore</v>
          </cell>
          <cell r="G305">
            <v>5</v>
          </cell>
          <cell r="H305">
            <v>3699.42</v>
          </cell>
          <cell r="I305">
            <v>18497.099999999999</v>
          </cell>
          <cell r="J305" t="str">
            <v>B2C</v>
          </cell>
        </row>
        <row r="306">
          <cell r="A306">
            <v>2304</v>
          </cell>
          <cell r="B306" t="str">
            <v>Ravi Kumar</v>
          </cell>
          <cell r="C306" t="str">
            <v>Jeans</v>
          </cell>
          <cell r="D306">
            <v>45008</v>
          </cell>
          <cell r="E306">
            <v>45019</v>
          </cell>
          <cell r="F306" t="str">
            <v>Chennai</v>
          </cell>
          <cell r="G306">
            <v>1</v>
          </cell>
          <cell r="H306">
            <v>2291.38</v>
          </cell>
          <cell r="I306">
            <v>2291.38</v>
          </cell>
          <cell r="J306" t="str">
            <v>B2B</v>
          </cell>
        </row>
        <row r="307">
          <cell r="A307">
            <v>2305</v>
          </cell>
          <cell r="B307" t="str">
            <v>Nithya R</v>
          </cell>
          <cell r="C307" t="str">
            <v>Jeans</v>
          </cell>
          <cell r="D307">
            <v>44703</v>
          </cell>
          <cell r="E307">
            <v>44712</v>
          </cell>
          <cell r="F307" t="str">
            <v>Chennai</v>
          </cell>
          <cell r="G307">
            <v>5</v>
          </cell>
          <cell r="H307">
            <v>2221.67</v>
          </cell>
          <cell r="I307">
            <v>11108.35</v>
          </cell>
          <cell r="J307" t="str">
            <v>B2B</v>
          </cell>
        </row>
        <row r="308">
          <cell r="A308">
            <v>2306</v>
          </cell>
          <cell r="B308" t="str">
            <v>Prakash V</v>
          </cell>
          <cell r="C308" t="str">
            <v>Accessories</v>
          </cell>
          <cell r="D308">
            <v>45422</v>
          </cell>
          <cell r="E308">
            <v>45429</v>
          </cell>
          <cell r="F308" t="str">
            <v>Bangalore</v>
          </cell>
          <cell r="G308">
            <v>8</v>
          </cell>
          <cell r="H308">
            <v>4387.22</v>
          </cell>
          <cell r="I308">
            <v>35097.760000000002</v>
          </cell>
          <cell r="J308" t="str">
            <v>B2C</v>
          </cell>
        </row>
        <row r="309">
          <cell r="A309">
            <v>2307</v>
          </cell>
          <cell r="B309" t="str">
            <v>Vijay K</v>
          </cell>
          <cell r="C309" t="str">
            <v>Jeans</v>
          </cell>
          <cell r="D309">
            <v>44834</v>
          </cell>
          <cell r="E309">
            <v>44846</v>
          </cell>
          <cell r="F309" t="str">
            <v>Ahmedabad</v>
          </cell>
          <cell r="G309">
            <v>6</v>
          </cell>
          <cell r="H309">
            <v>857.58</v>
          </cell>
          <cell r="I309">
            <v>5145.4799999999996</v>
          </cell>
          <cell r="J309" t="str">
            <v>B2C</v>
          </cell>
        </row>
        <row r="310">
          <cell r="A310">
            <v>2308</v>
          </cell>
          <cell r="B310" t="str">
            <v>Santhosh P</v>
          </cell>
          <cell r="C310" t="str">
            <v>T-Shirts</v>
          </cell>
          <cell r="D310">
            <v>45018</v>
          </cell>
          <cell r="E310">
            <v>45033</v>
          </cell>
          <cell r="F310" t="str">
            <v>Chennai</v>
          </cell>
          <cell r="G310">
            <v>1</v>
          </cell>
          <cell r="H310">
            <v>4898.91</v>
          </cell>
          <cell r="I310">
            <v>4898.91</v>
          </cell>
          <cell r="J310" t="str">
            <v>B2C</v>
          </cell>
        </row>
        <row r="311">
          <cell r="A311">
            <v>2309</v>
          </cell>
          <cell r="B311" t="str">
            <v>Saranya D</v>
          </cell>
          <cell r="C311" t="str">
            <v>Accessories</v>
          </cell>
          <cell r="D311">
            <v>45430</v>
          </cell>
          <cell r="E311">
            <v>45440</v>
          </cell>
          <cell r="F311" t="str">
            <v>Bangalore</v>
          </cell>
          <cell r="G311">
            <v>4</v>
          </cell>
          <cell r="H311">
            <v>1463.31</v>
          </cell>
          <cell r="I311">
            <v>5853.24</v>
          </cell>
          <cell r="J311" t="str">
            <v>B2C</v>
          </cell>
        </row>
        <row r="312">
          <cell r="A312">
            <v>2310</v>
          </cell>
          <cell r="B312" t="str">
            <v>Deepa K</v>
          </cell>
          <cell r="C312" t="str">
            <v>Dresses</v>
          </cell>
          <cell r="D312">
            <v>44948</v>
          </cell>
          <cell r="E312">
            <v>44961</v>
          </cell>
          <cell r="F312" t="str">
            <v>Ahmedabad</v>
          </cell>
          <cell r="G312">
            <v>2</v>
          </cell>
          <cell r="H312">
            <v>451.42</v>
          </cell>
          <cell r="I312">
            <v>902.84</v>
          </cell>
          <cell r="J312" t="str">
            <v>B2C</v>
          </cell>
        </row>
        <row r="313">
          <cell r="A313">
            <v>2311</v>
          </cell>
          <cell r="B313" t="str">
            <v>Revathi A</v>
          </cell>
          <cell r="C313" t="str">
            <v>Jeans</v>
          </cell>
          <cell r="D313">
            <v>45054</v>
          </cell>
          <cell r="E313">
            <v>45059</v>
          </cell>
          <cell r="F313" t="str">
            <v>Chennai</v>
          </cell>
          <cell r="G313">
            <v>2</v>
          </cell>
          <cell r="H313">
            <v>3091.54</v>
          </cell>
          <cell r="I313">
            <v>6183.08</v>
          </cell>
          <cell r="J313" t="str">
            <v>B2C</v>
          </cell>
        </row>
        <row r="314">
          <cell r="A314">
            <v>2312</v>
          </cell>
          <cell r="B314" t="str">
            <v>Revathi A</v>
          </cell>
          <cell r="C314" t="str">
            <v>Accessories</v>
          </cell>
          <cell r="D314">
            <v>44661</v>
          </cell>
          <cell r="E314">
            <v>44666</v>
          </cell>
          <cell r="F314" t="str">
            <v>Pune</v>
          </cell>
          <cell r="G314">
            <v>1</v>
          </cell>
          <cell r="H314">
            <v>2190.65</v>
          </cell>
          <cell r="I314">
            <v>2190.65</v>
          </cell>
          <cell r="J314" t="str">
            <v>B2B</v>
          </cell>
        </row>
        <row r="315">
          <cell r="A315">
            <v>2313</v>
          </cell>
          <cell r="B315" t="str">
            <v>Nithya R</v>
          </cell>
          <cell r="C315" t="str">
            <v>T-Shirts</v>
          </cell>
          <cell r="D315">
            <v>44677</v>
          </cell>
          <cell r="E315">
            <v>44681</v>
          </cell>
          <cell r="F315" t="str">
            <v>Hyderabad</v>
          </cell>
          <cell r="G315">
            <v>5</v>
          </cell>
          <cell r="H315">
            <v>1400.56</v>
          </cell>
          <cell r="I315">
            <v>7002.8</v>
          </cell>
          <cell r="J315" t="str">
            <v>B2C</v>
          </cell>
        </row>
        <row r="316">
          <cell r="A316">
            <v>2314</v>
          </cell>
          <cell r="B316" t="str">
            <v>Manoj K</v>
          </cell>
          <cell r="C316" t="str">
            <v>Shoes</v>
          </cell>
          <cell r="D316">
            <v>45218</v>
          </cell>
          <cell r="E316">
            <v>45223</v>
          </cell>
          <cell r="F316" t="str">
            <v>Delhi</v>
          </cell>
          <cell r="G316">
            <v>3</v>
          </cell>
          <cell r="H316">
            <v>4932.7700000000004</v>
          </cell>
          <cell r="I316">
            <v>14798.31</v>
          </cell>
          <cell r="J316" t="str">
            <v>B2B</v>
          </cell>
        </row>
        <row r="317">
          <cell r="A317">
            <v>2315</v>
          </cell>
          <cell r="B317" t="str">
            <v>Pooja M</v>
          </cell>
          <cell r="C317" t="str">
            <v>Dresses</v>
          </cell>
          <cell r="D317">
            <v>45125</v>
          </cell>
          <cell r="E317">
            <v>45127</v>
          </cell>
          <cell r="F317" t="str">
            <v>Hyderabad</v>
          </cell>
          <cell r="G317">
            <v>3</v>
          </cell>
          <cell r="H317">
            <v>3242.17</v>
          </cell>
          <cell r="I317">
            <v>9726.51</v>
          </cell>
          <cell r="J317" t="str">
            <v>B2C</v>
          </cell>
        </row>
        <row r="318">
          <cell r="A318">
            <v>2316</v>
          </cell>
          <cell r="B318" t="str">
            <v>Nithya R</v>
          </cell>
          <cell r="C318" t="str">
            <v>Jackets</v>
          </cell>
          <cell r="D318">
            <v>44658</v>
          </cell>
          <cell r="E318">
            <v>44665</v>
          </cell>
          <cell r="F318" t="str">
            <v>Pune</v>
          </cell>
          <cell r="G318">
            <v>7</v>
          </cell>
          <cell r="H318">
            <v>3993.28</v>
          </cell>
          <cell r="I318">
            <v>27952.959999999999</v>
          </cell>
          <cell r="J318" t="str">
            <v>B2C</v>
          </cell>
        </row>
        <row r="319">
          <cell r="A319">
            <v>2317</v>
          </cell>
          <cell r="B319" t="str">
            <v>Ganesh R</v>
          </cell>
          <cell r="C319" t="str">
            <v>Jackets</v>
          </cell>
          <cell r="D319">
            <v>45398</v>
          </cell>
          <cell r="E319">
            <v>45402</v>
          </cell>
          <cell r="F319" t="str">
            <v>Delhi</v>
          </cell>
          <cell r="G319">
            <v>7</v>
          </cell>
          <cell r="H319">
            <v>1164.23</v>
          </cell>
          <cell r="I319">
            <v>8149.61</v>
          </cell>
          <cell r="J319" t="str">
            <v>B2C</v>
          </cell>
        </row>
        <row r="320">
          <cell r="A320">
            <v>2318</v>
          </cell>
          <cell r="B320" t="str">
            <v>Lakshmi S</v>
          </cell>
          <cell r="C320" t="str">
            <v>T-Shirts</v>
          </cell>
          <cell r="D320">
            <v>45177</v>
          </cell>
          <cell r="E320">
            <v>45192</v>
          </cell>
          <cell r="F320" t="str">
            <v>Pune</v>
          </cell>
          <cell r="G320">
            <v>3</v>
          </cell>
          <cell r="H320">
            <v>4087.15</v>
          </cell>
          <cell r="I320">
            <v>12261.45</v>
          </cell>
          <cell r="J320" t="str">
            <v>B2B</v>
          </cell>
        </row>
        <row r="321">
          <cell r="A321">
            <v>2319</v>
          </cell>
          <cell r="B321" t="str">
            <v>Nithya R</v>
          </cell>
          <cell r="C321" t="str">
            <v>Jackets</v>
          </cell>
          <cell r="D321">
            <v>45415</v>
          </cell>
          <cell r="E321">
            <v>45425</v>
          </cell>
          <cell r="F321" t="str">
            <v>Hyderabad</v>
          </cell>
          <cell r="G321">
            <v>3</v>
          </cell>
          <cell r="H321">
            <v>2125.5700000000002</v>
          </cell>
          <cell r="I321">
            <v>6376.71</v>
          </cell>
          <cell r="J321" t="str">
            <v>B2C</v>
          </cell>
        </row>
        <row r="322">
          <cell r="A322">
            <v>2320</v>
          </cell>
          <cell r="B322" t="str">
            <v>Meena Iyer</v>
          </cell>
          <cell r="C322" t="str">
            <v>Dresses</v>
          </cell>
          <cell r="D322">
            <v>44723</v>
          </cell>
          <cell r="E322">
            <v>44732</v>
          </cell>
          <cell r="F322" t="str">
            <v>Ahmedabad</v>
          </cell>
          <cell r="G322">
            <v>6</v>
          </cell>
          <cell r="H322">
            <v>734.58</v>
          </cell>
          <cell r="I322">
            <v>4407.4799999999996</v>
          </cell>
          <cell r="J322" t="str">
            <v>B2B</v>
          </cell>
        </row>
        <row r="323">
          <cell r="A323">
            <v>2321</v>
          </cell>
          <cell r="B323" t="str">
            <v>Karthik Vel</v>
          </cell>
          <cell r="C323" t="str">
            <v>Dresses</v>
          </cell>
          <cell r="D323">
            <v>45334</v>
          </cell>
          <cell r="E323">
            <v>45346</v>
          </cell>
          <cell r="F323" t="str">
            <v>Hyderabad</v>
          </cell>
          <cell r="G323">
            <v>1</v>
          </cell>
          <cell r="H323">
            <v>4406.0200000000004</v>
          </cell>
          <cell r="I323">
            <v>4406.0200000000004</v>
          </cell>
          <cell r="J323" t="str">
            <v>B2B</v>
          </cell>
        </row>
        <row r="324">
          <cell r="A324">
            <v>2322</v>
          </cell>
          <cell r="B324" t="str">
            <v>Prakash V</v>
          </cell>
          <cell r="C324" t="str">
            <v>Shoes</v>
          </cell>
          <cell r="D324">
            <v>45006</v>
          </cell>
          <cell r="E324">
            <v>45015</v>
          </cell>
          <cell r="F324" t="str">
            <v>Mumbai</v>
          </cell>
          <cell r="G324">
            <v>6</v>
          </cell>
          <cell r="H324">
            <v>1724.98</v>
          </cell>
          <cell r="I324">
            <v>10349.879999999999</v>
          </cell>
          <cell r="J324" t="str">
            <v>B2B</v>
          </cell>
        </row>
        <row r="325">
          <cell r="A325">
            <v>2323</v>
          </cell>
          <cell r="B325" t="str">
            <v>Meena Iyer</v>
          </cell>
          <cell r="C325" t="str">
            <v>T-Shirts</v>
          </cell>
          <cell r="D325">
            <v>44802</v>
          </cell>
          <cell r="E325">
            <v>44815</v>
          </cell>
          <cell r="F325" t="str">
            <v>Ahmedabad</v>
          </cell>
          <cell r="G325">
            <v>8</v>
          </cell>
          <cell r="H325">
            <v>4597.87</v>
          </cell>
          <cell r="I325">
            <v>36782.959999999999</v>
          </cell>
          <cell r="J325" t="str">
            <v>B2B</v>
          </cell>
        </row>
        <row r="326">
          <cell r="A326">
            <v>2324</v>
          </cell>
          <cell r="B326" t="str">
            <v>Vijay K</v>
          </cell>
          <cell r="C326" t="str">
            <v>T-Shirts</v>
          </cell>
          <cell r="D326">
            <v>45220</v>
          </cell>
          <cell r="E326">
            <v>45234</v>
          </cell>
          <cell r="F326" t="str">
            <v>Delhi</v>
          </cell>
          <cell r="G326">
            <v>7</v>
          </cell>
          <cell r="H326">
            <v>2491.38</v>
          </cell>
          <cell r="I326">
            <v>17439.66</v>
          </cell>
          <cell r="J326" t="str">
            <v>B2C</v>
          </cell>
        </row>
        <row r="327">
          <cell r="A327">
            <v>2325</v>
          </cell>
          <cell r="B327" t="str">
            <v>Divya T</v>
          </cell>
          <cell r="C327" t="str">
            <v>Dresses</v>
          </cell>
          <cell r="D327">
            <v>45298</v>
          </cell>
          <cell r="E327">
            <v>45308</v>
          </cell>
          <cell r="F327" t="str">
            <v>Bangalore</v>
          </cell>
          <cell r="G327">
            <v>8</v>
          </cell>
          <cell r="H327">
            <v>763.46</v>
          </cell>
          <cell r="I327">
            <v>6107.68</v>
          </cell>
          <cell r="J327" t="str">
            <v>B2C</v>
          </cell>
        </row>
        <row r="328">
          <cell r="A328">
            <v>2326</v>
          </cell>
          <cell r="B328" t="str">
            <v>Prakash V</v>
          </cell>
          <cell r="C328" t="str">
            <v>Dresses</v>
          </cell>
          <cell r="D328">
            <v>44978</v>
          </cell>
          <cell r="E328">
            <v>44985</v>
          </cell>
          <cell r="F328" t="str">
            <v>Delhi</v>
          </cell>
          <cell r="G328">
            <v>7</v>
          </cell>
          <cell r="H328">
            <v>514.86</v>
          </cell>
          <cell r="I328">
            <v>3604.02</v>
          </cell>
          <cell r="J328" t="str">
            <v>B2B</v>
          </cell>
        </row>
        <row r="329">
          <cell r="A329">
            <v>2327</v>
          </cell>
          <cell r="B329" t="str">
            <v>Uma S</v>
          </cell>
          <cell r="C329" t="str">
            <v>T-Shirts</v>
          </cell>
          <cell r="D329">
            <v>44595</v>
          </cell>
          <cell r="E329">
            <v>44601</v>
          </cell>
          <cell r="F329" t="str">
            <v>Hyderabad</v>
          </cell>
          <cell r="G329">
            <v>7</v>
          </cell>
          <cell r="H329">
            <v>1687.4</v>
          </cell>
          <cell r="I329">
            <v>11811.8</v>
          </cell>
          <cell r="J329" t="str">
            <v>B2B</v>
          </cell>
        </row>
        <row r="330">
          <cell r="A330">
            <v>2328</v>
          </cell>
          <cell r="B330" t="str">
            <v>Arun Pandi</v>
          </cell>
          <cell r="C330" t="str">
            <v>T-Shirts</v>
          </cell>
          <cell r="D330">
            <v>45339</v>
          </cell>
          <cell r="E330">
            <v>45350</v>
          </cell>
          <cell r="F330" t="str">
            <v>Ahmedabad</v>
          </cell>
          <cell r="G330">
            <v>4</v>
          </cell>
          <cell r="H330">
            <v>2646.72</v>
          </cell>
          <cell r="I330">
            <v>10586.88</v>
          </cell>
          <cell r="J330" t="str">
            <v>B2C</v>
          </cell>
        </row>
        <row r="331">
          <cell r="A331">
            <v>2329</v>
          </cell>
          <cell r="B331" t="str">
            <v>Ravi Kumar</v>
          </cell>
          <cell r="C331" t="str">
            <v>Jackets</v>
          </cell>
          <cell r="D331">
            <v>45566</v>
          </cell>
          <cell r="E331">
            <v>45575</v>
          </cell>
          <cell r="F331" t="str">
            <v>Mumbai</v>
          </cell>
          <cell r="G331">
            <v>6</v>
          </cell>
          <cell r="H331">
            <v>1095.55</v>
          </cell>
          <cell r="I331">
            <v>6573.3</v>
          </cell>
          <cell r="J331" t="str">
            <v>B2C</v>
          </cell>
        </row>
        <row r="332">
          <cell r="A332">
            <v>2330</v>
          </cell>
          <cell r="B332" t="str">
            <v>Arjun Reddy</v>
          </cell>
          <cell r="C332" t="str">
            <v>Shoes</v>
          </cell>
          <cell r="D332">
            <v>44682</v>
          </cell>
          <cell r="E332">
            <v>44692</v>
          </cell>
          <cell r="F332" t="str">
            <v>Chennai</v>
          </cell>
          <cell r="G332">
            <v>2</v>
          </cell>
          <cell r="H332">
            <v>4742.38</v>
          </cell>
          <cell r="I332">
            <v>9484.76</v>
          </cell>
          <cell r="J332" t="str">
            <v>B2B</v>
          </cell>
        </row>
        <row r="333">
          <cell r="A333">
            <v>2331</v>
          </cell>
          <cell r="B333" t="str">
            <v>Prakash V</v>
          </cell>
          <cell r="C333" t="str">
            <v>Jeans</v>
          </cell>
          <cell r="D333">
            <v>45406</v>
          </cell>
          <cell r="E333">
            <v>45410</v>
          </cell>
          <cell r="F333" t="str">
            <v>Ahmedabad</v>
          </cell>
          <cell r="G333">
            <v>4</v>
          </cell>
          <cell r="H333">
            <v>619.45000000000005</v>
          </cell>
          <cell r="I333">
            <v>2477.8000000000002</v>
          </cell>
          <cell r="J333" t="str">
            <v>B2B</v>
          </cell>
        </row>
        <row r="334">
          <cell r="A334">
            <v>2332</v>
          </cell>
          <cell r="B334" t="str">
            <v>Anitha Raj</v>
          </cell>
          <cell r="C334" t="str">
            <v>T-Shirts</v>
          </cell>
          <cell r="D334">
            <v>45597</v>
          </cell>
          <cell r="E334">
            <v>45606</v>
          </cell>
          <cell r="F334" t="str">
            <v>Delhi</v>
          </cell>
          <cell r="G334">
            <v>1</v>
          </cell>
          <cell r="H334">
            <v>3203.83</v>
          </cell>
          <cell r="I334">
            <v>3203.83</v>
          </cell>
          <cell r="J334" t="str">
            <v>B2C</v>
          </cell>
        </row>
        <row r="335">
          <cell r="A335">
            <v>2333</v>
          </cell>
          <cell r="B335" t="str">
            <v>Saranya D</v>
          </cell>
          <cell r="C335" t="str">
            <v>Jackets</v>
          </cell>
          <cell r="D335">
            <v>44594</v>
          </cell>
          <cell r="E335">
            <v>44596</v>
          </cell>
          <cell r="F335" t="str">
            <v>Hyderabad</v>
          </cell>
          <cell r="G335">
            <v>7</v>
          </cell>
          <cell r="H335">
            <v>355.7</v>
          </cell>
          <cell r="I335">
            <v>2489.9</v>
          </cell>
          <cell r="J335" t="str">
            <v>B2C</v>
          </cell>
        </row>
        <row r="336">
          <cell r="A336">
            <v>2334</v>
          </cell>
          <cell r="B336" t="str">
            <v>Nithya R</v>
          </cell>
          <cell r="C336" t="str">
            <v>Dresses</v>
          </cell>
          <cell r="D336">
            <v>44597</v>
          </cell>
          <cell r="E336">
            <v>44607</v>
          </cell>
          <cell r="F336" t="str">
            <v>Ahmedabad</v>
          </cell>
          <cell r="G336">
            <v>7</v>
          </cell>
          <cell r="H336">
            <v>4088.99</v>
          </cell>
          <cell r="I336">
            <v>28622.93</v>
          </cell>
          <cell r="J336" t="str">
            <v>B2B</v>
          </cell>
        </row>
        <row r="337">
          <cell r="A337">
            <v>2335</v>
          </cell>
          <cell r="B337" t="str">
            <v>Suresh M</v>
          </cell>
          <cell r="C337" t="str">
            <v>Jeans</v>
          </cell>
          <cell r="D337">
            <v>45635</v>
          </cell>
          <cell r="E337">
            <v>45639</v>
          </cell>
          <cell r="F337" t="str">
            <v>Mumbai</v>
          </cell>
          <cell r="G337">
            <v>4</v>
          </cell>
          <cell r="H337">
            <v>3212.97</v>
          </cell>
          <cell r="I337">
            <v>12851.88</v>
          </cell>
          <cell r="J337" t="str">
            <v>B2C</v>
          </cell>
        </row>
        <row r="338">
          <cell r="A338">
            <v>2336</v>
          </cell>
          <cell r="B338" t="str">
            <v>Sneha R</v>
          </cell>
          <cell r="C338" t="str">
            <v>Dresses</v>
          </cell>
          <cell r="D338">
            <v>45374</v>
          </cell>
          <cell r="E338">
            <v>45377</v>
          </cell>
          <cell r="F338" t="str">
            <v>Delhi</v>
          </cell>
          <cell r="G338">
            <v>7</v>
          </cell>
          <cell r="H338">
            <v>2457.29</v>
          </cell>
          <cell r="I338">
            <v>17201.03</v>
          </cell>
          <cell r="J338" t="str">
            <v>B2B</v>
          </cell>
        </row>
        <row r="339">
          <cell r="A339">
            <v>2337</v>
          </cell>
          <cell r="B339" t="str">
            <v>Ganesh R</v>
          </cell>
          <cell r="C339" t="str">
            <v>T-Shirts</v>
          </cell>
          <cell r="D339">
            <v>45176</v>
          </cell>
          <cell r="E339">
            <v>45188</v>
          </cell>
          <cell r="F339" t="str">
            <v>Ahmedabad</v>
          </cell>
          <cell r="G339">
            <v>2</v>
          </cell>
          <cell r="H339">
            <v>3372.56</v>
          </cell>
          <cell r="I339">
            <v>6745.12</v>
          </cell>
          <cell r="J339" t="str">
            <v>B2B</v>
          </cell>
        </row>
        <row r="340">
          <cell r="A340">
            <v>2338</v>
          </cell>
          <cell r="B340" t="str">
            <v>Priya Nair</v>
          </cell>
          <cell r="C340" t="str">
            <v>Jackets</v>
          </cell>
          <cell r="D340">
            <v>45338</v>
          </cell>
          <cell r="E340">
            <v>45346</v>
          </cell>
          <cell r="F340" t="str">
            <v>Hyderabad</v>
          </cell>
          <cell r="G340">
            <v>8</v>
          </cell>
          <cell r="H340">
            <v>563.74</v>
          </cell>
          <cell r="I340">
            <v>4509.92</v>
          </cell>
          <cell r="J340" t="str">
            <v>B2B</v>
          </cell>
        </row>
        <row r="341">
          <cell r="A341">
            <v>2339</v>
          </cell>
          <cell r="B341" t="str">
            <v>Ganesh R</v>
          </cell>
          <cell r="C341" t="str">
            <v>T-Shirts</v>
          </cell>
          <cell r="D341">
            <v>44731</v>
          </cell>
          <cell r="E341">
            <v>44740</v>
          </cell>
          <cell r="F341" t="str">
            <v>Ahmedabad</v>
          </cell>
          <cell r="G341">
            <v>7</v>
          </cell>
          <cell r="H341">
            <v>3331.06</v>
          </cell>
          <cell r="I341">
            <v>23317.42</v>
          </cell>
          <cell r="J341" t="str">
            <v>B2C</v>
          </cell>
        </row>
        <row r="342">
          <cell r="A342">
            <v>2340</v>
          </cell>
          <cell r="B342" t="str">
            <v>Manoj K</v>
          </cell>
          <cell r="C342" t="str">
            <v>Jeans</v>
          </cell>
          <cell r="D342">
            <v>45643</v>
          </cell>
          <cell r="E342">
            <v>45645</v>
          </cell>
          <cell r="F342" t="str">
            <v>Mumbai</v>
          </cell>
          <cell r="G342">
            <v>4</v>
          </cell>
          <cell r="H342">
            <v>4535.9799999999996</v>
          </cell>
          <cell r="I342">
            <v>18143.919999999998</v>
          </cell>
          <cell r="J342" t="str">
            <v>B2C</v>
          </cell>
        </row>
        <row r="343">
          <cell r="A343">
            <v>2341</v>
          </cell>
          <cell r="B343" t="str">
            <v>Ravi Kumar</v>
          </cell>
          <cell r="C343" t="str">
            <v>Jeans</v>
          </cell>
          <cell r="D343">
            <v>44714</v>
          </cell>
          <cell r="E343">
            <v>44726</v>
          </cell>
          <cell r="F343" t="str">
            <v>Delhi</v>
          </cell>
          <cell r="G343">
            <v>1</v>
          </cell>
          <cell r="H343">
            <v>1142.97</v>
          </cell>
          <cell r="I343">
            <v>1142.97</v>
          </cell>
          <cell r="J343" t="str">
            <v>B2C</v>
          </cell>
        </row>
        <row r="344">
          <cell r="A344">
            <v>2342</v>
          </cell>
          <cell r="B344" t="str">
            <v>Anitha Raj</v>
          </cell>
          <cell r="C344" t="str">
            <v>T-Shirts</v>
          </cell>
          <cell r="D344">
            <v>44857</v>
          </cell>
          <cell r="E344">
            <v>44871</v>
          </cell>
          <cell r="F344" t="str">
            <v>Ahmedabad</v>
          </cell>
          <cell r="G344">
            <v>7</v>
          </cell>
          <cell r="H344">
            <v>4665.71</v>
          </cell>
          <cell r="I344">
            <v>32659.97</v>
          </cell>
          <cell r="J344" t="str">
            <v>B2C</v>
          </cell>
        </row>
        <row r="345">
          <cell r="A345">
            <v>2343</v>
          </cell>
          <cell r="B345" t="str">
            <v>Arjun Reddy</v>
          </cell>
          <cell r="C345" t="str">
            <v>Shoes</v>
          </cell>
          <cell r="D345">
            <v>45054</v>
          </cell>
          <cell r="E345">
            <v>45065</v>
          </cell>
          <cell r="F345" t="str">
            <v>Ahmedabad</v>
          </cell>
          <cell r="G345">
            <v>7</v>
          </cell>
          <cell r="H345">
            <v>3482.06</v>
          </cell>
          <cell r="I345">
            <v>24374.42</v>
          </cell>
          <cell r="J345" t="str">
            <v>B2C</v>
          </cell>
        </row>
        <row r="346">
          <cell r="A346">
            <v>2344</v>
          </cell>
          <cell r="B346" t="str">
            <v>Vijay K</v>
          </cell>
          <cell r="C346" t="str">
            <v>Accessories</v>
          </cell>
          <cell r="D346">
            <v>44848</v>
          </cell>
          <cell r="E346">
            <v>44862</v>
          </cell>
          <cell r="F346" t="str">
            <v>Pune</v>
          </cell>
          <cell r="G346">
            <v>2</v>
          </cell>
          <cell r="H346">
            <v>2653.73</v>
          </cell>
          <cell r="I346">
            <v>5307.46</v>
          </cell>
          <cell r="J346" t="str">
            <v>B2C</v>
          </cell>
        </row>
        <row r="347">
          <cell r="A347">
            <v>2345</v>
          </cell>
          <cell r="B347" t="str">
            <v>Karthik Vel</v>
          </cell>
          <cell r="C347" t="str">
            <v>Jeans</v>
          </cell>
          <cell r="D347">
            <v>45457</v>
          </cell>
          <cell r="E347">
            <v>45462</v>
          </cell>
          <cell r="F347" t="str">
            <v>Ahmedabad</v>
          </cell>
          <cell r="G347">
            <v>2</v>
          </cell>
          <cell r="H347">
            <v>1900.79</v>
          </cell>
          <cell r="I347">
            <v>3801.58</v>
          </cell>
          <cell r="J347" t="str">
            <v>B2C</v>
          </cell>
        </row>
        <row r="348">
          <cell r="A348">
            <v>2346</v>
          </cell>
          <cell r="B348" t="str">
            <v>Prakash V</v>
          </cell>
          <cell r="C348" t="str">
            <v>Dresses</v>
          </cell>
          <cell r="D348">
            <v>44622</v>
          </cell>
          <cell r="E348">
            <v>44634</v>
          </cell>
          <cell r="F348" t="str">
            <v>Delhi</v>
          </cell>
          <cell r="G348">
            <v>8</v>
          </cell>
          <cell r="H348">
            <v>2605.84</v>
          </cell>
          <cell r="I348">
            <v>20846.72</v>
          </cell>
          <cell r="J348" t="str">
            <v>B2C</v>
          </cell>
        </row>
        <row r="349">
          <cell r="A349">
            <v>2347</v>
          </cell>
          <cell r="B349" t="str">
            <v>Nithya R</v>
          </cell>
          <cell r="C349" t="str">
            <v>Jackets</v>
          </cell>
          <cell r="D349">
            <v>45446</v>
          </cell>
          <cell r="E349">
            <v>45450</v>
          </cell>
          <cell r="F349" t="str">
            <v>Pune</v>
          </cell>
          <cell r="G349">
            <v>7</v>
          </cell>
          <cell r="H349">
            <v>702.76</v>
          </cell>
          <cell r="I349">
            <v>4919.32</v>
          </cell>
          <cell r="J349" t="str">
            <v>B2C</v>
          </cell>
        </row>
        <row r="350">
          <cell r="A350">
            <v>2348</v>
          </cell>
          <cell r="B350" t="str">
            <v>Lakshmi S</v>
          </cell>
          <cell r="C350" t="str">
            <v>Accessories</v>
          </cell>
          <cell r="D350">
            <v>44712</v>
          </cell>
          <cell r="E350">
            <v>44715</v>
          </cell>
          <cell r="F350" t="str">
            <v>Delhi</v>
          </cell>
          <cell r="G350">
            <v>3</v>
          </cell>
          <cell r="H350">
            <v>2086</v>
          </cell>
          <cell r="I350">
            <v>6258</v>
          </cell>
          <cell r="J350" t="str">
            <v>B2B</v>
          </cell>
        </row>
        <row r="351">
          <cell r="A351">
            <v>2349</v>
          </cell>
          <cell r="B351" t="str">
            <v>Uma S</v>
          </cell>
          <cell r="C351" t="str">
            <v>Jackets</v>
          </cell>
          <cell r="D351">
            <v>45210</v>
          </cell>
          <cell r="E351">
            <v>45217</v>
          </cell>
          <cell r="F351" t="str">
            <v>Chennai</v>
          </cell>
          <cell r="G351">
            <v>2</v>
          </cell>
          <cell r="H351">
            <v>324.42</v>
          </cell>
          <cell r="I351">
            <v>648.84</v>
          </cell>
          <cell r="J351" t="str">
            <v>B2C</v>
          </cell>
        </row>
        <row r="352">
          <cell r="A352">
            <v>2350</v>
          </cell>
          <cell r="B352" t="str">
            <v>Rahul G</v>
          </cell>
          <cell r="C352" t="str">
            <v>Dresses</v>
          </cell>
          <cell r="D352">
            <v>45114</v>
          </cell>
          <cell r="E352">
            <v>45117</v>
          </cell>
          <cell r="F352" t="str">
            <v>Mumbai</v>
          </cell>
          <cell r="G352">
            <v>2</v>
          </cell>
          <cell r="H352">
            <v>1180.74</v>
          </cell>
          <cell r="I352">
            <v>2361.48</v>
          </cell>
          <cell r="J352" t="str">
            <v>B2C</v>
          </cell>
        </row>
        <row r="353">
          <cell r="A353">
            <v>2351</v>
          </cell>
          <cell r="B353" t="str">
            <v>Nithya R</v>
          </cell>
          <cell r="C353" t="str">
            <v>Shoes</v>
          </cell>
          <cell r="D353">
            <v>45611</v>
          </cell>
          <cell r="E353">
            <v>45619</v>
          </cell>
          <cell r="F353" t="str">
            <v>Chennai</v>
          </cell>
          <cell r="G353">
            <v>1</v>
          </cell>
          <cell r="H353">
            <v>721.21</v>
          </cell>
          <cell r="I353">
            <v>721.21</v>
          </cell>
          <cell r="J353" t="str">
            <v>B2B</v>
          </cell>
        </row>
        <row r="354">
          <cell r="A354">
            <v>2352</v>
          </cell>
          <cell r="B354" t="str">
            <v>Revathi A</v>
          </cell>
          <cell r="C354" t="str">
            <v>Shoes</v>
          </cell>
          <cell r="D354">
            <v>45226</v>
          </cell>
          <cell r="E354">
            <v>45241</v>
          </cell>
          <cell r="F354" t="str">
            <v>Bangalore</v>
          </cell>
          <cell r="G354">
            <v>1</v>
          </cell>
          <cell r="H354">
            <v>1671.68</v>
          </cell>
          <cell r="I354">
            <v>1671.68</v>
          </cell>
          <cell r="J354" t="str">
            <v>B2C</v>
          </cell>
        </row>
        <row r="355">
          <cell r="A355">
            <v>2353</v>
          </cell>
          <cell r="B355" t="str">
            <v>Prakash V</v>
          </cell>
          <cell r="C355" t="str">
            <v>Jeans</v>
          </cell>
          <cell r="D355">
            <v>45059</v>
          </cell>
          <cell r="E355">
            <v>45070</v>
          </cell>
          <cell r="F355" t="str">
            <v>Hyderabad</v>
          </cell>
          <cell r="G355">
            <v>3</v>
          </cell>
          <cell r="H355">
            <v>3520.99</v>
          </cell>
          <cell r="I355">
            <v>10562.97</v>
          </cell>
          <cell r="J355" t="str">
            <v>B2B</v>
          </cell>
        </row>
        <row r="356">
          <cell r="A356">
            <v>2354</v>
          </cell>
          <cell r="B356" t="str">
            <v>Deepa K</v>
          </cell>
          <cell r="C356" t="str">
            <v>Dresses</v>
          </cell>
          <cell r="D356">
            <v>45178</v>
          </cell>
          <cell r="E356">
            <v>45184</v>
          </cell>
          <cell r="F356" t="str">
            <v>Bangalore</v>
          </cell>
          <cell r="G356">
            <v>3</v>
          </cell>
          <cell r="H356">
            <v>597.36</v>
          </cell>
          <cell r="I356">
            <v>1792.08</v>
          </cell>
          <cell r="J356" t="str">
            <v>B2C</v>
          </cell>
        </row>
        <row r="357">
          <cell r="A357">
            <v>2355</v>
          </cell>
          <cell r="B357" t="str">
            <v>Ravi Kumar</v>
          </cell>
          <cell r="C357" t="str">
            <v>Jackets</v>
          </cell>
          <cell r="D357">
            <v>45175</v>
          </cell>
          <cell r="E357">
            <v>45184</v>
          </cell>
          <cell r="F357" t="str">
            <v>Ahmedabad</v>
          </cell>
          <cell r="G357">
            <v>2</v>
          </cell>
          <cell r="H357">
            <v>1997.29</v>
          </cell>
          <cell r="I357">
            <v>3994.58</v>
          </cell>
          <cell r="J357" t="str">
            <v>B2B</v>
          </cell>
        </row>
        <row r="358">
          <cell r="A358">
            <v>2356</v>
          </cell>
          <cell r="B358" t="str">
            <v>Uma S</v>
          </cell>
          <cell r="C358" t="str">
            <v>Accessories</v>
          </cell>
          <cell r="D358">
            <v>45577</v>
          </cell>
          <cell r="E358">
            <v>45588</v>
          </cell>
          <cell r="F358" t="str">
            <v>Hyderabad</v>
          </cell>
          <cell r="G358">
            <v>4</v>
          </cell>
          <cell r="H358">
            <v>2451.9499999999998</v>
          </cell>
          <cell r="I358">
            <v>9807.7999999999993</v>
          </cell>
          <cell r="J358" t="str">
            <v>B2B</v>
          </cell>
        </row>
        <row r="359">
          <cell r="A359">
            <v>2357</v>
          </cell>
          <cell r="B359" t="str">
            <v>Divya T</v>
          </cell>
          <cell r="C359" t="str">
            <v>Jeans</v>
          </cell>
          <cell r="D359">
            <v>45372</v>
          </cell>
          <cell r="E359">
            <v>45379</v>
          </cell>
          <cell r="F359" t="str">
            <v>Ahmedabad</v>
          </cell>
          <cell r="G359">
            <v>7</v>
          </cell>
          <cell r="H359">
            <v>4079.16</v>
          </cell>
          <cell r="I359">
            <v>28554.12</v>
          </cell>
          <cell r="J359" t="str">
            <v>B2C</v>
          </cell>
        </row>
        <row r="360">
          <cell r="A360">
            <v>2358</v>
          </cell>
          <cell r="B360" t="str">
            <v>Rahul G</v>
          </cell>
          <cell r="C360" t="str">
            <v>Dresses</v>
          </cell>
          <cell r="D360">
            <v>45443</v>
          </cell>
          <cell r="E360">
            <v>45458</v>
          </cell>
          <cell r="F360" t="str">
            <v>Ahmedabad</v>
          </cell>
          <cell r="G360">
            <v>3</v>
          </cell>
          <cell r="H360">
            <v>1712.05</v>
          </cell>
          <cell r="I360">
            <v>5136.1499999999996</v>
          </cell>
          <cell r="J360" t="str">
            <v>B2B</v>
          </cell>
        </row>
        <row r="361">
          <cell r="A361">
            <v>2359</v>
          </cell>
          <cell r="B361" t="str">
            <v>Kavitha S</v>
          </cell>
          <cell r="C361" t="str">
            <v>Dresses</v>
          </cell>
          <cell r="D361">
            <v>44925</v>
          </cell>
          <cell r="E361">
            <v>44933</v>
          </cell>
          <cell r="F361" t="str">
            <v>Delhi</v>
          </cell>
          <cell r="G361">
            <v>5</v>
          </cell>
          <cell r="H361">
            <v>3753.91</v>
          </cell>
          <cell r="I361">
            <v>18769.55</v>
          </cell>
          <cell r="J361" t="str">
            <v>B2C</v>
          </cell>
        </row>
        <row r="362">
          <cell r="A362">
            <v>2360</v>
          </cell>
          <cell r="B362" t="str">
            <v>Manoj K</v>
          </cell>
          <cell r="C362" t="str">
            <v>T-Shirts</v>
          </cell>
          <cell r="D362">
            <v>45229</v>
          </cell>
          <cell r="E362">
            <v>45237</v>
          </cell>
          <cell r="F362" t="str">
            <v>Delhi</v>
          </cell>
          <cell r="G362">
            <v>7</v>
          </cell>
          <cell r="H362">
            <v>2015.57</v>
          </cell>
          <cell r="I362">
            <v>14108.99</v>
          </cell>
          <cell r="J362" t="str">
            <v>B2B</v>
          </cell>
        </row>
        <row r="363">
          <cell r="A363">
            <v>2361</v>
          </cell>
          <cell r="B363" t="str">
            <v>Manoj K</v>
          </cell>
          <cell r="C363" t="str">
            <v>Shoes</v>
          </cell>
          <cell r="D363">
            <v>44930</v>
          </cell>
          <cell r="E363">
            <v>44942</v>
          </cell>
          <cell r="F363" t="str">
            <v>Ahmedabad</v>
          </cell>
          <cell r="G363">
            <v>1</v>
          </cell>
          <cell r="H363">
            <v>4779.12</v>
          </cell>
          <cell r="I363">
            <v>4779.12</v>
          </cell>
          <cell r="J363" t="str">
            <v>B2C</v>
          </cell>
        </row>
        <row r="364">
          <cell r="A364">
            <v>2362</v>
          </cell>
          <cell r="B364" t="str">
            <v>Ganesh R</v>
          </cell>
          <cell r="C364" t="str">
            <v>T-Shirts</v>
          </cell>
          <cell r="D364">
            <v>45459</v>
          </cell>
          <cell r="E364">
            <v>45473</v>
          </cell>
          <cell r="F364" t="str">
            <v>Delhi</v>
          </cell>
          <cell r="G364">
            <v>2</v>
          </cell>
          <cell r="H364">
            <v>4149.1400000000003</v>
          </cell>
          <cell r="I364">
            <v>8298.2800000000007</v>
          </cell>
          <cell r="J364" t="str">
            <v>B2C</v>
          </cell>
        </row>
        <row r="365">
          <cell r="A365">
            <v>2363</v>
          </cell>
          <cell r="B365" t="str">
            <v>Saranya D</v>
          </cell>
          <cell r="C365" t="str">
            <v>Jackets</v>
          </cell>
          <cell r="D365">
            <v>44847</v>
          </cell>
          <cell r="E365">
            <v>44859</v>
          </cell>
          <cell r="F365" t="str">
            <v>Delhi</v>
          </cell>
          <cell r="G365">
            <v>4</v>
          </cell>
          <cell r="H365">
            <v>1487.6</v>
          </cell>
          <cell r="I365">
            <v>5950.4</v>
          </cell>
          <cell r="J365" t="str">
            <v>B2B</v>
          </cell>
        </row>
        <row r="366">
          <cell r="A366">
            <v>2364</v>
          </cell>
          <cell r="B366" t="str">
            <v>Ganesh R</v>
          </cell>
          <cell r="C366" t="str">
            <v>Jackets</v>
          </cell>
          <cell r="D366">
            <v>45334</v>
          </cell>
          <cell r="E366">
            <v>45337</v>
          </cell>
          <cell r="F366" t="str">
            <v>Bangalore</v>
          </cell>
          <cell r="G366">
            <v>8</v>
          </cell>
          <cell r="H366">
            <v>3036.55</v>
          </cell>
          <cell r="I366">
            <v>24292.400000000001</v>
          </cell>
          <cell r="J366" t="str">
            <v>B2C</v>
          </cell>
        </row>
        <row r="367">
          <cell r="A367">
            <v>2365</v>
          </cell>
          <cell r="B367" t="str">
            <v>Nithya R</v>
          </cell>
          <cell r="C367" t="str">
            <v>Jeans</v>
          </cell>
          <cell r="D367">
            <v>45298</v>
          </cell>
          <cell r="E367">
            <v>45311</v>
          </cell>
          <cell r="F367" t="str">
            <v>Ahmedabad</v>
          </cell>
          <cell r="G367">
            <v>2</v>
          </cell>
          <cell r="H367">
            <v>814.04</v>
          </cell>
          <cell r="I367">
            <v>1628.08</v>
          </cell>
          <cell r="J367" t="str">
            <v>B2B</v>
          </cell>
        </row>
        <row r="368">
          <cell r="A368">
            <v>2366</v>
          </cell>
          <cell r="B368" t="str">
            <v>Saranya D</v>
          </cell>
          <cell r="C368" t="str">
            <v>Accessories</v>
          </cell>
          <cell r="D368">
            <v>45289</v>
          </cell>
          <cell r="E368">
            <v>45293</v>
          </cell>
          <cell r="F368" t="str">
            <v>Pune</v>
          </cell>
          <cell r="G368">
            <v>1</v>
          </cell>
          <cell r="H368">
            <v>2947.14</v>
          </cell>
          <cell r="I368">
            <v>2947.14</v>
          </cell>
          <cell r="J368" t="str">
            <v>B2C</v>
          </cell>
        </row>
        <row r="369">
          <cell r="A369">
            <v>2367</v>
          </cell>
          <cell r="B369" t="str">
            <v>Prakash V</v>
          </cell>
          <cell r="C369" t="str">
            <v>Dresses</v>
          </cell>
          <cell r="D369">
            <v>45443</v>
          </cell>
          <cell r="E369">
            <v>45446</v>
          </cell>
          <cell r="F369" t="str">
            <v>Chennai</v>
          </cell>
          <cell r="G369">
            <v>2</v>
          </cell>
          <cell r="H369">
            <v>1516.07</v>
          </cell>
          <cell r="I369">
            <v>3032.14</v>
          </cell>
          <cell r="J369" t="str">
            <v>B2B</v>
          </cell>
        </row>
        <row r="370">
          <cell r="A370">
            <v>2368</v>
          </cell>
          <cell r="B370" t="str">
            <v>Rahul G</v>
          </cell>
          <cell r="C370" t="str">
            <v>Dresses</v>
          </cell>
          <cell r="D370">
            <v>45363</v>
          </cell>
          <cell r="E370">
            <v>45372</v>
          </cell>
          <cell r="F370" t="str">
            <v>Ahmedabad</v>
          </cell>
          <cell r="G370">
            <v>3</v>
          </cell>
          <cell r="H370">
            <v>1921.35</v>
          </cell>
          <cell r="I370">
            <v>5764.05</v>
          </cell>
          <cell r="J370" t="str">
            <v>B2B</v>
          </cell>
        </row>
        <row r="371">
          <cell r="A371">
            <v>2369</v>
          </cell>
          <cell r="B371" t="str">
            <v>Kavitha S</v>
          </cell>
          <cell r="C371" t="str">
            <v>Jeans</v>
          </cell>
          <cell r="D371">
            <v>45167</v>
          </cell>
          <cell r="E371">
            <v>45175</v>
          </cell>
          <cell r="F371" t="str">
            <v>Chennai</v>
          </cell>
          <cell r="G371">
            <v>2</v>
          </cell>
          <cell r="H371">
            <v>4207.1899999999996</v>
          </cell>
          <cell r="I371">
            <v>8414.3799999999992</v>
          </cell>
          <cell r="J371" t="str">
            <v>B2B</v>
          </cell>
        </row>
        <row r="372">
          <cell r="A372">
            <v>2370</v>
          </cell>
          <cell r="B372" t="str">
            <v>Sneha R</v>
          </cell>
          <cell r="C372" t="str">
            <v>Dresses</v>
          </cell>
          <cell r="D372">
            <v>45264</v>
          </cell>
          <cell r="E372">
            <v>45273</v>
          </cell>
          <cell r="F372" t="str">
            <v>Ahmedabad</v>
          </cell>
          <cell r="G372">
            <v>4</v>
          </cell>
          <cell r="H372">
            <v>2749.24</v>
          </cell>
          <cell r="I372">
            <v>10996.96</v>
          </cell>
          <cell r="J372" t="str">
            <v>B2C</v>
          </cell>
        </row>
        <row r="373">
          <cell r="A373">
            <v>2371</v>
          </cell>
          <cell r="B373" t="str">
            <v>Kavitha S</v>
          </cell>
          <cell r="C373" t="str">
            <v>Jeans</v>
          </cell>
          <cell r="D373">
            <v>45459</v>
          </cell>
          <cell r="E373">
            <v>45472</v>
          </cell>
          <cell r="F373" t="str">
            <v>Pune</v>
          </cell>
          <cell r="G373">
            <v>8</v>
          </cell>
          <cell r="H373">
            <v>1798.87</v>
          </cell>
          <cell r="I373">
            <v>14390.96</v>
          </cell>
          <cell r="J373" t="str">
            <v>B2C</v>
          </cell>
        </row>
        <row r="374">
          <cell r="A374">
            <v>2372</v>
          </cell>
          <cell r="B374" t="str">
            <v>Karthik Vel</v>
          </cell>
          <cell r="C374" t="str">
            <v>Accessories</v>
          </cell>
          <cell r="D374">
            <v>44797</v>
          </cell>
          <cell r="E374">
            <v>44799</v>
          </cell>
          <cell r="F374" t="str">
            <v>Ahmedabad</v>
          </cell>
          <cell r="G374">
            <v>6</v>
          </cell>
          <cell r="H374">
            <v>3345.46</v>
          </cell>
          <cell r="I374">
            <v>20072.759999999998</v>
          </cell>
          <cell r="J374" t="str">
            <v>B2B</v>
          </cell>
        </row>
        <row r="375">
          <cell r="A375">
            <v>2373</v>
          </cell>
          <cell r="B375" t="str">
            <v>Uma S</v>
          </cell>
          <cell r="C375" t="str">
            <v>T-Shirts</v>
          </cell>
          <cell r="D375">
            <v>45618</v>
          </cell>
          <cell r="E375">
            <v>45622</v>
          </cell>
          <cell r="F375" t="str">
            <v>Hyderabad</v>
          </cell>
          <cell r="G375">
            <v>3</v>
          </cell>
          <cell r="H375">
            <v>1855.65</v>
          </cell>
          <cell r="I375">
            <v>5566.95</v>
          </cell>
          <cell r="J375" t="str">
            <v>B2C</v>
          </cell>
        </row>
        <row r="376">
          <cell r="A376">
            <v>2374</v>
          </cell>
          <cell r="B376" t="str">
            <v>Rahul G</v>
          </cell>
          <cell r="C376" t="str">
            <v>T-Shirts</v>
          </cell>
          <cell r="D376">
            <v>45391</v>
          </cell>
          <cell r="E376">
            <v>45403</v>
          </cell>
          <cell r="F376" t="str">
            <v>Mumbai</v>
          </cell>
          <cell r="G376">
            <v>3</v>
          </cell>
          <cell r="H376">
            <v>3310.25</v>
          </cell>
          <cell r="I376">
            <v>9930.75</v>
          </cell>
          <cell r="J376" t="str">
            <v>B2C</v>
          </cell>
        </row>
        <row r="377">
          <cell r="A377">
            <v>2375</v>
          </cell>
          <cell r="B377" t="str">
            <v>Vijay K</v>
          </cell>
          <cell r="C377" t="str">
            <v>Jeans</v>
          </cell>
          <cell r="D377">
            <v>44966</v>
          </cell>
          <cell r="E377">
            <v>44975</v>
          </cell>
          <cell r="F377" t="str">
            <v>Hyderabad</v>
          </cell>
          <cell r="G377">
            <v>7</v>
          </cell>
          <cell r="H377">
            <v>2127.5300000000002</v>
          </cell>
          <cell r="I377">
            <v>14892.71</v>
          </cell>
          <cell r="J377" t="str">
            <v>B2B</v>
          </cell>
        </row>
        <row r="378">
          <cell r="A378">
            <v>2376</v>
          </cell>
          <cell r="B378" t="str">
            <v>Meena Iyer</v>
          </cell>
          <cell r="C378" t="str">
            <v>Dresses</v>
          </cell>
          <cell r="D378">
            <v>44690</v>
          </cell>
          <cell r="E378">
            <v>44701</v>
          </cell>
          <cell r="F378" t="str">
            <v>Chennai</v>
          </cell>
          <cell r="G378">
            <v>3</v>
          </cell>
          <cell r="H378">
            <v>2019.23</v>
          </cell>
          <cell r="I378">
            <v>6057.69</v>
          </cell>
          <cell r="J378" t="str">
            <v>B2B</v>
          </cell>
        </row>
        <row r="379">
          <cell r="A379">
            <v>2377</v>
          </cell>
          <cell r="B379" t="str">
            <v>Rahul G</v>
          </cell>
          <cell r="C379" t="str">
            <v>Jeans</v>
          </cell>
          <cell r="D379">
            <v>45099</v>
          </cell>
          <cell r="E379">
            <v>45111</v>
          </cell>
          <cell r="F379" t="str">
            <v>Ahmedabad</v>
          </cell>
          <cell r="G379">
            <v>8</v>
          </cell>
          <cell r="H379">
            <v>2780.26</v>
          </cell>
          <cell r="I379">
            <v>22242.080000000002</v>
          </cell>
          <cell r="J379" t="str">
            <v>B2C</v>
          </cell>
        </row>
        <row r="380">
          <cell r="A380">
            <v>2378</v>
          </cell>
          <cell r="B380" t="str">
            <v>Revathi A</v>
          </cell>
          <cell r="C380" t="str">
            <v>Jackets</v>
          </cell>
          <cell r="D380">
            <v>45365</v>
          </cell>
          <cell r="E380">
            <v>45376</v>
          </cell>
          <cell r="F380" t="str">
            <v>Chennai</v>
          </cell>
          <cell r="G380">
            <v>6</v>
          </cell>
          <cell r="H380">
            <v>1954.33</v>
          </cell>
          <cell r="I380">
            <v>11725.98</v>
          </cell>
          <cell r="J380" t="str">
            <v>B2C</v>
          </cell>
        </row>
        <row r="381">
          <cell r="A381">
            <v>2379</v>
          </cell>
          <cell r="B381" t="str">
            <v>Revathi A</v>
          </cell>
          <cell r="C381" t="str">
            <v>T-Shirts</v>
          </cell>
          <cell r="D381">
            <v>45171</v>
          </cell>
          <cell r="E381">
            <v>45182</v>
          </cell>
          <cell r="F381" t="str">
            <v>Hyderabad</v>
          </cell>
          <cell r="G381">
            <v>2</v>
          </cell>
          <cell r="H381">
            <v>3458.92</v>
          </cell>
          <cell r="I381">
            <v>6917.84</v>
          </cell>
          <cell r="J381" t="str">
            <v>B2C</v>
          </cell>
        </row>
        <row r="382">
          <cell r="A382">
            <v>2380</v>
          </cell>
          <cell r="B382" t="str">
            <v>Suresh M</v>
          </cell>
          <cell r="C382" t="str">
            <v>T-Shirts</v>
          </cell>
          <cell r="D382">
            <v>45187</v>
          </cell>
          <cell r="E382">
            <v>45190</v>
          </cell>
          <cell r="F382" t="str">
            <v>Mumbai</v>
          </cell>
          <cell r="G382">
            <v>6</v>
          </cell>
          <cell r="H382">
            <v>3559.15</v>
          </cell>
          <cell r="I382">
            <v>21354.9</v>
          </cell>
          <cell r="J382" t="str">
            <v>B2C</v>
          </cell>
        </row>
        <row r="383">
          <cell r="A383">
            <v>2381</v>
          </cell>
          <cell r="B383" t="str">
            <v>Pooja M</v>
          </cell>
          <cell r="C383" t="str">
            <v>Shoes</v>
          </cell>
          <cell r="D383">
            <v>44844</v>
          </cell>
          <cell r="E383">
            <v>44855</v>
          </cell>
          <cell r="F383" t="str">
            <v>Bangalore</v>
          </cell>
          <cell r="G383">
            <v>7</v>
          </cell>
          <cell r="H383">
            <v>1173.04</v>
          </cell>
          <cell r="I383">
            <v>8211.2800000000007</v>
          </cell>
          <cell r="J383" t="str">
            <v>B2B</v>
          </cell>
        </row>
        <row r="384">
          <cell r="A384">
            <v>2382</v>
          </cell>
          <cell r="B384" t="str">
            <v>Nithya R</v>
          </cell>
          <cell r="C384" t="str">
            <v>T-Shirts</v>
          </cell>
          <cell r="D384">
            <v>45564</v>
          </cell>
          <cell r="E384">
            <v>45570</v>
          </cell>
          <cell r="F384" t="str">
            <v>Mumbai</v>
          </cell>
          <cell r="G384">
            <v>3</v>
          </cell>
          <cell r="H384">
            <v>1778.53</v>
          </cell>
          <cell r="I384">
            <v>5335.59</v>
          </cell>
          <cell r="J384" t="str">
            <v>B2C</v>
          </cell>
        </row>
        <row r="385">
          <cell r="A385">
            <v>2383</v>
          </cell>
          <cell r="B385" t="str">
            <v>Revathi A</v>
          </cell>
          <cell r="C385" t="str">
            <v>Jeans</v>
          </cell>
          <cell r="D385">
            <v>45297</v>
          </cell>
          <cell r="E385">
            <v>45299</v>
          </cell>
          <cell r="F385" t="str">
            <v>Bangalore</v>
          </cell>
          <cell r="G385">
            <v>3</v>
          </cell>
          <cell r="H385">
            <v>1217.0999999999999</v>
          </cell>
          <cell r="I385">
            <v>3651.3</v>
          </cell>
          <cell r="J385" t="str">
            <v>B2C</v>
          </cell>
        </row>
        <row r="386">
          <cell r="A386">
            <v>2384</v>
          </cell>
          <cell r="B386" t="str">
            <v>Nithya R</v>
          </cell>
          <cell r="C386" t="str">
            <v>Shoes</v>
          </cell>
          <cell r="D386">
            <v>45575</v>
          </cell>
          <cell r="E386">
            <v>45583</v>
          </cell>
          <cell r="F386" t="str">
            <v>Pune</v>
          </cell>
          <cell r="G386">
            <v>8</v>
          </cell>
          <cell r="H386">
            <v>2253.46</v>
          </cell>
          <cell r="I386">
            <v>18027.68</v>
          </cell>
          <cell r="J386" t="str">
            <v>B2C</v>
          </cell>
        </row>
        <row r="387">
          <cell r="A387">
            <v>2385</v>
          </cell>
          <cell r="B387" t="str">
            <v>Kavitha S</v>
          </cell>
          <cell r="C387" t="str">
            <v>T-Shirts</v>
          </cell>
          <cell r="D387">
            <v>44731</v>
          </cell>
          <cell r="E387">
            <v>44742</v>
          </cell>
          <cell r="F387" t="str">
            <v>Chennai</v>
          </cell>
          <cell r="G387">
            <v>4</v>
          </cell>
          <cell r="H387">
            <v>1672.82</v>
          </cell>
          <cell r="I387">
            <v>6691.28</v>
          </cell>
          <cell r="J387" t="str">
            <v>B2C</v>
          </cell>
        </row>
        <row r="388">
          <cell r="A388">
            <v>2386</v>
          </cell>
          <cell r="B388" t="str">
            <v>Lakshmi S</v>
          </cell>
          <cell r="C388" t="str">
            <v>Shoes</v>
          </cell>
          <cell r="D388">
            <v>45153</v>
          </cell>
          <cell r="E388">
            <v>45157</v>
          </cell>
          <cell r="F388" t="str">
            <v>Ahmedabad</v>
          </cell>
          <cell r="G388">
            <v>8</v>
          </cell>
          <cell r="H388">
            <v>2958.56</v>
          </cell>
          <cell r="I388">
            <v>23668.48</v>
          </cell>
          <cell r="J388" t="str">
            <v>B2C</v>
          </cell>
        </row>
        <row r="389">
          <cell r="A389">
            <v>2387</v>
          </cell>
          <cell r="B389" t="str">
            <v>Nithya R</v>
          </cell>
          <cell r="C389" t="str">
            <v>Shoes</v>
          </cell>
          <cell r="D389">
            <v>44793</v>
          </cell>
          <cell r="E389">
            <v>44804</v>
          </cell>
          <cell r="F389" t="str">
            <v>Chennai</v>
          </cell>
          <cell r="G389">
            <v>5</v>
          </cell>
          <cell r="H389">
            <v>3943.03</v>
          </cell>
          <cell r="I389">
            <v>19715.150000000001</v>
          </cell>
          <cell r="J389" t="str">
            <v>B2C</v>
          </cell>
        </row>
        <row r="390">
          <cell r="A390">
            <v>2388</v>
          </cell>
          <cell r="B390" t="str">
            <v>Nithya R</v>
          </cell>
          <cell r="C390" t="str">
            <v>Jeans</v>
          </cell>
          <cell r="D390">
            <v>45465</v>
          </cell>
          <cell r="E390">
            <v>45475</v>
          </cell>
          <cell r="F390" t="str">
            <v>Mumbai</v>
          </cell>
          <cell r="G390">
            <v>7</v>
          </cell>
          <cell r="H390">
            <v>781.36</v>
          </cell>
          <cell r="I390">
            <v>5469.52</v>
          </cell>
          <cell r="J390" t="str">
            <v>B2B</v>
          </cell>
        </row>
        <row r="391">
          <cell r="A391">
            <v>2389</v>
          </cell>
          <cell r="B391" t="str">
            <v>Divya T</v>
          </cell>
          <cell r="C391" t="str">
            <v>Jeans</v>
          </cell>
          <cell r="D391">
            <v>45483</v>
          </cell>
          <cell r="E391">
            <v>45489</v>
          </cell>
          <cell r="F391" t="str">
            <v>Delhi</v>
          </cell>
          <cell r="G391">
            <v>2</v>
          </cell>
          <cell r="H391">
            <v>2363.63</v>
          </cell>
          <cell r="I391">
            <v>4727.26</v>
          </cell>
          <cell r="J391" t="str">
            <v>B2B</v>
          </cell>
        </row>
        <row r="392">
          <cell r="A392">
            <v>2390</v>
          </cell>
          <cell r="B392" t="str">
            <v>Prakash V</v>
          </cell>
          <cell r="C392" t="str">
            <v>T-Shirts</v>
          </cell>
          <cell r="D392">
            <v>44991</v>
          </cell>
          <cell r="E392">
            <v>45005</v>
          </cell>
          <cell r="F392" t="str">
            <v>Pune</v>
          </cell>
          <cell r="G392">
            <v>6</v>
          </cell>
          <cell r="H392">
            <v>4346.93</v>
          </cell>
          <cell r="I392">
            <v>26081.58</v>
          </cell>
          <cell r="J392" t="str">
            <v>B2C</v>
          </cell>
        </row>
        <row r="393">
          <cell r="A393">
            <v>2391</v>
          </cell>
          <cell r="B393" t="str">
            <v>Arjun Reddy</v>
          </cell>
          <cell r="C393" t="str">
            <v>Shoes</v>
          </cell>
          <cell r="D393">
            <v>44847</v>
          </cell>
          <cell r="E393">
            <v>44861</v>
          </cell>
          <cell r="F393" t="str">
            <v>Mumbai</v>
          </cell>
          <cell r="G393">
            <v>4</v>
          </cell>
          <cell r="H393">
            <v>4085.57</v>
          </cell>
          <cell r="I393">
            <v>16342.28</v>
          </cell>
          <cell r="J393" t="str">
            <v>B2C</v>
          </cell>
        </row>
        <row r="394">
          <cell r="A394">
            <v>2392</v>
          </cell>
          <cell r="B394" t="str">
            <v>Nithya R</v>
          </cell>
          <cell r="C394" t="str">
            <v>Dresses</v>
          </cell>
          <cell r="D394">
            <v>44906</v>
          </cell>
          <cell r="E394">
            <v>44913</v>
          </cell>
          <cell r="F394" t="str">
            <v>Pune</v>
          </cell>
          <cell r="G394">
            <v>5</v>
          </cell>
          <cell r="H394">
            <v>1659.87</v>
          </cell>
          <cell r="I394">
            <v>8299.35</v>
          </cell>
          <cell r="J394" t="str">
            <v>B2C</v>
          </cell>
        </row>
        <row r="395">
          <cell r="A395">
            <v>2393</v>
          </cell>
          <cell r="B395" t="str">
            <v>Santhosh P</v>
          </cell>
          <cell r="C395" t="str">
            <v>Accessories</v>
          </cell>
          <cell r="D395">
            <v>44757</v>
          </cell>
          <cell r="E395">
            <v>44761</v>
          </cell>
          <cell r="F395" t="str">
            <v>Ahmedabad</v>
          </cell>
          <cell r="G395">
            <v>7</v>
          </cell>
          <cell r="H395">
            <v>4618.21</v>
          </cell>
          <cell r="I395">
            <v>32327.47</v>
          </cell>
          <cell r="J395" t="str">
            <v>B2C</v>
          </cell>
        </row>
        <row r="396">
          <cell r="A396">
            <v>2394</v>
          </cell>
          <cell r="B396" t="str">
            <v>Balaji N</v>
          </cell>
          <cell r="C396" t="str">
            <v>T-Shirts</v>
          </cell>
          <cell r="D396">
            <v>44833</v>
          </cell>
          <cell r="E396">
            <v>44838</v>
          </cell>
          <cell r="F396" t="str">
            <v>Mumbai</v>
          </cell>
          <cell r="G396">
            <v>6</v>
          </cell>
          <cell r="H396">
            <v>4193.8599999999997</v>
          </cell>
          <cell r="I396">
            <v>25163.16</v>
          </cell>
          <cell r="J396" t="str">
            <v>B2C</v>
          </cell>
        </row>
        <row r="397">
          <cell r="A397">
            <v>2395</v>
          </cell>
          <cell r="B397" t="str">
            <v>Kavitha S</v>
          </cell>
          <cell r="C397" t="str">
            <v>T-Shirts</v>
          </cell>
          <cell r="D397">
            <v>45112</v>
          </cell>
          <cell r="E397">
            <v>45124</v>
          </cell>
          <cell r="F397" t="str">
            <v>Bangalore</v>
          </cell>
          <cell r="G397">
            <v>7</v>
          </cell>
          <cell r="H397">
            <v>2424.36</v>
          </cell>
          <cell r="I397">
            <v>16970.52</v>
          </cell>
          <cell r="J397" t="str">
            <v>B2B</v>
          </cell>
        </row>
        <row r="398">
          <cell r="A398">
            <v>2396</v>
          </cell>
          <cell r="B398" t="str">
            <v>Vijay K</v>
          </cell>
          <cell r="C398" t="str">
            <v>Shoes</v>
          </cell>
          <cell r="D398">
            <v>45131</v>
          </cell>
          <cell r="E398">
            <v>45144</v>
          </cell>
          <cell r="F398" t="str">
            <v>Delhi</v>
          </cell>
          <cell r="G398">
            <v>8</v>
          </cell>
          <cell r="H398">
            <v>4766.1899999999996</v>
          </cell>
          <cell r="I398">
            <v>38129.519999999997</v>
          </cell>
          <cell r="J398" t="str">
            <v>B2C</v>
          </cell>
        </row>
        <row r="399">
          <cell r="A399">
            <v>2397</v>
          </cell>
          <cell r="B399" t="str">
            <v>Manoj K</v>
          </cell>
          <cell r="C399" t="str">
            <v>Jeans</v>
          </cell>
          <cell r="D399">
            <v>44752</v>
          </cell>
          <cell r="E399">
            <v>44765</v>
          </cell>
          <cell r="F399" t="str">
            <v>Bangalore</v>
          </cell>
          <cell r="G399">
            <v>6</v>
          </cell>
          <cell r="H399">
            <v>4295.5</v>
          </cell>
          <cell r="I399">
            <v>25773</v>
          </cell>
          <cell r="J399" t="str">
            <v>B2C</v>
          </cell>
        </row>
        <row r="400">
          <cell r="A400">
            <v>2398</v>
          </cell>
          <cell r="B400" t="str">
            <v>Meena Iyer</v>
          </cell>
          <cell r="C400" t="str">
            <v>Jackets</v>
          </cell>
          <cell r="D400">
            <v>44995</v>
          </cell>
          <cell r="E400">
            <v>45004</v>
          </cell>
          <cell r="F400" t="str">
            <v>Delhi</v>
          </cell>
          <cell r="G400">
            <v>6</v>
          </cell>
          <cell r="H400">
            <v>4193.22</v>
          </cell>
          <cell r="I400">
            <v>25159.32</v>
          </cell>
          <cell r="J400" t="str">
            <v>B2C</v>
          </cell>
        </row>
        <row r="401">
          <cell r="A401">
            <v>2399</v>
          </cell>
          <cell r="B401" t="str">
            <v>Nithya R</v>
          </cell>
          <cell r="C401" t="str">
            <v>Shoes</v>
          </cell>
          <cell r="D401">
            <v>44829</v>
          </cell>
          <cell r="E401">
            <v>44840</v>
          </cell>
          <cell r="F401" t="str">
            <v>Ahmedabad</v>
          </cell>
          <cell r="G401">
            <v>8</v>
          </cell>
          <cell r="H401">
            <v>4005.03</v>
          </cell>
          <cell r="I401">
            <v>32040.240000000002</v>
          </cell>
          <cell r="J401" t="str">
            <v>B2B</v>
          </cell>
        </row>
        <row r="402">
          <cell r="A402">
            <v>2400</v>
          </cell>
          <cell r="B402" t="str">
            <v>Karthik Vel</v>
          </cell>
          <cell r="C402" t="str">
            <v>Jeans</v>
          </cell>
          <cell r="D402">
            <v>45503</v>
          </cell>
          <cell r="E402">
            <v>45505</v>
          </cell>
          <cell r="F402" t="str">
            <v>Chennai</v>
          </cell>
          <cell r="G402">
            <v>3</v>
          </cell>
          <cell r="H402">
            <v>2374.04</v>
          </cell>
          <cell r="I402">
            <v>7122.12</v>
          </cell>
          <cell r="J402" t="str">
            <v>B2B</v>
          </cell>
        </row>
        <row r="403">
          <cell r="A403">
            <v>2401</v>
          </cell>
          <cell r="B403" t="str">
            <v>Pooja M</v>
          </cell>
          <cell r="C403" t="str">
            <v>T-Shirts</v>
          </cell>
          <cell r="D403">
            <v>44832</v>
          </cell>
          <cell r="E403">
            <v>44844</v>
          </cell>
          <cell r="F403" t="str">
            <v>Delhi</v>
          </cell>
          <cell r="G403">
            <v>3</v>
          </cell>
          <cell r="H403">
            <v>4409.79</v>
          </cell>
          <cell r="I403">
            <v>13229.37</v>
          </cell>
          <cell r="J403" t="str">
            <v>B2C</v>
          </cell>
        </row>
        <row r="404">
          <cell r="A404">
            <v>2402</v>
          </cell>
          <cell r="B404" t="str">
            <v>Priya Nair</v>
          </cell>
          <cell r="C404" t="str">
            <v>Accessories</v>
          </cell>
          <cell r="D404">
            <v>45300</v>
          </cell>
          <cell r="E404">
            <v>45306</v>
          </cell>
          <cell r="F404" t="str">
            <v>Chennai</v>
          </cell>
          <cell r="G404">
            <v>6</v>
          </cell>
          <cell r="H404">
            <v>3423.19</v>
          </cell>
          <cell r="I404">
            <v>20539.14</v>
          </cell>
          <cell r="J404" t="str">
            <v>B2B</v>
          </cell>
        </row>
        <row r="405">
          <cell r="A405">
            <v>2403</v>
          </cell>
          <cell r="B405" t="str">
            <v>Karthik Vel</v>
          </cell>
          <cell r="C405" t="str">
            <v>Jackets</v>
          </cell>
          <cell r="D405">
            <v>45187</v>
          </cell>
          <cell r="E405">
            <v>45200</v>
          </cell>
          <cell r="F405" t="str">
            <v>Pune</v>
          </cell>
          <cell r="G405">
            <v>4</v>
          </cell>
          <cell r="H405">
            <v>2317.39</v>
          </cell>
          <cell r="I405">
            <v>9269.56</v>
          </cell>
          <cell r="J405" t="str">
            <v>B2B</v>
          </cell>
        </row>
        <row r="406">
          <cell r="A406">
            <v>2404</v>
          </cell>
          <cell r="B406" t="str">
            <v>Ganesh R</v>
          </cell>
          <cell r="C406" t="str">
            <v>Jeans</v>
          </cell>
          <cell r="D406">
            <v>44564</v>
          </cell>
          <cell r="E406">
            <v>44569</v>
          </cell>
          <cell r="F406" t="str">
            <v>Bangalore</v>
          </cell>
          <cell r="G406">
            <v>2</v>
          </cell>
          <cell r="H406">
            <v>923.69</v>
          </cell>
          <cell r="I406">
            <v>1847.38</v>
          </cell>
          <cell r="J406" t="str">
            <v>B2B</v>
          </cell>
        </row>
        <row r="407">
          <cell r="A407">
            <v>2405</v>
          </cell>
          <cell r="B407" t="str">
            <v>Santhosh P</v>
          </cell>
          <cell r="C407" t="str">
            <v>Accessories</v>
          </cell>
          <cell r="D407">
            <v>45473</v>
          </cell>
          <cell r="E407">
            <v>45475</v>
          </cell>
          <cell r="F407" t="str">
            <v>Chennai</v>
          </cell>
          <cell r="G407">
            <v>6</v>
          </cell>
          <cell r="H407">
            <v>4140.41</v>
          </cell>
          <cell r="I407">
            <v>24842.46</v>
          </cell>
          <cell r="J407" t="str">
            <v>B2C</v>
          </cell>
        </row>
        <row r="408">
          <cell r="A408">
            <v>2406</v>
          </cell>
          <cell r="B408" t="str">
            <v>Ganesh R</v>
          </cell>
          <cell r="C408" t="str">
            <v>T-Shirts</v>
          </cell>
          <cell r="D408">
            <v>45540</v>
          </cell>
          <cell r="E408">
            <v>45543</v>
          </cell>
          <cell r="F408" t="str">
            <v>Mumbai</v>
          </cell>
          <cell r="G408">
            <v>7</v>
          </cell>
          <cell r="H408">
            <v>719.86</v>
          </cell>
          <cell r="I408">
            <v>5039.0200000000004</v>
          </cell>
          <cell r="J408" t="str">
            <v>B2B</v>
          </cell>
        </row>
        <row r="409">
          <cell r="A409">
            <v>2407</v>
          </cell>
          <cell r="B409" t="str">
            <v>Suresh M</v>
          </cell>
          <cell r="C409" t="str">
            <v>Dresses</v>
          </cell>
          <cell r="D409">
            <v>45314</v>
          </cell>
          <cell r="E409">
            <v>45320</v>
          </cell>
          <cell r="F409" t="str">
            <v>Mumbai</v>
          </cell>
          <cell r="G409">
            <v>7</v>
          </cell>
          <cell r="H409">
            <v>3935.26</v>
          </cell>
          <cell r="I409">
            <v>27546.82</v>
          </cell>
          <cell r="J409" t="str">
            <v>B2B</v>
          </cell>
        </row>
        <row r="410">
          <cell r="A410">
            <v>2408</v>
          </cell>
          <cell r="B410" t="str">
            <v>Balaji N</v>
          </cell>
          <cell r="C410" t="str">
            <v>Accessories</v>
          </cell>
          <cell r="D410">
            <v>44854</v>
          </cell>
          <cell r="E410">
            <v>44857</v>
          </cell>
          <cell r="F410" t="str">
            <v>Hyderabad</v>
          </cell>
          <cell r="G410">
            <v>1</v>
          </cell>
          <cell r="H410">
            <v>3168.5</v>
          </cell>
          <cell r="I410">
            <v>3168.5</v>
          </cell>
          <cell r="J410" t="str">
            <v>B2B</v>
          </cell>
        </row>
        <row r="411">
          <cell r="A411">
            <v>2409</v>
          </cell>
          <cell r="B411" t="str">
            <v>Rahul G</v>
          </cell>
          <cell r="C411" t="str">
            <v>Dresses</v>
          </cell>
          <cell r="D411">
            <v>44998</v>
          </cell>
          <cell r="E411">
            <v>45010</v>
          </cell>
          <cell r="F411" t="str">
            <v>Pune</v>
          </cell>
          <cell r="G411">
            <v>3</v>
          </cell>
          <cell r="H411">
            <v>4623.5</v>
          </cell>
          <cell r="I411">
            <v>13870.5</v>
          </cell>
          <cell r="J411" t="str">
            <v>B2C</v>
          </cell>
        </row>
        <row r="412">
          <cell r="A412">
            <v>2410</v>
          </cell>
          <cell r="B412" t="str">
            <v>Meena Iyer</v>
          </cell>
          <cell r="C412" t="str">
            <v>Jeans</v>
          </cell>
          <cell r="D412">
            <v>44767</v>
          </cell>
          <cell r="E412">
            <v>44771</v>
          </cell>
          <cell r="F412" t="str">
            <v>Ahmedabad</v>
          </cell>
          <cell r="G412">
            <v>2</v>
          </cell>
          <cell r="H412">
            <v>3071</v>
          </cell>
          <cell r="I412">
            <v>6142</v>
          </cell>
          <cell r="J412" t="str">
            <v>B2C</v>
          </cell>
        </row>
        <row r="413">
          <cell r="A413">
            <v>2411</v>
          </cell>
          <cell r="B413" t="str">
            <v>Sneha R</v>
          </cell>
          <cell r="C413" t="str">
            <v>Jackets</v>
          </cell>
          <cell r="D413">
            <v>45206</v>
          </cell>
          <cell r="E413">
            <v>45220</v>
          </cell>
          <cell r="F413" t="str">
            <v>Mumbai</v>
          </cell>
          <cell r="G413">
            <v>4</v>
          </cell>
          <cell r="H413">
            <v>1601.75</v>
          </cell>
          <cell r="I413">
            <v>6407</v>
          </cell>
          <cell r="J413" t="str">
            <v>B2B</v>
          </cell>
        </row>
        <row r="414">
          <cell r="A414">
            <v>2412</v>
          </cell>
          <cell r="B414" t="str">
            <v>Lakshmi S</v>
          </cell>
          <cell r="C414" t="str">
            <v>Shoes</v>
          </cell>
          <cell r="D414">
            <v>45145</v>
          </cell>
          <cell r="E414">
            <v>45159</v>
          </cell>
          <cell r="F414" t="str">
            <v>Pune</v>
          </cell>
          <cell r="G414">
            <v>1</v>
          </cell>
          <cell r="H414">
            <v>4285.09</v>
          </cell>
          <cell r="I414">
            <v>4285.09</v>
          </cell>
          <cell r="J414" t="str">
            <v>B2C</v>
          </cell>
        </row>
        <row r="415">
          <cell r="A415">
            <v>2413</v>
          </cell>
          <cell r="B415" t="str">
            <v>Meena Iyer</v>
          </cell>
          <cell r="C415" t="str">
            <v>Shoes</v>
          </cell>
          <cell r="D415">
            <v>45605</v>
          </cell>
          <cell r="E415">
            <v>45610</v>
          </cell>
          <cell r="F415" t="str">
            <v>Pune</v>
          </cell>
          <cell r="G415">
            <v>7</v>
          </cell>
          <cell r="H415">
            <v>1689.05</v>
          </cell>
          <cell r="I415">
            <v>11823.35</v>
          </cell>
          <cell r="J415" t="str">
            <v>B2B</v>
          </cell>
        </row>
        <row r="416">
          <cell r="A416">
            <v>2414</v>
          </cell>
          <cell r="B416" t="str">
            <v>Lakshmi S</v>
          </cell>
          <cell r="C416" t="str">
            <v>Jackets</v>
          </cell>
          <cell r="D416">
            <v>45352</v>
          </cell>
          <cell r="E416">
            <v>45355</v>
          </cell>
          <cell r="F416" t="str">
            <v>Mumbai</v>
          </cell>
          <cell r="G416">
            <v>8</v>
          </cell>
          <cell r="H416">
            <v>3298.99</v>
          </cell>
          <cell r="I416">
            <v>26391.919999999998</v>
          </cell>
          <cell r="J416" t="str">
            <v>B2B</v>
          </cell>
        </row>
        <row r="417">
          <cell r="A417">
            <v>2415</v>
          </cell>
          <cell r="B417" t="str">
            <v>Santhosh P</v>
          </cell>
          <cell r="C417" t="str">
            <v>Jeans</v>
          </cell>
          <cell r="D417">
            <v>45301</v>
          </cell>
          <cell r="E417">
            <v>45308</v>
          </cell>
          <cell r="F417" t="str">
            <v>Mumbai</v>
          </cell>
          <cell r="G417">
            <v>7</v>
          </cell>
          <cell r="H417">
            <v>4345.83</v>
          </cell>
          <cell r="I417">
            <v>30420.81</v>
          </cell>
          <cell r="J417" t="str">
            <v>B2C</v>
          </cell>
        </row>
        <row r="418">
          <cell r="A418">
            <v>2416</v>
          </cell>
          <cell r="B418" t="str">
            <v>Sneha R</v>
          </cell>
          <cell r="C418" t="str">
            <v>Shoes</v>
          </cell>
          <cell r="D418">
            <v>44915</v>
          </cell>
          <cell r="E418">
            <v>44929</v>
          </cell>
          <cell r="F418" t="str">
            <v>Bangalore</v>
          </cell>
          <cell r="G418">
            <v>2</v>
          </cell>
          <cell r="H418">
            <v>378.44</v>
          </cell>
          <cell r="I418">
            <v>756.88</v>
          </cell>
          <cell r="J418" t="str">
            <v>B2B</v>
          </cell>
        </row>
        <row r="419">
          <cell r="A419">
            <v>2417</v>
          </cell>
          <cell r="B419" t="str">
            <v>Anitha Raj</v>
          </cell>
          <cell r="C419" t="str">
            <v>Dresses</v>
          </cell>
          <cell r="D419">
            <v>45003</v>
          </cell>
          <cell r="E419">
            <v>45005</v>
          </cell>
          <cell r="F419" t="str">
            <v>Chennai</v>
          </cell>
          <cell r="G419">
            <v>7</v>
          </cell>
          <cell r="H419">
            <v>2681.07</v>
          </cell>
          <cell r="I419">
            <v>18767.490000000002</v>
          </cell>
          <cell r="J419" t="str">
            <v>B2C</v>
          </cell>
        </row>
        <row r="420">
          <cell r="A420">
            <v>2418</v>
          </cell>
          <cell r="B420" t="str">
            <v>Pooja M</v>
          </cell>
          <cell r="C420" t="str">
            <v>Accessories</v>
          </cell>
          <cell r="D420">
            <v>45385</v>
          </cell>
          <cell r="E420">
            <v>45388</v>
          </cell>
          <cell r="F420" t="str">
            <v>Pune</v>
          </cell>
          <cell r="G420">
            <v>3</v>
          </cell>
          <cell r="H420">
            <v>1604.1</v>
          </cell>
          <cell r="I420">
            <v>4812.3</v>
          </cell>
          <cell r="J420" t="str">
            <v>B2C</v>
          </cell>
        </row>
        <row r="421">
          <cell r="A421">
            <v>2419</v>
          </cell>
          <cell r="B421" t="str">
            <v>Priya Nair</v>
          </cell>
          <cell r="C421" t="str">
            <v>Shoes</v>
          </cell>
          <cell r="D421">
            <v>44978</v>
          </cell>
          <cell r="E421">
            <v>44992</v>
          </cell>
          <cell r="F421" t="str">
            <v>Mumbai</v>
          </cell>
          <cell r="G421">
            <v>6</v>
          </cell>
          <cell r="H421">
            <v>2136.44</v>
          </cell>
          <cell r="I421">
            <v>12818.64</v>
          </cell>
          <cell r="J421" t="str">
            <v>B2B</v>
          </cell>
        </row>
        <row r="422">
          <cell r="A422">
            <v>2420</v>
          </cell>
          <cell r="B422" t="str">
            <v>Divya T</v>
          </cell>
          <cell r="C422" t="str">
            <v>Accessories</v>
          </cell>
          <cell r="D422">
            <v>45457</v>
          </cell>
          <cell r="E422">
            <v>45470</v>
          </cell>
          <cell r="F422" t="str">
            <v>Ahmedabad</v>
          </cell>
          <cell r="G422">
            <v>4</v>
          </cell>
          <cell r="H422">
            <v>572.16</v>
          </cell>
          <cell r="I422">
            <v>2288.64</v>
          </cell>
          <cell r="J422" t="str">
            <v>B2B</v>
          </cell>
        </row>
        <row r="423">
          <cell r="A423">
            <v>2421</v>
          </cell>
          <cell r="B423" t="str">
            <v>Pooja M</v>
          </cell>
          <cell r="C423" t="str">
            <v>Jeans</v>
          </cell>
          <cell r="D423">
            <v>45490</v>
          </cell>
          <cell r="E423">
            <v>45501</v>
          </cell>
          <cell r="F423" t="str">
            <v>Hyderabad</v>
          </cell>
          <cell r="G423">
            <v>1</v>
          </cell>
          <cell r="H423">
            <v>1753.66</v>
          </cell>
          <cell r="I423">
            <v>1753.66</v>
          </cell>
          <cell r="J423" t="str">
            <v>B2B</v>
          </cell>
        </row>
        <row r="424">
          <cell r="A424">
            <v>2422</v>
          </cell>
          <cell r="B424" t="str">
            <v>Suresh M</v>
          </cell>
          <cell r="C424" t="str">
            <v>Jeans</v>
          </cell>
          <cell r="D424">
            <v>44843</v>
          </cell>
          <cell r="E424">
            <v>44856</v>
          </cell>
          <cell r="F424" t="str">
            <v>Chennai</v>
          </cell>
          <cell r="G424">
            <v>3</v>
          </cell>
          <cell r="H424">
            <v>2633.14</v>
          </cell>
          <cell r="I424">
            <v>7899.42</v>
          </cell>
          <cell r="J424" t="str">
            <v>B2C</v>
          </cell>
        </row>
        <row r="425">
          <cell r="A425">
            <v>2423</v>
          </cell>
          <cell r="B425" t="str">
            <v>Santhosh P</v>
          </cell>
          <cell r="C425" t="str">
            <v>Shoes</v>
          </cell>
          <cell r="D425">
            <v>45092</v>
          </cell>
          <cell r="E425">
            <v>45096</v>
          </cell>
          <cell r="F425" t="str">
            <v>Delhi</v>
          </cell>
          <cell r="G425">
            <v>3</v>
          </cell>
          <cell r="H425">
            <v>3823.95</v>
          </cell>
          <cell r="I425">
            <v>11471.85</v>
          </cell>
          <cell r="J425" t="str">
            <v>B2C</v>
          </cell>
        </row>
        <row r="426">
          <cell r="A426">
            <v>2424</v>
          </cell>
          <cell r="B426" t="str">
            <v>Uma S</v>
          </cell>
          <cell r="C426" t="str">
            <v>Jeans</v>
          </cell>
          <cell r="D426">
            <v>44622</v>
          </cell>
          <cell r="E426">
            <v>44629</v>
          </cell>
          <cell r="F426" t="str">
            <v>Ahmedabad</v>
          </cell>
          <cell r="G426">
            <v>7</v>
          </cell>
          <cell r="H426">
            <v>1578.31</v>
          </cell>
          <cell r="I426">
            <v>11048.17</v>
          </cell>
          <cell r="J426" t="str">
            <v>B2B</v>
          </cell>
        </row>
        <row r="427">
          <cell r="A427">
            <v>2425</v>
          </cell>
          <cell r="B427" t="str">
            <v>Ravi Kumar</v>
          </cell>
          <cell r="C427" t="str">
            <v>Accessories</v>
          </cell>
          <cell r="D427">
            <v>44719</v>
          </cell>
          <cell r="E427">
            <v>44728</v>
          </cell>
          <cell r="F427" t="str">
            <v>Bangalore</v>
          </cell>
          <cell r="G427">
            <v>6</v>
          </cell>
          <cell r="H427">
            <v>560.55999999999995</v>
          </cell>
          <cell r="I427">
            <v>3363.36</v>
          </cell>
          <cell r="J427" t="str">
            <v>B2B</v>
          </cell>
        </row>
        <row r="428">
          <cell r="A428">
            <v>2426</v>
          </cell>
          <cell r="B428" t="str">
            <v>Sneha R</v>
          </cell>
          <cell r="C428" t="str">
            <v>T-Shirts</v>
          </cell>
          <cell r="D428">
            <v>45084</v>
          </cell>
          <cell r="E428">
            <v>45098</v>
          </cell>
          <cell r="F428" t="str">
            <v>Chennai</v>
          </cell>
          <cell r="G428">
            <v>2</v>
          </cell>
          <cell r="H428">
            <v>1373.5</v>
          </cell>
          <cell r="I428">
            <v>2747</v>
          </cell>
          <cell r="J428" t="str">
            <v>B2B</v>
          </cell>
        </row>
        <row r="429">
          <cell r="A429">
            <v>2427</v>
          </cell>
          <cell r="B429" t="str">
            <v>Karthik Vel</v>
          </cell>
          <cell r="C429" t="str">
            <v>Jeans</v>
          </cell>
          <cell r="D429">
            <v>45062</v>
          </cell>
          <cell r="E429">
            <v>45064</v>
          </cell>
          <cell r="F429" t="str">
            <v>Bangalore</v>
          </cell>
          <cell r="G429">
            <v>6</v>
          </cell>
          <cell r="H429">
            <v>2100</v>
          </cell>
          <cell r="I429">
            <v>12600</v>
          </cell>
          <cell r="J429" t="str">
            <v>B2B</v>
          </cell>
        </row>
        <row r="430">
          <cell r="A430">
            <v>2428</v>
          </cell>
          <cell r="B430" t="str">
            <v>Arjun Reddy</v>
          </cell>
          <cell r="C430" t="str">
            <v>Jeans</v>
          </cell>
          <cell r="D430">
            <v>45420</v>
          </cell>
          <cell r="E430">
            <v>45425</v>
          </cell>
          <cell r="F430" t="str">
            <v>Delhi</v>
          </cell>
          <cell r="G430">
            <v>4</v>
          </cell>
          <cell r="H430">
            <v>2256.41</v>
          </cell>
          <cell r="I430">
            <v>9025.64</v>
          </cell>
          <cell r="J430" t="str">
            <v>B2C</v>
          </cell>
        </row>
        <row r="431">
          <cell r="A431">
            <v>2429</v>
          </cell>
          <cell r="B431" t="str">
            <v>Ravi Kumar</v>
          </cell>
          <cell r="C431" t="str">
            <v>Jeans</v>
          </cell>
          <cell r="D431">
            <v>45325</v>
          </cell>
          <cell r="E431">
            <v>45328</v>
          </cell>
          <cell r="F431" t="str">
            <v>Hyderabad</v>
          </cell>
          <cell r="G431">
            <v>1</v>
          </cell>
          <cell r="H431">
            <v>1142.92</v>
          </cell>
          <cell r="I431">
            <v>1142.92</v>
          </cell>
          <cell r="J431" t="str">
            <v>B2B</v>
          </cell>
        </row>
        <row r="432">
          <cell r="A432">
            <v>2430</v>
          </cell>
          <cell r="B432" t="str">
            <v>Vijay K</v>
          </cell>
          <cell r="C432" t="str">
            <v>Jeans</v>
          </cell>
          <cell r="D432">
            <v>45514</v>
          </cell>
          <cell r="E432">
            <v>45529</v>
          </cell>
          <cell r="F432" t="str">
            <v>Delhi</v>
          </cell>
          <cell r="G432">
            <v>5</v>
          </cell>
          <cell r="H432">
            <v>1838.31</v>
          </cell>
          <cell r="I432">
            <v>9191.5499999999993</v>
          </cell>
          <cell r="J432" t="str">
            <v>B2C</v>
          </cell>
        </row>
        <row r="433">
          <cell r="A433">
            <v>2431</v>
          </cell>
          <cell r="B433" t="str">
            <v>Anitha Raj</v>
          </cell>
          <cell r="C433" t="str">
            <v>Dresses</v>
          </cell>
          <cell r="D433">
            <v>44972</v>
          </cell>
          <cell r="E433">
            <v>44978</v>
          </cell>
          <cell r="F433" t="str">
            <v>Hyderabad</v>
          </cell>
          <cell r="G433">
            <v>5</v>
          </cell>
          <cell r="H433">
            <v>3776.01</v>
          </cell>
          <cell r="I433">
            <v>18880.05</v>
          </cell>
          <cell r="J433" t="str">
            <v>B2B</v>
          </cell>
        </row>
        <row r="434">
          <cell r="A434">
            <v>2432</v>
          </cell>
          <cell r="B434" t="str">
            <v>Rahul G</v>
          </cell>
          <cell r="C434" t="str">
            <v>Dresses</v>
          </cell>
          <cell r="D434">
            <v>45572</v>
          </cell>
          <cell r="E434">
            <v>45586</v>
          </cell>
          <cell r="F434" t="str">
            <v>Ahmedabad</v>
          </cell>
          <cell r="G434">
            <v>4</v>
          </cell>
          <cell r="H434">
            <v>3742.58</v>
          </cell>
          <cell r="I434">
            <v>14970.32</v>
          </cell>
          <cell r="J434" t="str">
            <v>B2B</v>
          </cell>
        </row>
        <row r="435">
          <cell r="A435">
            <v>2433</v>
          </cell>
          <cell r="B435" t="str">
            <v>Deepa K</v>
          </cell>
          <cell r="C435" t="str">
            <v>Jeans</v>
          </cell>
          <cell r="D435">
            <v>45401</v>
          </cell>
          <cell r="E435">
            <v>45403</v>
          </cell>
          <cell r="F435" t="str">
            <v>Mumbai</v>
          </cell>
          <cell r="G435">
            <v>6</v>
          </cell>
          <cell r="H435">
            <v>3288.93</v>
          </cell>
          <cell r="I435">
            <v>19733.580000000002</v>
          </cell>
          <cell r="J435" t="str">
            <v>B2B</v>
          </cell>
        </row>
        <row r="436">
          <cell r="A436">
            <v>2434</v>
          </cell>
          <cell r="B436" t="str">
            <v>Arun Pandi</v>
          </cell>
          <cell r="C436" t="str">
            <v>Jeans</v>
          </cell>
          <cell r="D436">
            <v>45332</v>
          </cell>
          <cell r="E436">
            <v>45347</v>
          </cell>
          <cell r="F436" t="str">
            <v>Pune</v>
          </cell>
          <cell r="G436">
            <v>5</v>
          </cell>
          <cell r="H436">
            <v>788.56</v>
          </cell>
          <cell r="I436">
            <v>3942.8</v>
          </cell>
          <cell r="J436" t="str">
            <v>B2B</v>
          </cell>
        </row>
        <row r="437">
          <cell r="A437">
            <v>2435</v>
          </cell>
          <cell r="B437" t="str">
            <v>Pooja M</v>
          </cell>
          <cell r="C437" t="str">
            <v>Jackets</v>
          </cell>
          <cell r="D437">
            <v>44684</v>
          </cell>
          <cell r="E437">
            <v>44688</v>
          </cell>
          <cell r="F437" t="str">
            <v>Pune</v>
          </cell>
          <cell r="G437">
            <v>5</v>
          </cell>
          <cell r="H437">
            <v>737.23</v>
          </cell>
          <cell r="I437">
            <v>3686.15</v>
          </cell>
          <cell r="J437" t="str">
            <v>B2B</v>
          </cell>
        </row>
        <row r="438">
          <cell r="A438">
            <v>2436</v>
          </cell>
          <cell r="B438" t="str">
            <v>Santhosh P</v>
          </cell>
          <cell r="C438" t="str">
            <v>Jackets</v>
          </cell>
          <cell r="D438">
            <v>45324</v>
          </cell>
          <cell r="E438">
            <v>45333</v>
          </cell>
          <cell r="F438" t="str">
            <v>Pune</v>
          </cell>
          <cell r="G438">
            <v>2</v>
          </cell>
          <cell r="H438">
            <v>3029.62</v>
          </cell>
          <cell r="I438">
            <v>6059.24</v>
          </cell>
          <cell r="J438" t="str">
            <v>B2B</v>
          </cell>
        </row>
        <row r="439">
          <cell r="A439">
            <v>2437</v>
          </cell>
          <cell r="B439" t="str">
            <v>Balaji N</v>
          </cell>
          <cell r="C439" t="str">
            <v>Jackets</v>
          </cell>
          <cell r="D439">
            <v>44715</v>
          </cell>
          <cell r="E439">
            <v>44726</v>
          </cell>
          <cell r="F439" t="str">
            <v>Hyderabad</v>
          </cell>
          <cell r="G439">
            <v>1</v>
          </cell>
          <cell r="H439">
            <v>2344.42</v>
          </cell>
          <cell r="I439">
            <v>2344.42</v>
          </cell>
          <cell r="J439" t="str">
            <v>B2B</v>
          </cell>
        </row>
        <row r="440">
          <cell r="A440">
            <v>2438</v>
          </cell>
          <cell r="B440" t="str">
            <v>Lakshmi S</v>
          </cell>
          <cell r="C440" t="str">
            <v>Dresses</v>
          </cell>
          <cell r="D440">
            <v>45096</v>
          </cell>
          <cell r="E440">
            <v>45111</v>
          </cell>
          <cell r="F440" t="str">
            <v>Delhi</v>
          </cell>
          <cell r="G440">
            <v>7</v>
          </cell>
          <cell r="H440">
            <v>3593.41</v>
          </cell>
          <cell r="I440">
            <v>25153.87</v>
          </cell>
          <cell r="J440" t="str">
            <v>B2C</v>
          </cell>
        </row>
        <row r="441">
          <cell r="A441">
            <v>2439</v>
          </cell>
          <cell r="B441" t="str">
            <v>Arun Pandi</v>
          </cell>
          <cell r="C441" t="str">
            <v>Jackets</v>
          </cell>
          <cell r="D441">
            <v>45118</v>
          </cell>
          <cell r="E441">
            <v>45123</v>
          </cell>
          <cell r="F441" t="str">
            <v>Chennai</v>
          </cell>
          <cell r="G441">
            <v>4</v>
          </cell>
          <cell r="H441">
            <v>939.73</v>
          </cell>
          <cell r="I441">
            <v>3758.92</v>
          </cell>
          <cell r="J441" t="str">
            <v>B2B</v>
          </cell>
        </row>
        <row r="442">
          <cell r="A442">
            <v>2440</v>
          </cell>
          <cell r="B442" t="str">
            <v>Deepa K</v>
          </cell>
          <cell r="C442" t="str">
            <v>Jeans</v>
          </cell>
          <cell r="D442">
            <v>44898</v>
          </cell>
          <cell r="E442">
            <v>44907</v>
          </cell>
          <cell r="F442" t="str">
            <v>Bangalore</v>
          </cell>
          <cell r="G442">
            <v>6</v>
          </cell>
          <cell r="H442">
            <v>2210.61</v>
          </cell>
          <cell r="I442">
            <v>13263.66</v>
          </cell>
          <cell r="J442" t="str">
            <v>B2C</v>
          </cell>
        </row>
        <row r="443">
          <cell r="A443">
            <v>2441</v>
          </cell>
          <cell r="B443" t="str">
            <v>Prakash V</v>
          </cell>
          <cell r="C443" t="str">
            <v>T-Shirts</v>
          </cell>
          <cell r="D443">
            <v>45487</v>
          </cell>
          <cell r="E443">
            <v>45493</v>
          </cell>
          <cell r="F443" t="str">
            <v>Bangalore</v>
          </cell>
          <cell r="G443">
            <v>5</v>
          </cell>
          <cell r="H443">
            <v>4306.67</v>
          </cell>
          <cell r="I443">
            <v>21533.35</v>
          </cell>
          <cell r="J443" t="str">
            <v>B2B</v>
          </cell>
        </row>
        <row r="444">
          <cell r="A444">
            <v>2442</v>
          </cell>
          <cell r="B444" t="str">
            <v>Arjun Reddy</v>
          </cell>
          <cell r="C444" t="str">
            <v>Accessories</v>
          </cell>
          <cell r="D444">
            <v>45185</v>
          </cell>
          <cell r="E444">
            <v>45200</v>
          </cell>
          <cell r="F444" t="str">
            <v>Pune</v>
          </cell>
          <cell r="G444">
            <v>1</v>
          </cell>
          <cell r="H444">
            <v>1310.5999999999999</v>
          </cell>
          <cell r="I444">
            <v>1310.5999999999999</v>
          </cell>
          <cell r="J444" t="str">
            <v>B2C</v>
          </cell>
        </row>
        <row r="445">
          <cell r="A445">
            <v>2443</v>
          </cell>
          <cell r="B445" t="str">
            <v>Deepa K</v>
          </cell>
          <cell r="C445" t="str">
            <v>Jeans</v>
          </cell>
          <cell r="D445">
            <v>45070</v>
          </cell>
          <cell r="E445">
            <v>45077</v>
          </cell>
          <cell r="F445" t="str">
            <v>Bangalore</v>
          </cell>
          <cell r="G445">
            <v>1</v>
          </cell>
          <cell r="H445">
            <v>3482.76</v>
          </cell>
          <cell r="I445">
            <v>3482.76</v>
          </cell>
          <cell r="J445" t="str">
            <v>B2C</v>
          </cell>
        </row>
        <row r="446">
          <cell r="A446">
            <v>2444</v>
          </cell>
          <cell r="B446" t="str">
            <v>Arjun Reddy</v>
          </cell>
          <cell r="C446" t="str">
            <v>Jeans</v>
          </cell>
          <cell r="D446">
            <v>45390</v>
          </cell>
          <cell r="E446">
            <v>45405</v>
          </cell>
          <cell r="F446" t="str">
            <v>Bangalore</v>
          </cell>
          <cell r="G446">
            <v>4</v>
          </cell>
          <cell r="H446">
            <v>745.21</v>
          </cell>
          <cell r="I446">
            <v>2980.84</v>
          </cell>
          <cell r="J446" t="str">
            <v>B2B</v>
          </cell>
        </row>
        <row r="447">
          <cell r="A447">
            <v>2445</v>
          </cell>
          <cell r="B447" t="str">
            <v>Deepa K</v>
          </cell>
          <cell r="C447" t="str">
            <v>Jeans</v>
          </cell>
          <cell r="D447">
            <v>44586</v>
          </cell>
          <cell r="E447">
            <v>44588</v>
          </cell>
          <cell r="F447" t="str">
            <v>Ahmedabad</v>
          </cell>
          <cell r="G447">
            <v>4</v>
          </cell>
          <cell r="H447">
            <v>914.36</v>
          </cell>
          <cell r="I447">
            <v>3657.44</v>
          </cell>
          <cell r="J447" t="str">
            <v>B2C</v>
          </cell>
        </row>
        <row r="448">
          <cell r="A448">
            <v>2446</v>
          </cell>
          <cell r="B448" t="str">
            <v>Sneha R</v>
          </cell>
          <cell r="C448" t="str">
            <v>Accessories</v>
          </cell>
          <cell r="D448">
            <v>44734</v>
          </cell>
          <cell r="E448">
            <v>44745</v>
          </cell>
          <cell r="F448" t="str">
            <v>Hyderabad</v>
          </cell>
          <cell r="G448">
            <v>5</v>
          </cell>
          <cell r="H448">
            <v>4611.91</v>
          </cell>
          <cell r="I448">
            <v>23059.55</v>
          </cell>
          <cell r="J448" t="str">
            <v>B2B</v>
          </cell>
        </row>
        <row r="449">
          <cell r="A449">
            <v>2447</v>
          </cell>
          <cell r="B449" t="str">
            <v>Anitha Raj</v>
          </cell>
          <cell r="C449" t="str">
            <v>Jeans</v>
          </cell>
          <cell r="D449">
            <v>44966</v>
          </cell>
          <cell r="E449">
            <v>44978</v>
          </cell>
          <cell r="F449" t="str">
            <v>Bangalore</v>
          </cell>
          <cell r="G449">
            <v>3</v>
          </cell>
          <cell r="H449">
            <v>732.3</v>
          </cell>
          <cell r="I449">
            <v>2196.9</v>
          </cell>
          <cell r="J449" t="str">
            <v>B2C</v>
          </cell>
        </row>
        <row r="450">
          <cell r="A450">
            <v>2448</v>
          </cell>
          <cell r="B450" t="str">
            <v>Suresh M</v>
          </cell>
          <cell r="C450" t="str">
            <v>Jeans</v>
          </cell>
          <cell r="D450">
            <v>45506</v>
          </cell>
          <cell r="E450">
            <v>45508</v>
          </cell>
          <cell r="F450" t="str">
            <v>Mumbai</v>
          </cell>
          <cell r="G450">
            <v>7</v>
          </cell>
          <cell r="H450">
            <v>4161.92</v>
          </cell>
          <cell r="I450">
            <v>29133.439999999999</v>
          </cell>
          <cell r="J450" t="str">
            <v>B2C</v>
          </cell>
        </row>
        <row r="451">
          <cell r="A451">
            <v>2449</v>
          </cell>
          <cell r="B451" t="str">
            <v>Kavitha S</v>
          </cell>
          <cell r="C451" t="str">
            <v>Jeans</v>
          </cell>
          <cell r="D451">
            <v>45345</v>
          </cell>
          <cell r="E451">
            <v>45357</v>
          </cell>
          <cell r="F451" t="str">
            <v>Bangalore</v>
          </cell>
          <cell r="G451">
            <v>3</v>
          </cell>
          <cell r="H451">
            <v>1963.53</v>
          </cell>
          <cell r="I451">
            <v>5890.59</v>
          </cell>
          <cell r="J451" t="str">
            <v>B2B</v>
          </cell>
        </row>
        <row r="452">
          <cell r="A452">
            <v>2450</v>
          </cell>
          <cell r="B452" t="str">
            <v>Ravi Kumar</v>
          </cell>
          <cell r="C452" t="str">
            <v>Dresses</v>
          </cell>
          <cell r="D452">
            <v>45475</v>
          </cell>
          <cell r="E452">
            <v>45479</v>
          </cell>
          <cell r="F452" t="str">
            <v>Chennai</v>
          </cell>
          <cell r="G452">
            <v>4</v>
          </cell>
          <cell r="H452">
            <v>3342.21</v>
          </cell>
          <cell r="I452">
            <v>13368.84</v>
          </cell>
          <cell r="J452" t="str">
            <v>B2C</v>
          </cell>
        </row>
        <row r="453">
          <cell r="A453">
            <v>2451</v>
          </cell>
          <cell r="B453" t="str">
            <v>Pooja M</v>
          </cell>
          <cell r="C453" t="str">
            <v>Shoes</v>
          </cell>
          <cell r="D453">
            <v>45543</v>
          </cell>
          <cell r="E453">
            <v>45545</v>
          </cell>
          <cell r="F453" t="str">
            <v>Chennai</v>
          </cell>
          <cell r="G453">
            <v>5</v>
          </cell>
          <cell r="H453">
            <v>2100.17</v>
          </cell>
          <cell r="I453">
            <v>10500.85</v>
          </cell>
          <cell r="J453" t="str">
            <v>B2C</v>
          </cell>
        </row>
        <row r="454">
          <cell r="A454">
            <v>2452</v>
          </cell>
          <cell r="B454" t="str">
            <v>Meena Iyer</v>
          </cell>
          <cell r="C454" t="str">
            <v>Accessories</v>
          </cell>
          <cell r="D454">
            <v>45638</v>
          </cell>
          <cell r="E454">
            <v>45643</v>
          </cell>
          <cell r="F454" t="str">
            <v>Pune</v>
          </cell>
          <cell r="G454">
            <v>1</v>
          </cell>
          <cell r="H454">
            <v>4950.2</v>
          </cell>
          <cell r="I454">
            <v>4950.2</v>
          </cell>
          <cell r="J454" t="str">
            <v>B2C</v>
          </cell>
        </row>
        <row r="455">
          <cell r="A455">
            <v>2453</v>
          </cell>
          <cell r="B455" t="str">
            <v>Kavitha S</v>
          </cell>
          <cell r="C455" t="str">
            <v>Shoes</v>
          </cell>
          <cell r="D455">
            <v>45554</v>
          </cell>
          <cell r="E455">
            <v>45561</v>
          </cell>
          <cell r="F455" t="str">
            <v>Hyderabad</v>
          </cell>
          <cell r="G455">
            <v>6</v>
          </cell>
          <cell r="H455">
            <v>2125.39</v>
          </cell>
          <cell r="I455">
            <v>12752.34</v>
          </cell>
          <cell r="J455" t="str">
            <v>B2B</v>
          </cell>
        </row>
        <row r="456">
          <cell r="A456">
            <v>2454</v>
          </cell>
          <cell r="B456" t="str">
            <v>Anitha Raj</v>
          </cell>
          <cell r="C456" t="str">
            <v>Dresses</v>
          </cell>
          <cell r="D456">
            <v>45010</v>
          </cell>
          <cell r="E456">
            <v>45012</v>
          </cell>
          <cell r="F456" t="str">
            <v>Ahmedabad</v>
          </cell>
          <cell r="G456">
            <v>5</v>
          </cell>
          <cell r="H456">
            <v>575.38</v>
          </cell>
          <cell r="I456">
            <v>2876.9</v>
          </cell>
          <cell r="J456" t="str">
            <v>B2C</v>
          </cell>
        </row>
        <row r="457">
          <cell r="A457">
            <v>2455</v>
          </cell>
          <cell r="B457" t="str">
            <v>Santhosh P</v>
          </cell>
          <cell r="C457" t="str">
            <v>Dresses</v>
          </cell>
          <cell r="D457">
            <v>45038</v>
          </cell>
          <cell r="E457">
            <v>45042</v>
          </cell>
          <cell r="F457" t="str">
            <v>Chennai</v>
          </cell>
          <cell r="G457">
            <v>4</v>
          </cell>
          <cell r="H457">
            <v>3387.26</v>
          </cell>
          <cell r="I457">
            <v>13549.04</v>
          </cell>
          <cell r="J457" t="str">
            <v>B2C</v>
          </cell>
        </row>
        <row r="458">
          <cell r="A458">
            <v>2456</v>
          </cell>
          <cell r="B458" t="str">
            <v>Nithya R</v>
          </cell>
          <cell r="C458" t="str">
            <v>Accessories</v>
          </cell>
          <cell r="D458">
            <v>44676</v>
          </cell>
          <cell r="E458">
            <v>44690</v>
          </cell>
          <cell r="F458" t="str">
            <v>Mumbai</v>
          </cell>
          <cell r="G458">
            <v>7</v>
          </cell>
          <cell r="H458">
            <v>1967.58</v>
          </cell>
          <cell r="I458">
            <v>13773.06</v>
          </cell>
          <cell r="J458" t="str">
            <v>B2B</v>
          </cell>
        </row>
        <row r="459">
          <cell r="A459">
            <v>2457</v>
          </cell>
          <cell r="B459" t="str">
            <v>Arjun Reddy</v>
          </cell>
          <cell r="C459" t="str">
            <v>T-Shirts</v>
          </cell>
          <cell r="D459">
            <v>45213</v>
          </cell>
          <cell r="E459">
            <v>45227</v>
          </cell>
          <cell r="F459" t="str">
            <v>Pune</v>
          </cell>
          <cell r="G459">
            <v>6</v>
          </cell>
          <cell r="H459">
            <v>4595.71</v>
          </cell>
          <cell r="I459">
            <v>27574.26</v>
          </cell>
          <cell r="J459" t="str">
            <v>B2B</v>
          </cell>
        </row>
        <row r="460">
          <cell r="A460">
            <v>2458</v>
          </cell>
          <cell r="B460" t="str">
            <v>Ganesh R</v>
          </cell>
          <cell r="C460" t="str">
            <v>Accessories</v>
          </cell>
          <cell r="D460">
            <v>45282</v>
          </cell>
          <cell r="E460">
            <v>45293</v>
          </cell>
          <cell r="F460" t="str">
            <v>Hyderabad</v>
          </cell>
          <cell r="G460">
            <v>3</v>
          </cell>
          <cell r="H460">
            <v>2946.61</v>
          </cell>
          <cell r="I460">
            <v>8839.83</v>
          </cell>
          <cell r="J460" t="str">
            <v>B2B</v>
          </cell>
        </row>
        <row r="461">
          <cell r="A461">
            <v>2459</v>
          </cell>
          <cell r="B461" t="str">
            <v>Kavitha S</v>
          </cell>
          <cell r="C461" t="str">
            <v>Shoes</v>
          </cell>
          <cell r="D461">
            <v>45194</v>
          </cell>
          <cell r="E461">
            <v>45198</v>
          </cell>
          <cell r="F461" t="str">
            <v>Bangalore</v>
          </cell>
          <cell r="G461">
            <v>1</v>
          </cell>
          <cell r="H461">
            <v>724.21</v>
          </cell>
          <cell r="I461">
            <v>724.21</v>
          </cell>
          <cell r="J461" t="str">
            <v>B2B</v>
          </cell>
        </row>
        <row r="462">
          <cell r="A462">
            <v>2460</v>
          </cell>
          <cell r="B462" t="str">
            <v>Revathi A</v>
          </cell>
          <cell r="C462" t="str">
            <v>T-Shirts</v>
          </cell>
          <cell r="D462">
            <v>44602</v>
          </cell>
          <cell r="E462">
            <v>44612</v>
          </cell>
          <cell r="F462" t="str">
            <v>Bangalore</v>
          </cell>
          <cell r="G462">
            <v>1</v>
          </cell>
          <cell r="H462">
            <v>1859.15</v>
          </cell>
          <cell r="I462">
            <v>1859.15</v>
          </cell>
          <cell r="J462" t="str">
            <v>B2B</v>
          </cell>
        </row>
        <row r="463">
          <cell r="A463">
            <v>2461</v>
          </cell>
          <cell r="B463" t="str">
            <v>Deepa K</v>
          </cell>
          <cell r="C463" t="str">
            <v>Dresses</v>
          </cell>
          <cell r="D463">
            <v>44925</v>
          </cell>
          <cell r="E463">
            <v>44939</v>
          </cell>
          <cell r="F463" t="str">
            <v>Ahmedabad</v>
          </cell>
          <cell r="G463">
            <v>6</v>
          </cell>
          <cell r="H463">
            <v>579.91</v>
          </cell>
          <cell r="I463">
            <v>3479.46</v>
          </cell>
          <cell r="J463" t="str">
            <v>B2B</v>
          </cell>
        </row>
        <row r="464">
          <cell r="A464">
            <v>2462</v>
          </cell>
          <cell r="B464" t="str">
            <v>Manoj K</v>
          </cell>
          <cell r="C464" t="str">
            <v>Accessories</v>
          </cell>
          <cell r="D464">
            <v>44852</v>
          </cell>
          <cell r="E464">
            <v>44866</v>
          </cell>
          <cell r="F464" t="str">
            <v>Chennai</v>
          </cell>
          <cell r="G464">
            <v>6</v>
          </cell>
          <cell r="H464">
            <v>4814.63</v>
          </cell>
          <cell r="I464">
            <v>28887.78</v>
          </cell>
          <cell r="J464" t="str">
            <v>B2C</v>
          </cell>
        </row>
        <row r="465">
          <cell r="A465">
            <v>2463</v>
          </cell>
          <cell r="B465" t="str">
            <v>Ganesh R</v>
          </cell>
          <cell r="C465" t="str">
            <v>Accessories</v>
          </cell>
          <cell r="D465">
            <v>45372</v>
          </cell>
          <cell r="E465">
            <v>45383</v>
          </cell>
          <cell r="F465" t="str">
            <v>Chennai</v>
          </cell>
          <cell r="G465">
            <v>6</v>
          </cell>
          <cell r="H465">
            <v>1718.3</v>
          </cell>
          <cell r="I465">
            <v>10309.799999999999</v>
          </cell>
          <cell r="J465" t="str">
            <v>B2B</v>
          </cell>
        </row>
        <row r="466">
          <cell r="A466">
            <v>2464</v>
          </cell>
          <cell r="B466" t="str">
            <v>Arjun Reddy</v>
          </cell>
          <cell r="C466" t="str">
            <v>Accessories</v>
          </cell>
          <cell r="D466">
            <v>45456</v>
          </cell>
          <cell r="E466">
            <v>45470</v>
          </cell>
          <cell r="F466" t="str">
            <v>Pune</v>
          </cell>
          <cell r="G466">
            <v>8</v>
          </cell>
          <cell r="H466">
            <v>3351.15</v>
          </cell>
          <cell r="I466">
            <v>26809.200000000001</v>
          </cell>
          <cell r="J466" t="str">
            <v>B2B</v>
          </cell>
        </row>
        <row r="467">
          <cell r="A467">
            <v>2465</v>
          </cell>
          <cell r="B467" t="str">
            <v>Ganesh R</v>
          </cell>
          <cell r="C467" t="str">
            <v>Shoes</v>
          </cell>
          <cell r="D467">
            <v>45292</v>
          </cell>
          <cell r="E467">
            <v>45297</v>
          </cell>
          <cell r="F467" t="str">
            <v>Pune</v>
          </cell>
          <cell r="G467">
            <v>3</v>
          </cell>
          <cell r="H467">
            <v>2078.41</v>
          </cell>
          <cell r="I467">
            <v>6235.23</v>
          </cell>
          <cell r="J467" t="str">
            <v>B2C</v>
          </cell>
        </row>
        <row r="468">
          <cell r="A468">
            <v>2466</v>
          </cell>
          <cell r="B468" t="str">
            <v>Deepa K</v>
          </cell>
          <cell r="C468" t="str">
            <v>T-Shirts</v>
          </cell>
          <cell r="D468">
            <v>44565</v>
          </cell>
          <cell r="E468">
            <v>44578</v>
          </cell>
          <cell r="F468" t="str">
            <v>Hyderabad</v>
          </cell>
          <cell r="G468">
            <v>7</v>
          </cell>
          <cell r="H468">
            <v>4298.5600000000004</v>
          </cell>
          <cell r="I468">
            <v>30089.919999999998</v>
          </cell>
          <cell r="J468" t="str">
            <v>B2B</v>
          </cell>
        </row>
        <row r="469">
          <cell r="A469">
            <v>2467</v>
          </cell>
          <cell r="B469" t="str">
            <v>Arjun Reddy</v>
          </cell>
          <cell r="C469" t="str">
            <v>Shoes</v>
          </cell>
          <cell r="D469">
            <v>45213</v>
          </cell>
          <cell r="E469">
            <v>45227</v>
          </cell>
          <cell r="F469" t="str">
            <v>Hyderabad</v>
          </cell>
          <cell r="G469">
            <v>4</v>
          </cell>
          <cell r="H469">
            <v>3306.34</v>
          </cell>
          <cell r="I469">
            <v>13225.36</v>
          </cell>
          <cell r="J469" t="str">
            <v>B2B</v>
          </cell>
        </row>
        <row r="470">
          <cell r="A470">
            <v>2468</v>
          </cell>
          <cell r="B470" t="str">
            <v>Kavitha S</v>
          </cell>
          <cell r="C470" t="str">
            <v>T-Shirts</v>
          </cell>
          <cell r="D470">
            <v>45240</v>
          </cell>
          <cell r="E470">
            <v>45253</v>
          </cell>
          <cell r="F470" t="str">
            <v>Chennai</v>
          </cell>
          <cell r="G470">
            <v>4</v>
          </cell>
          <cell r="H470">
            <v>1930.01</v>
          </cell>
          <cell r="I470">
            <v>7720.04</v>
          </cell>
          <cell r="J470" t="str">
            <v>B2C</v>
          </cell>
        </row>
        <row r="471">
          <cell r="A471">
            <v>2469</v>
          </cell>
          <cell r="B471" t="str">
            <v>Arjun Reddy</v>
          </cell>
          <cell r="C471" t="str">
            <v>Accessories</v>
          </cell>
          <cell r="D471">
            <v>44743</v>
          </cell>
          <cell r="E471">
            <v>44758</v>
          </cell>
          <cell r="F471" t="str">
            <v>Pune</v>
          </cell>
          <cell r="G471">
            <v>6</v>
          </cell>
          <cell r="H471">
            <v>2399.16</v>
          </cell>
          <cell r="I471">
            <v>14394.96</v>
          </cell>
          <cell r="J471" t="str">
            <v>B2C</v>
          </cell>
        </row>
        <row r="472">
          <cell r="A472">
            <v>2470</v>
          </cell>
          <cell r="B472" t="str">
            <v>Meena Iyer</v>
          </cell>
          <cell r="C472" t="str">
            <v>T-Shirts</v>
          </cell>
          <cell r="D472">
            <v>44700</v>
          </cell>
          <cell r="E472">
            <v>44707</v>
          </cell>
          <cell r="F472" t="str">
            <v>Delhi</v>
          </cell>
          <cell r="G472">
            <v>2</v>
          </cell>
          <cell r="H472">
            <v>3685.94</v>
          </cell>
          <cell r="I472">
            <v>7371.88</v>
          </cell>
          <cell r="J472" t="str">
            <v>B2B</v>
          </cell>
        </row>
        <row r="473">
          <cell r="A473">
            <v>2471</v>
          </cell>
          <cell r="B473" t="str">
            <v>Vijay K</v>
          </cell>
          <cell r="C473" t="str">
            <v>Jackets</v>
          </cell>
          <cell r="D473">
            <v>45421</v>
          </cell>
          <cell r="E473">
            <v>45425</v>
          </cell>
          <cell r="F473" t="str">
            <v>Bangalore</v>
          </cell>
          <cell r="G473">
            <v>8</v>
          </cell>
          <cell r="H473">
            <v>4444.32</v>
          </cell>
          <cell r="I473">
            <v>35554.559999999998</v>
          </cell>
          <cell r="J473" t="str">
            <v>B2C</v>
          </cell>
        </row>
        <row r="474">
          <cell r="A474">
            <v>2472</v>
          </cell>
          <cell r="B474" t="str">
            <v>Nithya R</v>
          </cell>
          <cell r="C474" t="str">
            <v>Jackets</v>
          </cell>
          <cell r="D474">
            <v>44769</v>
          </cell>
          <cell r="E474">
            <v>44784</v>
          </cell>
          <cell r="F474" t="str">
            <v>Bangalore</v>
          </cell>
          <cell r="G474">
            <v>4</v>
          </cell>
          <cell r="H474">
            <v>1064.49</v>
          </cell>
          <cell r="I474">
            <v>4257.96</v>
          </cell>
          <cell r="J474" t="str">
            <v>B2B</v>
          </cell>
        </row>
        <row r="475">
          <cell r="A475">
            <v>2473</v>
          </cell>
          <cell r="B475" t="str">
            <v>Karthik Vel</v>
          </cell>
          <cell r="C475" t="str">
            <v>Dresses</v>
          </cell>
          <cell r="D475">
            <v>44603</v>
          </cell>
          <cell r="E475">
            <v>44610</v>
          </cell>
          <cell r="F475" t="str">
            <v>Delhi</v>
          </cell>
          <cell r="G475">
            <v>2</v>
          </cell>
          <cell r="H475">
            <v>648.74</v>
          </cell>
          <cell r="I475">
            <v>1297.48</v>
          </cell>
          <cell r="J475" t="str">
            <v>B2B</v>
          </cell>
        </row>
        <row r="476">
          <cell r="A476">
            <v>2474</v>
          </cell>
          <cell r="B476" t="str">
            <v>Vijay K</v>
          </cell>
          <cell r="C476" t="str">
            <v>T-Shirts</v>
          </cell>
          <cell r="D476">
            <v>44715</v>
          </cell>
          <cell r="E476">
            <v>44725</v>
          </cell>
          <cell r="F476" t="str">
            <v>Chennai</v>
          </cell>
          <cell r="G476">
            <v>6</v>
          </cell>
          <cell r="H476">
            <v>3091.94</v>
          </cell>
          <cell r="I476">
            <v>18551.64</v>
          </cell>
          <cell r="J476" t="str">
            <v>B2C</v>
          </cell>
        </row>
        <row r="477">
          <cell r="A477">
            <v>2475</v>
          </cell>
          <cell r="B477" t="str">
            <v>Ganesh R</v>
          </cell>
          <cell r="C477" t="str">
            <v>Jeans</v>
          </cell>
          <cell r="D477">
            <v>45445</v>
          </cell>
          <cell r="E477">
            <v>45457</v>
          </cell>
          <cell r="F477" t="str">
            <v>Mumbai</v>
          </cell>
          <cell r="G477">
            <v>7</v>
          </cell>
          <cell r="H477">
            <v>1038.3900000000001</v>
          </cell>
          <cell r="I477">
            <v>7268.73</v>
          </cell>
          <cell r="J477" t="str">
            <v>B2B</v>
          </cell>
        </row>
        <row r="478">
          <cell r="A478">
            <v>2476</v>
          </cell>
          <cell r="B478" t="str">
            <v>Arun Pandi</v>
          </cell>
          <cell r="C478" t="str">
            <v>T-Shirts</v>
          </cell>
          <cell r="D478">
            <v>44951</v>
          </cell>
          <cell r="E478">
            <v>44959</v>
          </cell>
          <cell r="F478" t="str">
            <v>Pune</v>
          </cell>
          <cell r="G478">
            <v>5</v>
          </cell>
          <cell r="H478">
            <v>3404.81</v>
          </cell>
          <cell r="I478">
            <v>17024.05</v>
          </cell>
          <cell r="J478" t="str">
            <v>B2C</v>
          </cell>
        </row>
        <row r="479">
          <cell r="A479">
            <v>2477</v>
          </cell>
          <cell r="B479" t="str">
            <v>Lakshmi S</v>
          </cell>
          <cell r="C479" t="str">
            <v>Jeans</v>
          </cell>
          <cell r="D479">
            <v>44663</v>
          </cell>
          <cell r="E479">
            <v>44671</v>
          </cell>
          <cell r="F479" t="str">
            <v>Hyderabad</v>
          </cell>
          <cell r="G479">
            <v>8</v>
          </cell>
          <cell r="H479">
            <v>1021.87</v>
          </cell>
          <cell r="I479">
            <v>8174.96</v>
          </cell>
          <cell r="J479" t="str">
            <v>B2C</v>
          </cell>
        </row>
        <row r="480">
          <cell r="A480">
            <v>2478</v>
          </cell>
          <cell r="B480" t="str">
            <v>Anitha Raj</v>
          </cell>
          <cell r="C480" t="str">
            <v>Jackets</v>
          </cell>
          <cell r="D480">
            <v>44741</v>
          </cell>
          <cell r="E480">
            <v>44747</v>
          </cell>
          <cell r="F480" t="str">
            <v>Ahmedabad</v>
          </cell>
          <cell r="G480">
            <v>8</v>
          </cell>
          <cell r="H480">
            <v>1238.47</v>
          </cell>
          <cell r="I480">
            <v>9907.76</v>
          </cell>
          <cell r="J480" t="str">
            <v>B2B</v>
          </cell>
        </row>
        <row r="481">
          <cell r="A481">
            <v>2479</v>
          </cell>
          <cell r="B481" t="str">
            <v>Meena Iyer</v>
          </cell>
          <cell r="C481" t="str">
            <v>T-Shirts</v>
          </cell>
          <cell r="D481">
            <v>45159</v>
          </cell>
          <cell r="E481">
            <v>45162</v>
          </cell>
          <cell r="F481" t="str">
            <v>Bangalore</v>
          </cell>
          <cell r="G481">
            <v>2</v>
          </cell>
          <cell r="H481">
            <v>1749.26</v>
          </cell>
          <cell r="I481">
            <v>3498.52</v>
          </cell>
          <cell r="J481" t="str">
            <v>B2C</v>
          </cell>
        </row>
        <row r="482">
          <cell r="A482">
            <v>2480</v>
          </cell>
          <cell r="B482" t="str">
            <v>Kavitha S</v>
          </cell>
          <cell r="C482" t="str">
            <v>Jackets</v>
          </cell>
          <cell r="D482">
            <v>45104</v>
          </cell>
          <cell r="E482">
            <v>45107</v>
          </cell>
          <cell r="F482" t="str">
            <v>Pune</v>
          </cell>
          <cell r="G482">
            <v>7</v>
          </cell>
          <cell r="H482">
            <v>1168.94</v>
          </cell>
          <cell r="I482">
            <v>8182.58</v>
          </cell>
          <cell r="J482" t="str">
            <v>B2C</v>
          </cell>
        </row>
        <row r="483">
          <cell r="A483">
            <v>2481</v>
          </cell>
          <cell r="B483" t="str">
            <v>Sneha R</v>
          </cell>
          <cell r="C483" t="str">
            <v>T-Shirts</v>
          </cell>
          <cell r="D483">
            <v>45474</v>
          </cell>
          <cell r="E483">
            <v>45476</v>
          </cell>
          <cell r="F483" t="str">
            <v>Delhi</v>
          </cell>
          <cell r="G483">
            <v>8</v>
          </cell>
          <cell r="H483">
            <v>2485.77</v>
          </cell>
          <cell r="I483">
            <v>19886.16</v>
          </cell>
          <cell r="J483" t="str">
            <v>B2B</v>
          </cell>
        </row>
        <row r="484">
          <cell r="A484">
            <v>2482</v>
          </cell>
          <cell r="B484" t="str">
            <v>Ravi Kumar</v>
          </cell>
          <cell r="C484" t="str">
            <v>Shoes</v>
          </cell>
          <cell r="D484">
            <v>44688</v>
          </cell>
          <cell r="E484">
            <v>44692</v>
          </cell>
          <cell r="F484" t="str">
            <v>Ahmedabad</v>
          </cell>
          <cell r="G484">
            <v>2</v>
          </cell>
          <cell r="H484">
            <v>702.82</v>
          </cell>
          <cell r="I484">
            <v>1405.64</v>
          </cell>
          <cell r="J484" t="str">
            <v>B2C</v>
          </cell>
        </row>
        <row r="485">
          <cell r="A485">
            <v>2483</v>
          </cell>
          <cell r="B485" t="str">
            <v>Nithya R</v>
          </cell>
          <cell r="C485" t="str">
            <v>Jackets</v>
          </cell>
          <cell r="D485">
            <v>45027</v>
          </cell>
          <cell r="E485">
            <v>45037</v>
          </cell>
          <cell r="F485" t="str">
            <v>Chennai</v>
          </cell>
          <cell r="G485">
            <v>7</v>
          </cell>
          <cell r="H485">
            <v>4146.5</v>
          </cell>
          <cell r="I485">
            <v>29025.5</v>
          </cell>
          <cell r="J485" t="str">
            <v>B2C</v>
          </cell>
        </row>
        <row r="486">
          <cell r="A486">
            <v>2484</v>
          </cell>
          <cell r="B486" t="str">
            <v>Nithya R</v>
          </cell>
          <cell r="C486" t="str">
            <v>Accessories</v>
          </cell>
          <cell r="D486">
            <v>45534</v>
          </cell>
          <cell r="E486">
            <v>45545</v>
          </cell>
          <cell r="F486" t="str">
            <v>Mumbai</v>
          </cell>
          <cell r="G486">
            <v>8</v>
          </cell>
          <cell r="H486">
            <v>1704.6</v>
          </cell>
          <cell r="I486">
            <v>13636.8</v>
          </cell>
          <cell r="J486" t="str">
            <v>B2C</v>
          </cell>
        </row>
        <row r="487">
          <cell r="A487">
            <v>2485</v>
          </cell>
          <cell r="B487" t="str">
            <v>Ganesh R</v>
          </cell>
          <cell r="C487" t="str">
            <v>Jeans</v>
          </cell>
          <cell r="D487">
            <v>45590</v>
          </cell>
          <cell r="E487">
            <v>45601</v>
          </cell>
          <cell r="F487" t="str">
            <v>Hyderabad</v>
          </cell>
          <cell r="G487">
            <v>3</v>
          </cell>
          <cell r="H487">
            <v>865.32</v>
          </cell>
          <cell r="I487">
            <v>2595.96</v>
          </cell>
          <cell r="J487" t="str">
            <v>B2C</v>
          </cell>
        </row>
        <row r="488">
          <cell r="A488">
            <v>2486</v>
          </cell>
          <cell r="B488" t="str">
            <v>Arjun Reddy</v>
          </cell>
          <cell r="C488" t="str">
            <v>T-Shirts</v>
          </cell>
          <cell r="D488">
            <v>44995</v>
          </cell>
          <cell r="E488">
            <v>45009</v>
          </cell>
          <cell r="F488" t="str">
            <v>Mumbai</v>
          </cell>
          <cell r="G488">
            <v>3</v>
          </cell>
          <cell r="H488">
            <v>500.58</v>
          </cell>
          <cell r="I488">
            <v>1501.74</v>
          </cell>
          <cell r="J488" t="str">
            <v>B2B</v>
          </cell>
        </row>
        <row r="489">
          <cell r="A489">
            <v>2487</v>
          </cell>
          <cell r="B489" t="str">
            <v>Saranya D</v>
          </cell>
          <cell r="C489" t="str">
            <v>Jackets</v>
          </cell>
          <cell r="D489">
            <v>44975</v>
          </cell>
          <cell r="E489">
            <v>44990</v>
          </cell>
          <cell r="F489" t="str">
            <v>Pune</v>
          </cell>
          <cell r="G489">
            <v>3</v>
          </cell>
          <cell r="H489">
            <v>4220.3100000000004</v>
          </cell>
          <cell r="I489">
            <v>12660.93</v>
          </cell>
          <cell r="J489" t="str">
            <v>B2C</v>
          </cell>
        </row>
        <row r="490">
          <cell r="A490">
            <v>2488</v>
          </cell>
          <cell r="B490" t="str">
            <v>Arun Pandi</v>
          </cell>
          <cell r="C490" t="str">
            <v>Accessories</v>
          </cell>
          <cell r="D490">
            <v>44699</v>
          </cell>
          <cell r="E490">
            <v>44702</v>
          </cell>
          <cell r="F490" t="str">
            <v>Bangalore</v>
          </cell>
          <cell r="G490">
            <v>7</v>
          </cell>
          <cell r="H490">
            <v>2894.65</v>
          </cell>
          <cell r="I490">
            <v>20262.55</v>
          </cell>
          <cell r="J490" t="str">
            <v>B2C</v>
          </cell>
        </row>
        <row r="491">
          <cell r="A491">
            <v>2489</v>
          </cell>
          <cell r="B491" t="str">
            <v>Santhosh P</v>
          </cell>
          <cell r="C491" t="str">
            <v>Jackets</v>
          </cell>
          <cell r="D491">
            <v>44587</v>
          </cell>
          <cell r="E491">
            <v>44601</v>
          </cell>
          <cell r="F491" t="str">
            <v>Pune</v>
          </cell>
          <cell r="G491">
            <v>7</v>
          </cell>
          <cell r="H491">
            <v>828.84</v>
          </cell>
          <cell r="I491">
            <v>5801.88</v>
          </cell>
          <cell r="J491" t="str">
            <v>B2B</v>
          </cell>
        </row>
        <row r="492">
          <cell r="A492">
            <v>2490</v>
          </cell>
          <cell r="B492" t="str">
            <v>Deepa K</v>
          </cell>
          <cell r="C492" t="str">
            <v>Shoes</v>
          </cell>
          <cell r="D492">
            <v>44767</v>
          </cell>
          <cell r="E492">
            <v>44770</v>
          </cell>
          <cell r="F492" t="str">
            <v>Hyderabad</v>
          </cell>
          <cell r="G492">
            <v>2</v>
          </cell>
          <cell r="H492">
            <v>3993</v>
          </cell>
          <cell r="I492">
            <v>7986</v>
          </cell>
          <cell r="J492" t="str">
            <v>B2C</v>
          </cell>
        </row>
        <row r="493">
          <cell r="A493">
            <v>2491</v>
          </cell>
          <cell r="B493" t="str">
            <v>Pooja M</v>
          </cell>
          <cell r="C493" t="str">
            <v>Dresses</v>
          </cell>
          <cell r="D493">
            <v>45346</v>
          </cell>
          <cell r="E493">
            <v>45358</v>
          </cell>
          <cell r="F493" t="str">
            <v>Bangalore</v>
          </cell>
          <cell r="G493">
            <v>8</v>
          </cell>
          <cell r="H493">
            <v>476.09</v>
          </cell>
          <cell r="I493">
            <v>3808.72</v>
          </cell>
          <cell r="J493" t="str">
            <v>B2C</v>
          </cell>
        </row>
        <row r="494">
          <cell r="A494">
            <v>2492</v>
          </cell>
          <cell r="B494" t="str">
            <v>Vijay K</v>
          </cell>
          <cell r="C494" t="str">
            <v>T-Shirts</v>
          </cell>
          <cell r="D494">
            <v>45384</v>
          </cell>
          <cell r="E494">
            <v>45386</v>
          </cell>
          <cell r="F494" t="str">
            <v>Bangalore</v>
          </cell>
          <cell r="G494">
            <v>6</v>
          </cell>
          <cell r="H494">
            <v>3545.41</v>
          </cell>
          <cell r="I494">
            <v>21272.46</v>
          </cell>
          <cell r="J494" t="str">
            <v>B2B</v>
          </cell>
        </row>
        <row r="495">
          <cell r="A495">
            <v>2493</v>
          </cell>
          <cell r="B495" t="str">
            <v>Uma S</v>
          </cell>
          <cell r="C495" t="str">
            <v>Jackets</v>
          </cell>
          <cell r="D495">
            <v>45112</v>
          </cell>
          <cell r="E495">
            <v>45119</v>
          </cell>
          <cell r="F495" t="str">
            <v>Chennai</v>
          </cell>
          <cell r="G495">
            <v>6</v>
          </cell>
          <cell r="H495">
            <v>4141.71</v>
          </cell>
          <cell r="I495">
            <v>24850.26</v>
          </cell>
          <cell r="J495" t="str">
            <v>B2C</v>
          </cell>
        </row>
        <row r="496">
          <cell r="A496">
            <v>2494</v>
          </cell>
          <cell r="B496" t="str">
            <v>Divya T</v>
          </cell>
          <cell r="C496" t="str">
            <v>Dresses</v>
          </cell>
          <cell r="D496">
            <v>45568</v>
          </cell>
          <cell r="E496">
            <v>45583</v>
          </cell>
          <cell r="F496" t="str">
            <v>Pune</v>
          </cell>
          <cell r="G496">
            <v>2</v>
          </cell>
          <cell r="H496">
            <v>4870.7299999999996</v>
          </cell>
          <cell r="I496">
            <v>9741.4599999999991</v>
          </cell>
          <cell r="J496" t="str">
            <v>B2B</v>
          </cell>
        </row>
        <row r="497">
          <cell r="A497">
            <v>2495</v>
          </cell>
          <cell r="B497" t="str">
            <v>Deepa K</v>
          </cell>
          <cell r="C497" t="str">
            <v>Dresses</v>
          </cell>
          <cell r="D497">
            <v>45469</v>
          </cell>
          <cell r="E497">
            <v>45483</v>
          </cell>
          <cell r="F497" t="str">
            <v>Ahmedabad</v>
          </cell>
          <cell r="G497">
            <v>6</v>
          </cell>
          <cell r="H497">
            <v>1566.27</v>
          </cell>
          <cell r="I497">
            <v>9397.6200000000008</v>
          </cell>
          <cell r="J497" t="str">
            <v>B2C</v>
          </cell>
        </row>
        <row r="498">
          <cell r="A498">
            <v>2496</v>
          </cell>
          <cell r="B498" t="str">
            <v>Revathi A</v>
          </cell>
          <cell r="C498" t="str">
            <v>Accessories</v>
          </cell>
          <cell r="D498">
            <v>44744</v>
          </cell>
          <cell r="E498">
            <v>44749</v>
          </cell>
          <cell r="F498" t="str">
            <v>Bangalore</v>
          </cell>
          <cell r="G498">
            <v>4</v>
          </cell>
          <cell r="H498">
            <v>4593.13</v>
          </cell>
          <cell r="I498">
            <v>18372.52</v>
          </cell>
          <cell r="J498" t="str">
            <v>B2C</v>
          </cell>
        </row>
        <row r="499">
          <cell r="A499">
            <v>2497</v>
          </cell>
          <cell r="B499" t="str">
            <v>Uma S</v>
          </cell>
          <cell r="C499" t="str">
            <v>Jackets</v>
          </cell>
          <cell r="D499">
            <v>45619</v>
          </cell>
          <cell r="E499">
            <v>45634</v>
          </cell>
          <cell r="F499" t="str">
            <v>Delhi</v>
          </cell>
          <cell r="G499">
            <v>1</v>
          </cell>
          <cell r="H499">
            <v>2721.77</v>
          </cell>
          <cell r="I499">
            <v>2721.77</v>
          </cell>
          <cell r="J499" t="str">
            <v>B2B</v>
          </cell>
        </row>
        <row r="500">
          <cell r="A500">
            <v>2498</v>
          </cell>
          <cell r="B500" t="str">
            <v>Priya Nair</v>
          </cell>
          <cell r="C500" t="str">
            <v>Dresses</v>
          </cell>
          <cell r="D500">
            <v>45599</v>
          </cell>
          <cell r="E500">
            <v>45607</v>
          </cell>
          <cell r="F500" t="str">
            <v>Mumbai</v>
          </cell>
          <cell r="G500">
            <v>1</v>
          </cell>
          <cell r="H500">
            <v>1116.57</v>
          </cell>
          <cell r="I500">
            <v>1116.57</v>
          </cell>
          <cell r="J500" t="str">
            <v>B2B</v>
          </cell>
        </row>
        <row r="501">
          <cell r="A501">
            <v>2499</v>
          </cell>
          <cell r="B501" t="str">
            <v>Karthik Vel</v>
          </cell>
          <cell r="C501" t="str">
            <v>T-Shirts</v>
          </cell>
          <cell r="D501">
            <v>44629</v>
          </cell>
          <cell r="E501">
            <v>44638</v>
          </cell>
          <cell r="F501" t="str">
            <v>Chennai</v>
          </cell>
          <cell r="G501">
            <v>6</v>
          </cell>
          <cell r="H501">
            <v>3611.78</v>
          </cell>
          <cell r="I501">
            <v>21670.68</v>
          </cell>
          <cell r="J501" t="str">
            <v>B2C</v>
          </cell>
        </row>
      </sheetData>
      <sheetData sheetId="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FB4FD1-6E11-49B0-B3C4-FB73C611F5B7}" name="Table3" displayName="Table3" ref="A1:G501" totalsRowShown="0">
  <autoFilter ref="A1:G501" xr:uid="{1DFB4FD1-6E11-49B0-B3C4-FB73C611F5B7}"/>
  <tableColumns count="7">
    <tableColumn id="1" xr3:uid="{8B6D0125-7F40-4BC1-9A49-619545F5769F}" name="Order_ID"/>
    <tableColumn id="2" xr3:uid="{464E3BDA-B5D8-41CB-AA4F-2D66669D49D6}" name="Customer Name" dataDxfId="2">
      <calculatedColumnFormula>VLOOKUP(A2,[1]Cleaned!$A:$J,2,0)</calculatedColumnFormula>
    </tableColumn>
    <tableColumn id="3" xr3:uid="{F03A752C-8344-444F-B8CF-09F183415FEE}" name="Product Category">
      <calculatedColumnFormula>VLOOKUP(A2,[1]Cleaned!$A:$J,3,0)</calculatedColumnFormula>
    </tableColumn>
    <tableColumn id="4" xr3:uid="{A52FDDFB-ADDC-4E59-AD76-7CD659C562D6}" name="Order Date" dataDxfId="1">
      <calculatedColumnFormula>TEXT(VLOOKUP(A2,[1]Cleaned!$A:$J,4,0),"DD-MMM-YYYY")</calculatedColumnFormula>
    </tableColumn>
    <tableColumn id="5" xr3:uid="{367C0ECF-B5B4-4657-92D6-CBAC0F030057}" name="Delivery Date" dataDxfId="0">
      <calculatedColumnFormula>TEXT(VLOOKUP(A2,[1]Cleaned!$A:$J,5,0),"DD-MMM-YYYY")</calculatedColumnFormula>
    </tableColumn>
    <tableColumn id="6" xr3:uid="{C1E8DD62-BD92-4586-91AF-BA30600887D1}" name="City">
      <calculatedColumnFormula>VLOOKUP(A2,[1]Cleaned!$A:$J,6,0)</calculatedColumnFormula>
    </tableColumn>
    <tableColumn id="7" xr3:uid="{7ACC8CA3-C5E7-4DC0-82B1-60095185A092}" name="Sales Amount">
      <calculatedColumnFormula>VLOOKUP(A2,[1]Cleaned!$A:$J,9,0)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7BD5B-3343-496B-B2CB-DE84144D6FD4}">
  <dimension ref="A1:L501"/>
  <sheetViews>
    <sheetView tabSelected="1" workbookViewId="0">
      <selection activeCell="L2" sqref="L2"/>
    </sheetView>
  </sheetViews>
  <sheetFormatPr defaultRowHeight="14.4" x14ac:dyDescent="0.3"/>
  <cols>
    <col min="1" max="1" width="10.44140625" customWidth="1"/>
    <col min="2" max="2" width="16.44140625" customWidth="1"/>
    <col min="3" max="3" width="17.5546875" customWidth="1"/>
    <col min="4" max="4" width="12" style="2" customWidth="1"/>
    <col min="5" max="5" width="14" style="3" customWidth="1"/>
    <col min="6" max="6" width="10.6640625" bestFit="1" customWidth="1"/>
    <col min="7" max="7" width="14.44140625" customWidth="1"/>
  </cols>
  <sheetData>
    <row r="1" spans="1:12" x14ac:dyDescent="0.3">
      <c r="A1" t="s">
        <v>0</v>
      </c>
      <c r="B1" t="s">
        <v>5</v>
      </c>
      <c r="C1" t="s">
        <v>4</v>
      </c>
      <c r="D1" s="2" t="s">
        <v>3</v>
      </c>
      <c r="E1" s="3" t="s">
        <v>2</v>
      </c>
      <c r="F1" t="s">
        <v>1</v>
      </c>
      <c r="G1" t="s">
        <v>6</v>
      </c>
    </row>
    <row r="2" spans="1:12" x14ac:dyDescent="0.3">
      <c r="A2">
        <v>2000</v>
      </c>
      <c r="B2" s="1" t="str">
        <f>VLOOKUP(A2,[1]Cleaned!$A:$J,2,0)</f>
        <v>Balaji N</v>
      </c>
      <c r="C2" t="str">
        <f>VLOOKUP(A2,[1]Cleaned!$A:$J,3,0)</f>
        <v>Jeans</v>
      </c>
      <c r="D2" s="2" t="str">
        <f>TEXT(VLOOKUP(A2,[1]Cleaned!$A:$J,4,0),"DD-MMM-YYYY")</f>
        <v>21-Feb-2022</v>
      </c>
      <c r="E2" s="3" t="str">
        <f>TEXT(VLOOKUP(A2,[1]Cleaned!$A:$J,5,0),"DD-MMM-YYYY")</f>
        <v>06-Mar-2022</v>
      </c>
      <c r="F2" t="str">
        <f>VLOOKUP(A2,[1]Cleaned!$A:$J,6,0)</f>
        <v>Delhi</v>
      </c>
      <c r="G2">
        <f>VLOOKUP(A2,[1]Cleaned!$A:$J,9,0)</f>
        <v>5396.36</v>
      </c>
      <c r="L2" t="s">
        <v>7</v>
      </c>
    </row>
    <row r="3" spans="1:12" x14ac:dyDescent="0.3">
      <c r="A3">
        <v>2001</v>
      </c>
      <c r="B3" s="1" t="str">
        <f>VLOOKUP(A3,[1]Cleaned!$A:$J,2,0)</f>
        <v>Saranya D</v>
      </c>
      <c r="C3" t="str">
        <f>VLOOKUP(A3,[1]Cleaned!$A:$J,3,0)</f>
        <v>Accessories</v>
      </c>
      <c r="D3" s="2" t="str">
        <f>TEXT(VLOOKUP(A3,[1]Cleaned!$A:$J,4,0),"DD-MMM-YYYY")</f>
        <v>28-Jun-2022</v>
      </c>
      <c r="E3" s="3" t="str">
        <f>TEXT(VLOOKUP(A3,[1]Cleaned!$A:$J,5,0),"DD-MMM-YYYY")</f>
        <v>09-Jul-2022</v>
      </c>
      <c r="F3" t="str">
        <f>VLOOKUP(A3,[1]Cleaned!$A:$J,6,0)</f>
        <v>Bangalore</v>
      </c>
      <c r="G3">
        <f>VLOOKUP(A3,[1]Cleaned!$A:$J,9,0)</f>
        <v>440.05</v>
      </c>
    </row>
    <row r="4" spans="1:12" x14ac:dyDescent="0.3">
      <c r="A4">
        <v>2002</v>
      </c>
      <c r="B4" s="1" t="str">
        <f>VLOOKUP(A4,[1]Cleaned!$A:$J,2,0)</f>
        <v>Lakshmi S</v>
      </c>
      <c r="C4" t="str">
        <f>VLOOKUP(A4,[1]Cleaned!$A:$J,3,0)</f>
        <v>Shoes</v>
      </c>
      <c r="D4" s="2" t="str">
        <f>TEXT(VLOOKUP(A4,[1]Cleaned!$A:$J,4,0),"DD-MMM-YYYY")</f>
        <v>24-Feb-2022</v>
      </c>
      <c r="E4" s="3" t="str">
        <f>TEXT(VLOOKUP(A4,[1]Cleaned!$A:$J,5,0),"DD-MMM-YYYY")</f>
        <v>06-Mar-2022</v>
      </c>
      <c r="F4" t="str">
        <f>VLOOKUP(A4,[1]Cleaned!$A:$J,6,0)</f>
        <v>Mumbai</v>
      </c>
      <c r="G4">
        <f>VLOOKUP(A4,[1]Cleaned!$A:$J,9,0)</f>
        <v>9352.49</v>
      </c>
    </row>
    <row r="5" spans="1:12" x14ac:dyDescent="0.3">
      <c r="A5">
        <v>2003</v>
      </c>
      <c r="B5" s="1" t="str">
        <f>VLOOKUP(A5,[1]Cleaned!$A:$J,2,0)</f>
        <v>Anitha Raj</v>
      </c>
      <c r="C5" t="str">
        <f>VLOOKUP(A5,[1]Cleaned!$A:$J,3,0)</f>
        <v>T-Shirts</v>
      </c>
      <c r="D5" s="2" t="str">
        <f>TEXT(VLOOKUP(A5,[1]Cleaned!$A:$J,4,0),"DD-MMM-YYYY")</f>
        <v>15-May-2024</v>
      </c>
      <c r="E5" s="3" t="str">
        <f>TEXT(VLOOKUP(A5,[1]Cleaned!$A:$J,5,0),"DD-MMM-YYYY")</f>
        <v>22-May-2024</v>
      </c>
      <c r="F5" t="str">
        <f>VLOOKUP(A5,[1]Cleaned!$A:$J,6,0)</f>
        <v>Delhi</v>
      </c>
      <c r="G5">
        <f>VLOOKUP(A5,[1]Cleaned!$A:$J,9,0)</f>
        <v>3935.91</v>
      </c>
    </row>
    <row r="6" spans="1:12" x14ac:dyDescent="0.3">
      <c r="A6">
        <v>2004</v>
      </c>
      <c r="B6" s="1" t="str">
        <f>VLOOKUP(A6,[1]Cleaned!$A:$J,2,0)</f>
        <v>Suresh M</v>
      </c>
      <c r="C6" t="str">
        <f>VLOOKUP(A6,[1]Cleaned!$A:$J,3,0)</f>
        <v>Jeans</v>
      </c>
      <c r="D6" s="2" t="str">
        <f>TEXT(VLOOKUP(A6,[1]Cleaned!$A:$J,4,0),"DD-MMM-YYYY")</f>
        <v>18-Feb-2024</v>
      </c>
      <c r="E6" s="3" t="str">
        <f>TEXT(VLOOKUP(A6,[1]Cleaned!$A:$J,5,0),"DD-MMM-YYYY")</f>
        <v>21-Feb-2024</v>
      </c>
      <c r="F6" t="str">
        <f>VLOOKUP(A6,[1]Cleaned!$A:$J,6,0)</f>
        <v>Delhi</v>
      </c>
      <c r="G6">
        <f>VLOOKUP(A6,[1]Cleaned!$A:$J,9,0)</f>
        <v>18825.060000000001</v>
      </c>
      <c r="L6" s="4"/>
    </row>
    <row r="7" spans="1:12" x14ac:dyDescent="0.3">
      <c r="A7">
        <v>2005</v>
      </c>
      <c r="B7" s="1" t="str">
        <f>VLOOKUP(A7,[1]Cleaned!$A:$J,2,0)</f>
        <v>Uma S</v>
      </c>
      <c r="C7" t="str">
        <f>VLOOKUP(A7,[1]Cleaned!$A:$J,3,0)</f>
        <v>Jackets</v>
      </c>
      <c r="D7" s="2" t="str">
        <f>TEXT(VLOOKUP(A7,[1]Cleaned!$A:$J,4,0),"DD-MMM-YYYY")</f>
        <v>13-Sep-2022</v>
      </c>
      <c r="E7" s="3" t="str">
        <f>TEXT(VLOOKUP(A7,[1]Cleaned!$A:$J,5,0),"DD-MMM-YYYY")</f>
        <v>21-Sep-2022</v>
      </c>
      <c r="F7" t="str">
        <f>VLOOKUP(A7,[1]Cleaned!$A:$J,6,0)</f>
        <v>Chennai</v>
      </c>
      <c r="G7">
        <f>VLOOKUP(A7,[1]Cleaned!$A:$J,9,0)</f>
        <v>20991</v>
      </c>
    </row>
    <row r="8" spans="1:12" x14ac:dyDescent="0.3">
      <c r="A8">
        <v>2006</v>
      </c>
      <c r="B8" s="1" t="str">
        <f>VLOOKUP(A8,[1]Cleaned!$A:$J,2,0)</f>
        <v>Manoj K</v>
      </c>
      <c r="C8" t="str">
        <f>VLOOKUP(A8,[1]Cleaned!$A:$J,3,0)</f>
        <v>T-Shirts</v>
      </c>
      <c r="D8" s="2" t="str">
        <f>TEXT(VLOOKUP(A8,[1]Cleaned!$A:$J,4,0),"DD-MMM-YYYY")</f>
        <v>23-May-2022</v>
      </c>
      <c r="E8" s="3" t="str">
        <f>TEXT(VLOOKUP(A8,[1]Cleaned!$A:$J,5,0),"DD-MMM-YYYY")</f>
        <v>25-May-2022</v>
      </c>
      <c r="F8" t="str">
        <f>VLOOKUP(A8,[1]Cleaned!$A:$J,6,0)</f>
        <v>Pune</v>
      </c>
      <c r="G8">
        <f>VLOOKUP(A8,[1]Cleaned!$A:$J,9,0)</f>
        <v>15733.68</v>
      </c>
    </row>
    <row r="9" spans="1:12" x14ac:dyDescent="0.3">
      <c r="A9">
        <v>2007</v>
      </c>
      <c r="B9" s="1" t="str">
        <f>VLOOKUP(A9,[1]Cleaned!$A:$J,2,0)</f>
        <v>Lakshmi S</v>
      </c>
      <c r="C9" t="str">
        <f>VLOOKUP(A9,[1]Cleaned!$A:$J,3,0)</f>
        <v>Jeans</v>
      </c>
      <c r="D9" s="2" t="str">
        <f>TEXT(VLOOKUP(A9,[1]Cleaned!$A:$J,4,0),"DD-MMM-YYYY")</f>
        <v>18-Feb-2024</v>
      </c>
      <c r="E9" s="3" t="str">
        <f>TEXT(VLOOKUP(A9,[1]Cleaned!$A:$J,5,0),"DD-MMM-YYYY")</f>
        <v>24-Feb-2024</v>
      </c>
      <c r="F9" t="str">
        <f>VLOOKUP(A9,[1]Cleaned!$A:$J,6,0)</f>
        <v>Bangalore</v>
      </c>
      <c r="G9">
        <f>VLOOKUP(A9,[1]Cleaned!$A:$J,9,0)</f>
        <v>6386.82</v>
      </c>
    </row>
    <row r="10" spans="1:12" x14ac:dyDescent="0.3">
      <c r="A10">
        <v>2008</v>
      </c>
      <c r="B10" s="1" t="str">
        <f>VLOOKUP(A10,[1]Cleaned!$A:$J,2,0)</f>
        <v>Meena Iyer</v>
      </c>
      <c r="C10" t="str">
        <f>VLOOKUP(A10,[1]Cleaned!$A:$J,3,0)</f>
        <v>Accessories</v>
      </c>
      <c r="D10" s="2" t="str">
        <f>TEXT(VLOOKUP(A10,[1]Cleaned!$A:$J,4,0),"DD-MMM-YYYY")</f>
        <v>01-Jul-2023</v>
      </c>
      <c r="E10" s="3" t="str">
        <f>TEXT(VLOOKUP(A10,[1]Cleaned!$A:$J,5,0),"DD-MMM-YYYY")</f>
        <v>14-Jul-2023</v>
      </c>
      <c r="F10" t="str">
        <f>VLOOKUP(A10,[1]Cleaned!$A:$J,6,0)</f>
        <v>Pune</v>
      </c>
      <c r="G10">
        <f>VLOOKUP(A10,[1]Cleaned!$A:$J,9,0)</f>
        <v>6325.84</v>
      </c>
    </row>
    <row r="11" spans="1:12" x14ac:dyDescent="0.3">
      <c r="A11">
        <v>2009</v>
      </c>
      <c r="B11" s="1" t="str">
        <f>VLOOKUP(A11,[1]Cleaned!$A:$J,2,0)</f>
        <v>Nithya R</v>
      </c>
      <c r="C11" t="str">
        <f>VLOOKUP(A11,[1]Cleaned!$A:$J,3,0)</f>
        <v>Accessories</v>
      </c>
      <c r="D11" s="2" t="str">
        <f>TEXT(VLOOKUP(A11,[1]Cleaned!$A:$J,4,0),"DD-MMM-YYYY")</f>
        <v>17-May-2023</v>
      </c>
      <c r="E11" s="3" t="str">
        <f>TEXT(VLOOKUP(A11,[1]Cleaned!$A:$J,5,0),"DD-MMM-YYYY")</f>
        <v>21-May-2023</v>
      </c>
      <c r="F11" t="str">
        <f>VLOOKUP(A11,[1]Cleaned!$A:$J,6,0)</f>
        <v>Bangalore</v>
      </c>
      <c r="G11">
        <f>VLOOKUP(A11,[1]Cleaned!$A:$J,9,0)</f>
        <v>10981.25</v>
      </c>
    </row>
    <row r="12" spans="1:12" x14ac:dyDescent="0.3">
      <c r="A12">
        <v>2010</v>
      </c>
      <c r="B12" s="1" t="str">
        <f>VLOOKUP(A12,[1]Cleaned!$A:$J,2,0)</f>
        <v>Saranya D</v>
      </c>
      <c r="C12" t="str">
        <f>VLOOKUP(A12,[1]Cleaned!$A:$J,3,0)</f>
        <v>Dresses</v>
      </c>
      <c r="D12" s="2" t="str">
        <f>TEXT(VLOOKUP(A12,[1]Cleaned!$A:$J,4,0),"DD-MMM-YYYY")</f>
        <v>25-Apr-2022</v>
      </c>
      <c r="E12" s="3" t="str">
        <f>TEXT(VLOOKUP(A12,[1]Cleaned!$A:$J,5,0),"DD-MMM-YYYY")</f>
        <v>30-Apr-2022</v>
      </c>
      <c r="F12" t="str">
        <f>VLOOKUP(A12,[1]Cleaned!$A:$J,6,0)</f>
        <v>Ahmedabad</v>
      </c>
      <c r="G12">
        <f>VLOOKUP(A12,[1]Cleaned!$A:$J,9,0)</f>
        <v>4083.72</v>
      </c>
    </row>
    <row r="13" spans="1:12" x14ac:dyDescent="0.3">
      <c r="A13">
        <v>2011</v>
      </c>
      <c r="B13" s="1" t="str">
        <f>VLOOKUP(A13,[1]Cleaned!$A:$J,2,0)</f>
        <v>Ravi Kumar</v>
      </c>
      <c r="C13" t="str">
        <f>VLOOKUP(A13,[1]Cleaned!$A:$J,3,0)</f>
        <v>Jeans</v>
      </c>
      <c r="D13" s="2" t="str">
        <f>TEXT(VLOOKUP(A13,[1]Cleaned!$A:$J,4,0),"DD-MMM-YYYY")</f>
        <v>09-Mar-2023</v>
      </c>
      <c r="E13" s="3" t="str">
        <f>TEXT(VLOOKUP(A13,[1]Cleaned!$A:$J,5,0),"DD-MMM-YYYY")</f>
        <v>20-Mar-2023</v>
      </c>
      <c r="F13" t="str">
        <f>VLOOKUP(A13,[1]Cleaned!$A:$J,6,0)</f>
        <v>Pune</v>
      </c>
      <c r="G13">
        <f>VLOOKUP(A13,[1]Cleaned!$A:$J,9,0)</f>
        <v>7796.04</v>
      </c>
    </row>
    <row r="14" spans="1:12" x14ac:dyDescent="0.3">
      <c r="A14">
        <v>2012</v>
      </c>
      <c r="B14" s="1" t="str">
        <f>VLOOKUP(A14,[1]Cleaned!$A:$J,2,0)</f>
        <v>Vijay K</v>
      </c>
      <c r="C14" t="str">
        <f>VLOOKUP(A14,[1]Cleaned!$A:$J,3,0)</f>
        <v>Accessories</v>
      </c>
      <c r="D14" s="2" t="str">
        <f>TEXT(VLOOKUP(A14,[1]Cleaned!$A:$J,4,0),"DD-MMM-YYYY")</f>
        <v>28-Jul-2024</v>
      </c>
      <c r="E14" s="3" t="str">
        <f>TEXT(VLOOKUP(A14,[1]Cleaned!$A:$J,5,0),"DD-MMM-YYYY")</f>
        <v>01-Aug-2024</v>
      </c>
      <c r="F14" t="str">
        <f>VLOOKUP(A14,[1]Cleaned!$A:$J,6,0)</f>
        <v>Delhi</v>
      </c>
      <c r="G14">
        <f>VLOOKUP(A14,[1]Cleaned!$A:$J,9,0)</f>
        <v>4377.45</v>
      </c>
    </row>
    <row r="15" spans="1:12" x14ac:dyDescent="0.3">
      <c r="A15">
        <v>2013</v>
      </c>
      <c r="B15" s="1" t="str">
        <f>VLOOKUP(A15,[1]Cleaned!$A:$J,2,0)</f>
        <v>Uma S</v>
      </c>
      <c r="C15" t="str">
        <f>VLOOKUP(A15,[1]Cleaned!$A:$J,3,0)</f>
        <v>Shoes</v>
      </c>
      <c r="D15" s="2" t="str">
        <f>TEXT(VLOOKUP(A15,[1]Cleaned!$A:$J,4,0),"DD-MMM-YYYY")</f>
        <v>27-May-2024</v>
      </c>
      <c r="E15" s="3" t="str">
        <f>TEXT(VLOOKUP(A15,[1]Cleaned!$A:$J,5,0),"DD-MMM-YYYY")</f>
        <v>07-Jun-2024</v>
      </c>
      <c r="F15" t="str">
        <f>VLOOKUP(A15,[1]Cleaned!$A:$J,6,0)</f>
        <v>Bangalore</v>
      </c>
      <c r="G15">
        <f>VLOOKUP(A15,[1]Cleaned!$A:$J,9,0)</f>
        <v>7984.86</v>
      </c>
    </row>
    <row r="16" spans="1:12" x14ac:dyDescent="0.3">
      <c r="A16">
        <v>2014</v>
      </c>
      <c r="B16" s="1" t="str">
        <f>VLOOKUP(A16,[1]Cleaned!$A:$J,2,0)</f>
        <v>Santhosh P</v>
      </c>
      <c r="C16" t="str">
        <f>VLOOKUP(A16,[1]Cleaned!$A:$J,3,0)</f>
        <v>Jackets</v>
      </c>
      <c r="D16" s="2" t="str">
        <f>TEXT(VLOOKUP(A16,[1]Cleaned!$A:$J,4,0),"DD-MMM-YYYY")</f>
        <v>06-Jul-2022</v>
      </c>
      <c r="E16" s="3" t="str">
        <f>TEXT(VLOOKUP(A16,[1]Cleaned!$A:$J,5,0),"DD-MMM-YYYY")</f>
        <v>20-Jul-2022</v>
      </c>
      <c r="F16" t="str">
        <f>VLOOKUP(A16,[1]Cleaned!$A:$J,6,0)</f>
        <v>Chennai</v>
      </c>
      <c r="G16">
        <f>VLOOKUP(A16,[1]Cleaned!$A:$J,9,0)</f>
        <v>2036.7</v>
      </c>
    </row>
    <row r="17" spans="1:7" x14ac:dyDescent="0.3">
      <c r="A17">
        <v>2015</v>
      </c>
      <c r="B17" s="1" t="str">
        <f>VLOOKUP(A17,[1]Cleaned!$A:$J,2,0)</f>
        <v>Saranya D</v>
      </c>
      <c r="C17" t="str">
        <f>VLOOKUP(A17,[1]Cleaned!$A:$J,3,0)</f>
        <v>Jackets</v>
      </c>
      <c r="D17" s="2" t="str">
        <f>TEXT(VLOOKUP(A17,[1]Cleaned!$A:$J,4,0),"DD-MMM-YYYY")</f>
        <v>11-May-2022</v>
      </c>
      <c r="E17" s="3" t="str">
        <f>TEXT(VLOOKUP(A17,[1]Cleaned!$A:$J,5,0),"DD-MMM-YYYY")</f>
        <v>19-May-2022</v>
      </c>
      <c r="F17" t="str">
        <f>VLOOKUP(A17,[1]Cleaned!$A:$J,6,0)</f>
        <v>Bangalore</v>
      </c>
      <c r="G17">
        <f>VLOOKUP(A17,[1]Cleaned!$A:$J,9,0)</f>
        <v>22294.720000000001</v>
      </c>
    </row>
    <row r="18" spans="1:7" x14ac:dyDescent="0.3">
      <c r="A18">
        <v>2016</v>
      </c>
      <c r="B18" s="1" t="str">
        <f>VLOOKUP(A18,[1]Cleaned!$A:$J,2,0)</f>
        <v>Saranya D</v>
      </c>
      <c r="C18" t="str">
        <f>VLOOKUP(A18,[1]Cleaned!$A:$J,3,0)</f>
        <v>Accessories</v>
      </c>
      <c r="D18" s="2" t="str">
        <f>TEXT(VLOOKUP(A18,[1]Cleaned!$A:$J,4,0),"DD-MMM-YYYY")</f>
        <v>23-Aug-2022</v>
      </c>
      <c r="E18" s="3" t="str">
        <f>TEXT(VLOOKUP(A18,[1]Cleaned!$A:$J,5,0),"DD-MMM-YYYY")</f>
        <v>04-Sep-2022</v>
      </c>
      <c r="F18" t="str">
        <f>VLOOKUP(A18,[1]Cleaned!$A:$J,6,0)</f>
        <v>Hyderabad</v>
      </c>
      <c r="G18">
        <f>VLOOKUP(A18,[1]Cleaned!$A:$J,9,0)</f>
        <v>19562.05</v>
      </c>
    </row>
    <row r="19" spans="1:7" x14ac:dyDescent="0.3">
      <c r="A19">
        <v>2017</v>
      </c>
      <c r="B19" s="1" t="str">
        <f>VLOOKUP(A19,[1]Cleaned!$A:$J,2,0)</f>
        <v>Suresh M</v>
      </c>
      <c r="C19" t="str">
        <f>VLOOKUP(A19,[1]Cleaned!$A:$J,3,0)</f>
        <v>Dresses</v>
      </c>
      <c r="D19" s="2" t="str">
        <f>TEXT(VLOOKUP(A19,[1]Cleaned!$A:$J,4,0),"DD-MMM-YYYY")</f>
        <v>09-Jun-2024</v>
      </c>
      <c r="E19" s="3" t="str">
        <f>TEXT(VLOOKUP(A19,[1]Cleaned!$A:$J,5,0),"DD-MMM-YYYY")</f>
        <v>13-Jun-2024</v>
      </c>
      <c r="F19" t="str">
        <f>VLOOKUP(A19,[1]Cleaned!$A:$J,6,0)</f>
        <v>Bangalore</v>
      </c>
      <c r="G19">
        <f>VLOOKUP(A19,[1]Cleaned!$A:$J,9,0)</f>
        <v>4782.93</v>
      </c>
    </row>
    <row r="20" spans="1:7" x14ac:dyDescent="0.3">
      <c r="A20">
        <v>2018</v>
      </c>
      <c r="B20" s="1" t="str">
        <f>VLOOKUP(A20,[1]Cleaned!$A:$J,2,0)</f>
        <v>Santhosh P</v>
      </c>
      <c r="C20" t="str">
        <f>VLOOKUP(A20,[1]Cleaned!$A:$J,3,0)</f>
        <v>T-Shirts</v>
      </c>
      <c r="D20" s="2" t="str">
        <f>TEXT(VLOOKUP(A20,[1]Cleaned!$A:$J,4,0),"DD-MMM-YYYY")</f>
        <v>05-Nov-2024</v>
      </c>
      <c r="E20" s="3" t="str">
        <f>TEXT(VLOOKUP(A20,[1]Cleaned!$A:$J,5,0),"DD-MMM-YYYY")</f>
        <v>08-Nov-2024</v>
      </c>
      <c r="F20" t="str">
        <f>VLOOKUP(A20,[1]Cleaned!$A:$J,6,0)</f>
        <v>Ahmedabad</v>
      </c>
      <c r="G20">
        <f>VLOOKUP(A20,[1]Cleaned!$A:$J,9,0)</f>
        <v>21279.25</v>
      </c>
    </row>
    <row r="21" spans="1:7" x14ac:dyDescent="0.3">
      <c r="A21">
        <v>2019</v>
      </c>
      <c r="B21" s="1" t="str">
        <f>VLOOKUP(A21,[1]Cleaned!$A:$J,2,0)</f>
        <v>Deepa K</v>
      </c>
      <c r="C21" t="str">
        <f>VLOOKUP(A21,[1]Cleaned!$A:$J,3,0)</f>
        <v>Dresses</v>
      </c>
      <c r="D21" s="2" t="str">
        <f>TEXT(VLOOKUP(A21,[1]Cleaned!$A:$J,4,0),"DD-MMM-YYYY")</f>
        <v>27-Nov-2022</v>
      </c>
      <c r="E21" s="3" t="str">
        <f>TEXT(VLOOKUP(A21,[1]Cleaned!$A:$J,5,0),"DD-MMM-YYYY")</f>
        <v>07-Dec-2022</v>
      </c>
      <c r="F21" t="str">
        <f>VLOOKUP(A21,[1]Cleaned!$A:$J,6,0)</f>
        <v>Ahmedabad</v>
      </c>
      <c r="G21">
        <f>VLOOKUP(A21,[1]Cleaned!$A:$J,9,0)</f>
        <v>3115.04</v>
      </c>
    </row>
    <row r="22" spans="1:7" x14ac:dyDescent="0.3">
      <c r="A22">
        <v>2020</v>
      </c>
      <c r="B22" s="1" t="str">
        <f>VLOOKUP(A22,[1]Cleaned!$A:$J,2,0)</f>
        <v>Anitha Raj</v>
      </c>
      <c r="C22" t="str">
        <f>VLOOKUP(A22,[1]Cleaned!$A:$J,3,0)</f>
        <v>Jeans</v>
      </c>
      <c r="D22" s="2" t="str">
        <f>TEXT(VLOOKUP(A22,[1]Cleaned!$A:$J,4,0),"DD-MMM-YYYY")</f>
        <v>14-Jan-2024</v>
      </c>
      <c r="E22" s="3" t="str">
        <f>TEXT(VLOOKUP(A22,[1]Cleaned!$A:$J,5,0),"DD-MMM-YYYY")</f>
        <v>29-Jan-2024</v>
      </c>
      <c r="F22" t="str">
        <f>VLOOKUP(A22,[1]Cleaned!$A:$J,6,0)</f>
        <v>Ahmedabad</v>
      </c>
      <c r="G22">
        <f>VLOOKUP(A22,[1]Cleaned!$A:$J,9,0)</f>
        <v>7127.15</v>
      </c>
    </row>
    <row r="23" spans="1:7" x14ac:dyDescent="0.3">
      <c r="A23">
        <v>2021</v>
      </c>
      <c r="B23" s="1" t="str">
        <f>VLOOKUP(A23,[1]Cleaned!$A:$J,2,0)</f>
        <v>Manoj K</v>
      </c>
      <c r="C23" t="str">
        <f>VLOOKUP(A23,[1]Cleaned!$A:$J,3,0)</f>
        <v>Jeans</v>
      </c>
      <c r="D23" s="2" t="str">
        <f>TEXT(VLOOKUP(A23,[1]Cleaned!$A:$J,4,0),"DD-MMM-YYYY")</f>
        <v>25-Jun-2022</v>
      </c>
      <c r="E23" s="3" t="str">
        <f>TEXT(VLOOKUP(A23,[1]Cleaned!$A:$J,5,0),"DD-MMM-YYYY")</f>
        <v>08-Jul-2022</v>
      </c>
      <c r="F23" t="str">
        <f>VLOOKUP(A23,[1]Cleaned!$A:$J,6,0)</f>
        <v>Bangalore</v>
      </c>
      <c r="G23">
        <f>VLOOKUP(A23,[1]Cleaned!$A:$J,9,0)</f>
        <v>9793.06</v>
      </c>
    </row>
    <row r="24" spans="1:7" x14ac:dyDescent="0.3">
      <c r="A24">
        <v>2022</v>
      </c>
      <c r="B24" s="1" t="str">
        <f>VLOOKUP(A24,[1]Cleaned!$A:$J,2,0)</f>
        <v>Deepa K</v>
      </c>
      <c r="C24" t="str">
        <f>VLOOKUP(A24,[1]Cleaned!$A:$J,3,0)</f>
        <v>Accessories</v>
      </c>
      <c r="D24" s="2" t="str">
        <f>TEXT(VLOOKUP(A24,[1]Cleaned!$A:$J,4,0),"DD-MMM-YYYY")</f>
        <v>31-Aug-2024</v>
      </c>
      <c r="E24" s="3" t="str">
        <f>TEXT(VLOOKUP(A24,[1]Cleaned!$A:$J,5,0),"DD-MMM-YYYY")</f>
        <v>10-Sep-2024</v>
      </c>
      <c r="F24" t="str">
        <f>VLOOKUP(A24,[1]Cleaned!$A:$J,6,0)</f>
        <v>Mumbai</v>
      </c>
      <c r="G24">
        <f>VLOOKUP(A24,[1]Cleaned!$A:$J,9,0)</f>
        <v>13900.35</v>
      </c>
    </row>
    <row r="25" spans="1:7" x14ac:dyDescent="0.3">
      <c r="A25">
        <v>2023</v>
      </c>
      <c r="B25" s="1" t="str">
        <f>VLOOKUP(A25,[1]Cleaned!$A:$J,2,0)</f>
        <v>Meena Iyer</v>
      </c>
      <c r="C25" t="str">
        <f>VLOOKUP(A25,[1]Cleaned!$A:$J,3,0)</f>
        <v>Shoes</v>
      </c>
      <c r="D25" s="2" t="str">
        <f>TEXT(VLOOKUP(A25,[1]Cleaned!$A:$J,4,0),"DD-MMM-YYYY")</f>
        <v>16-Feb-2023</v>
      </c>
      <c r="E25" s="3" t="str">
        <f>TEXT(VLOOKUP(A25,[1]Cleaned!$A:$J,5,0),"DD-MMM-YYYY")</f>
        <v>01-Mar-2023</v>
      </c>
      <c r="F25" t="str">
        <f>VLOOKUP(A25,[1]Cleaned!$A:$J,6,0)</f>
        <v>Delhi</v>
      </c>
      <c r="G25">
        <f>VLOOKUP(A25,[1]Cleaned!$A:$J,9,0)</f>
        <v>34840.400000000001</v>
      </c>
    </row>
    <row r="26" spans="1:7" x14ac:dyDescent="0.3">
      <c r="A26">
        <v>2024</v>
      </c>
      <c r="B26" s="1" t="str">
        <f>VLOOKUP(A26,[1]Cleaned!$A:$J,2,0)</f>
        <v>Rahul G</v>
      </c>
      <c r="C26" t="str">
        <f>VLOOKUP(A26,[1]Cleaned!$A:$J,3,0)</f>
        <v>Shoes</v>
      </c>
      <c r="D26" s="2" t="str">
        <f>TEXT(VLOOKUP(A26,[1]Cleaned!$A:$J,4,0),"DD-MMM-YYYY")</f>
        <v>13-Jul-2024</v>
      </c>
      <c r="E26" s="3" t="str">
        <f>TEXT(VLOOKUP(A26,[1]Cleaned!$A:$J,5,0),"DD-MMM-YYYY")</f>
        <v>16-Jul-2024</v>
      </c>
      <c r="F26" t="str">
        <f>VLOOKUP(A26,[1]Cleaned!$A:$J,6,0)</f>
        <v>Mumbai</v>
      </c>
      <c r="G26">
        <f>VLOOKUP(A26,[1]Cleaned!$A:$J,9,0)</f>
        <v>2403.6799999999998</v>
      </c>
    </row>
    <row r="27" spans="1:7" x14ac:dyDescent="0.3">
      <c r="A27">
        <v>2025</v>
      </c>
      <c r="B27" s="1" t="str">
        <f>VLOOKUP(A27,[1]Cleaned!$A:$J,2,0)</f>
        <v>Manoj K</v>
      </c>
      <c r="C27" t="str">
        <f>VLOOKUP(A27,[1]Cleaned!$A:$J,3,0)</f>
        <v>Shoes</v>
      </c>
      <c r="D27" s="2" t="str">
        <f>TEXT(VLOOKUP(A27,[1]Cleaned!$A:$J,4,0),"DD-MMM-YYYY")</f>
        <v>17-Apr-2023</v>
      </c>
      <c r="E27" s="3" t="str">
        <f>TEXT(VLOOKUP(A27,[1]Cleaned!$A:$J,5,0),"DD-MMM-YYYY")</f>
        <v>28-Apr-2023</v>
      </c>
      <c r="F27" t="str">
        <f>VLOOKUP(A27,[1]Cleaned!$A:$J,6,0)</f>
        <v>Mumbai</v>
      </c>
      <c r="G27">
        <f>VLOOKUP(A27,[1]Cleaned!$A:$J,9,0)</f>
        <v>633.66999999999996</v>
      </c>
    </row>
    <row r="28" spans="1:7" x14ac:dyDescent="0.3">
      <c r="A28">
        <v>2026</v>
      </c>
      <c r="B28" s="1" t="str">
        <f>VLOOKUP(A28,[1]Cleaned!$A:$J,2,0)</f>
        <v>Lakshmi S</v>
      </c>
      <c r="C28" t="str">
        <f>VLOOKUP(A28,[1]Cleaned!$A:$J,3,0)</f>
        <v>Jeans</v>
      </c>
      <c r="D28" s="2" t="str">
        <f>TEXT(VLOOKUP(A28,[1]Cleaned!$A:$J,4,0),"DD-MMM-YYYY")</f>
        <v>06-Mar-2022</v>
      </c>
      <c r="E28" s="3" t="str">
        <f>TEXT(VLOOKUP(A28,[1]Cleaned!$A:$J,5,0),"DD-MMM-YYYY")</f>
        <v>21-Mar-2022</v>
      </c>
      <c r="F28" t="str">
        <f>VLOOKUP(A28,[1]Cleaned!$A:$J,6,0)</f>
        <v>Delhi</v>
      </c>
      <c r="G28">
        <f>VLOOKUP(A28,[1]Cleaned!$A:$J,9,0)</f>
        <v>5433.06</v>
      </c>
    </row>
    <row r="29" spans="1:7" x14ac:dyDescent="0.3">
      <c r="A29">
        <v>2027</v>
      </c>
      <c r="B29" s="1" t="str">
        <f>VLOOKUP(A29,[1]Cleaned!$A:$J,2,0)</f>
        <v>Saranya D</v>
      </c>
      <c r="C29" t="str">
        <f>VLOOKUP(A29,[1]Cleaned!$A:$J,3,0)</f>
        <v>Jackets</v>
      </c>
      <c r="D29" s="2" t="str">
        <f>TEXT(VLOOKUP(A29,[1]Cleaned!$A:$J,4,0),"DD-MMM-YYYY")</f>
        <v>15-Mar-2023</v>
      </c>
      <c r="E29" s="3" t="str">
        <f>TEXT(VLOOKUP(A29,[1]Cleaned!$A:$J,5,0),"DD-MMM-YYYY")</f>
        <v>25-Mar-2023</v>
      </c>
      <c r="F29" t="str">
        <f>VLOOKUP(A29,[1]Cleaned!$A:$J,6,0)</f>
        <v>Mumbai</v>
      </c>
      <c r="G29">
        <f>VLOOKUP(A29,[1]Cleaned!$A:$J,9,0)</f>
        <v>11536.72</v>
      </c>
    </row>
    <row r="30" spans="1:7" x14ac:dyDescent="0.3">
      <c r="A30">
        <v>2028</v>
      </c>
      <c r="B30" s="1" t="str">
        <f>VLOOKUP(A30,[1]Cleaned!$A:$J,2,0)</f>
        <v>Pooja M</v>
      </c>
      <c r="C30" t="str">
        <f>VLOOKUP(A30,[1]Cleaned!$A:$J,3,0)</f>
        <v>T-Shirts</v>
      </c>
      <c r="D30" s="2" t="str">
        <f>TEXT(VLOOKUP(A30,[1]Cleaned!$A:$J,4,0),"DD-MMM-YYYY")</f>
        <v>13-Jul-2022</v>
      </c>
      <c r="E30" s="3" t="str">
        <f>TEXT(VLOOKUP(A30,[1]Cleaned!$A:$J,5,0),"DD-MMM-YYYY")</f>
        <v>16-Jul-2022</v>
      </c>
      <c r="F30" t="str">
        <f>VLOOKUP(A30,[1]Cleaned!$A:$J,6,0)</f>
        <v>Pune</v>
      </c>
      <c r="G30">
        <f>VLOOKUP(A30,[1]Cleaned!$A:$J,9,0)</f>
        <v>13756.4</v>
      </c>
    </row>
    <row r="31" spans="1:7" x14ac:dyDescent="0.3">
      <c r="A31">
        <v>2029</v>
      </c>
      <c r="B31" s="1" t="str">
        <f>VLOOKUP(A31,[1]Cleaned!$A:$J,2,0)</f>
        <v>Rahul G</v>
      </c>
      <c r="C31" t="str">
        <f>VLOOKUP(A31,[1]Cleaned!$A:$J,3,0)</f>
        <v>Accessories</v>
      </c>
      <c r="D31" s="2" t="str">
        <f>TEXT(VLOOKUP(A31,[1]Cleaned!$A:$J,4,0),"DD-MMM-YYYY")</f>
        <v>21-Apr-2022</v>
      </c>
      <c r="E31" s="3" t="str">
        <f>TEXT(VLOOKUP(A31,[1]Cleaned!$A:$J,5,0),"DD-MMM-YYYY")</f>
        <v>03-May-2022</v>
      </c>
      <c r="F31" t="str">
        <f>VLOOKUP(A31,[1]Cleaned!$A:$J,6,0)</f>
        <v>Pune</v>
      </c>
      <c r="G31">
        <f>VLOOKUP(A31,[1]Cleaned!$A:$J,9,0)</f>
        <v>1169.76</v>
      </c>
    </row>
    <row r="32" spans="1:7" x14ac:dyDescent="0.3">
      <c r="A32">
        <v>2030</v>
      </c>
      <c r="B32" s="1" t="str">
        <f>VLOOKUP(A32,[1]Cleaned!$A:$J,2,0)</f>
        <v>Suresh M</v>
      </c>
      <c r="C32" t="str">
        <f>VLOOKUP(A32,[1]Cleaned!$A:$J,3,0)</f>
        <v>T-Shirts</v>
      </c>
      <c r="D32" s="2" t="str">
        <f>TEXT(VLOOKUP(A32,[1]Cleaned!$A:$J,4,0),"DD-MMM-YYYY")</f>
        <v>28-Jan-2023</v>
      </c>
      <c r="E32" s="3" t="str">
        <f>TEXT(VLOOKUP(A32,[1]Cleaned!$A:$J,5,0),"DD-MMM-YYYY")</f>
        <v>02-Feb-2023</v>
      </c>
      <c r="F32" t="str">
        <f>VLOOKUP(A32,[1]Cleaned!$A:$J,6,0)</f>
        <v>Hyderabad</v>
      </c>
      <c r="G32">
        <f>VLOOKUP(A32,[1]Cleaned!$A:$J,9,0)</f>
        <v>7670.88</v>
      </c>
    </row>
    <row r="33" spans="1:7" x14ac:dyDescent="0.3">
      <c r="A33">
        <v>2031</v>
      </c>
      <c r="B33" s="1" t="str">
        <f>VLOOKUP(A33,[1]Cleaned!$A:$J,2,0)</f>
        <v>Ravi Kumar</v>
      </c>
      <c r="C33" t="str">
        <f>VLOOKUP(A33,[1]Cleaned!$A:$J,3,0)</f>
        <v>Jackets</v>
      </c>
      <c r="D33" s="2" t="str">
        <f>TEXT(VLOOKUP(A33,[1]Cleaned!$A:$J,4,0),"DD-MMM-YYYY")</f>
        <v>27-May-2023</v>
      </c>
      <c r="E33" s="3" t="str">
        <f>TEXT(VLOOKUP(A33,[1]Cleaned!$A:$J,5,0),"DD-MMM-YYYY")</f>
        <v>11-Jun-2023</v>
      </c>
      <c r="F33" t="str">
        <f>VLOOKUP(A33,[1]Cleaned!$A:$J,6,0)</f>
        <v>Chennai</v>
      </c>
      <c r="G33">
        <f>VLOOKUP(A33,[1]Cleaned!$A:$J,9,0)</f>
        <v>32781.599999999999</v>
      </c>
    </row>
    <row r="34" spans="1:7" x14ac:dyDescent="0.3">
      <c r="A34">
        <v>2032</v>
      </c>
      <c r="B34" s="1" t="str">
        <f>VLOOKUP(A34,[1]Cleaned!$A:$J,2,0)</f>
        <v>Karthik Vel</v>
      </c>
      <c r="C34" t="str">
        <f>VLOOKUP(A34,[1]Cleaned!$A:$J,3,0)</f>
        <v>Accessories</v>
      </c>
      <c r="D34" s="2" t="str">
        <f>TEXT(VLOOKUP(A34,[1]Cleaned!$A:$J,4,0),"DD-MMM-YYYY")</f>
        <v>31-Jan-2022</v>
      </c>
      <c r="E34" s="3" t="str">
        <f>TEXT(VLOOKUP(A34,[1]Cleaned!$A:$J,5,0),"DD-MMM-YYYY")</f>
        <v>03-Feb-2022</v>
      </c>
      <c r="F34" t="str">
        <f>VLOOKUP(A34,[1]Cleaned!$A:$J,6,0)</f>
        <v>Ahmedabad</v>
      </c>
      <c r="G34">
        <f>VLOOKUP(A34,[1]Cleaned!$A:$J,9,0)</f>
        <v>4326.6400000000003</v>
      </c>
    </row>
    <row r="35" spans="1:7" x14ac:dyDescent="0.3">
      <c r="A35">
        <v>2033</v>
      </c>
      <c r="B35" s="1" t="str">
        <f>VLOOKUP(A35,[1]Cleaned!$A:$J,2,0)</f>
        <v>Kavitha S</v>
      </c>
      <c r="C35" t="str">
        <f>VLOOKUP(A35,[1]Cleaned!$A:$J,3,0)</f>
        <v>T-Shirts</v>
      </c>
      <c r="D35" s="2" t="str">
        <f>TEXT(VLOOKUP(A35,[1]Cleaned!$A:$J,4,0),"DD-MMM-YYYY")</f>
        <v>01-Apr-2024</v>
      </c>
      <c r="E35" s="3" t="str">
        <f>TEXT(VLOOKUP(A35,[1]Cleaned!$A:$J,5,0),"DD-MMM-YYYY")</f>
        <v>03-Apr-2024</v>
      </c>
      <c r="F35" t="str">
        <f>VLOOKUP(A35,[1]Cleaned!$A:$J,6,0)</f>
        <v>Mumbai</v>
      </c>
      <c r="G35">
        <f>VLOOKUP(A35,[1]Cleaned!$A:$J,9,0)</f>
        <v>2170.91</v>
      </c>
    </row>
    <row r="36" spans="1:7" x14ac:dyDescent="0.3">
      <c r="A36">
        <v>2034</v>
      </c>
      <c r="B36" s="1" t="str">
        <f>VLOOKUP(A36,[1]Cleaned!$A:$J,2,0)</f>
        <v>Ravi Kumar</v>
      </c>
      <c r="C36" t="str">
        <f>VLOOKUP(A36,[1]Cleaned!$A:$J,3,0)</f>
        <v>Jackets</v>
      </c>
      <c r="D36" s="2" t="str">
        <f>TEXT(VLOOKUP(A36,[1]Cleaned!$A:$J,4,0),"DD-MMM-YYYY")</f>
        <v>08-Aug-2023</v>
      </c>
      <c r="E36" s="3" t="str">
        <f>TEXT(VLOOKUP(A36,[1]Cleaned!$A:$J,5,0),"DD-MMM-YYYY")</f>
        <v>16-Aug-2023</v>
      </c>
      <c r="F36" t="str">
        <f>VLOOKUP(A36,[1]Cleaned!$A:$J,6,0)</f>
        <v>Pune</v>
      </c>
      <c r="G36">
        <f>VLOOKUP(A36,[1]Cleaned!$A:$J,9,0)</f>
        <v>8220.4</v>
      </c>
    </row>
    <row r="37" spans="1:7" x14ac:dyDescent="0.3">
      <c r="A37">
        <v>2035</v>
      </c>
      <c r="B37" s="1" t="str">
        <f>VLOOKUP(A37,[1]Cleaned!$A:$J,2,0)</f>
        <v>Meena Iyer</v>
      </c>
      <c r="C37" t="str">
        <f>VLOOKUP(A37,[1]Cleaned!$A:$J,3,0)</f>
        <v>Jeans</v>
      </c>
      <c r="D37" s="2" t="str">
        <f>TEXT(VLOOKUP(A37,[1]Cleaned!$A:$J,4,0),"DD-MMM-YYYY")</f>
        <v>05-May-2022</v>
      </c>
      <c r="E37" s="3" t="str">
        <f>TEXT(VLOOKUP(A37,[1]Cleaned!$A:$J,5,0),"DD-MMM-YYYY")</f>
        <v>18-May-2022</v>
      </c>
      <c r="F37" t="str">
        <f>VLOOKUP(A37,[1]Cleaned!$A:$J,6,0)</f>
        <v>Delhi</v>
      </c>
      <c r="G37">
        <f>VLOOKUP(A37,[1]Cleaned!$A:$J,9,0)</f>
        <v>535.66999999999996</v>
      </c>
    </row>
    <row r="38" spans="1:7" x14ac:dyDescent="0.3">
      <c r="A38">
        <v>2036</v>
      </c>
      <c r="B38" s="1" t="str">
        <f>VLOOKUP(A38,[1]Cleaned!$A:$J,2,0)</f>
        <v>Santhosh P</v>
      </c>
      <c r="C38" t="str">
        <f>VLOOKUP(A38,[1]Cleaned!$A:$J,3,0)</f>
        <v>Shoes</v>
      </c>
      <c r="D38" s="2" t="str">
        <f>TEXT(VLOOKUP(A38,[1]Cleaned!$A:$J,4,0),"DD-MMM-YYYY")</f>
        <v>19-Nov-2022</v>
      </c>
      <c r="E38" s="3" t="str">
        <f>TEXT(VLOOKUP(A38,[1]Cleaned!$A:$J,5,0),"DD-MMM-YYYY")</f>
        <v>21-Nov-2022</v>
      </c>
      <c r="F38" t="str">
        <f>VLOOKUP(A38,[1]Cleaned!$A:$J,6,0)</f>
        <v>Hyderabad</v>
      </c>
      <c r="G38">
        <f>VLOOKUP(A38,[1]Cleaned!$A:$J,9,0)</f>
        <v>8602.6200000000008</v>
      </c>
    </row>
    <row r="39" spans="1:7" x14ac:dyDescent="0.3">
      <c r="A39">
        <v>2037</v>
      </c>
      <c r="B39" s="1" t="str">
        <f>VLOOKUP(A39,[1]Cleaned!$A:$J,2,0)</f>
        <v>Revathi A</v>
      </c>
      <c r="C39" t="str">
        <f>VLOOKUP(A39,[1]Cleaned!$A:$J,3,0)</f>
        <v>Jeans</v>
      </c>
      <c r="D39" s="2" t="str">
        <f>TEXT(VLOOKUP(A39,[1]Cleaned!$A:$J,4,0),"DD-MMM-YYYY")</f>
        <v>27-Apr-2023</v>
      </c>
      <c r="E39" s="3" t="str">
        <f>TEXT(VLOOKUP(A39,[1]Cleaned!$A:$J,5,0),"DD-MMM-YYYY")</f>
        <v>05-May-2023</v>
      </c>
      <c r="F39" t="str">
        <f>VLOOKUP(A39,[1]Cleaned!$A:$J,6,0)</f>
        <v>Chennai</v>
      </c>
      <c r="G39">
        <f>VLOOKUP(A39,[1]Cleaned!$A:$J,9,0)</f>
        <v>12083.68</v>
      </c>
    </row>
    <row r="40" spans="1:7" x14ac:dyDescent="0.3">
      <c r="A40">
        <v>2038</v>
      </c>
      <c r="B40" s="1" t="str">
        <f>VLOOKUP(A40,[1]Cleaned!$A:$J,2,0)</f>
        <v>Revathi A</v>
      </c>
      <c r="C40" t="str">
        <f>VLOOKUP(A40,[1]Cleaned!$A:$J,3,0)</f>
        <v>Jeans</v>
      </c>
      <c r="D40" s="2" t="str">
        <f>TEXT(VLOOKUP(A40,[1]Cleaned!$A:$J,4,0),"DD-MMM-YYYY")</f>
        <v>08-May-2024</v>
      </c>
      <c r="E40" s="3" t="str">
        <f>TEXT(VLOOKUP(A40,[1]Cleaned!$A:$J,5,0),"DD-MMM-YYYY")</f>
        <v>20-May-2024</v>
      </c>
      <c r="F40" t="str">
        <f>VLOOKUP(A40,[1]Cleaned!$A:$J,6,0)</f>
        <v>Hyderabad</v>
      </c>
      <c r="G40">
        <f>VLOOKUP(A40,[1]Cleaned!$A:$J,9,0)</f>
        <v>28158.720000000001</v>
      </c>
    </row>
    <row r="41" spans="1:7" x14ac:dyDescent="0.3">
      <c r="A41">
        <v>2039</v>
      </c>
      <c r="B41" s="1" t="str">
        <f>VLOOKUP(A41,[1]Cleaned!$A:$J,2,0)</f>
        <v>Saranya D</v>
      </c>
      <c r="C41" t="str">
        <f>VLOOKUP(A41,[1]Cleaned!$A:$J,3,0)</f>
        <v>Accessories</v>
      </c>
      <c r="D41" s="2" t="str">
        <f>TEXT(VLOOKUP(A41,[1]Cleaned!$A:$J,4,0),"DD-MMM-YYYY")</f>
        <v>06-Oct-2023</v>
      </c>
      <c r="E41" s="3" t="str">
        <f>TEXT(VLOOKUP(A41,[1]Cleaned!$A:$J,5,0),"DD-MMM-YYYY")</f>
        <v>11-Oct-2023</v>
      </c>
      <c r="F41" t="str">
        <f>VLOOKUP(A41,[1]Cleaned!$A:$J,6,0)</f>
        <v>Delhi</v>
      </c>
      <c r="G41">
        <f>VLOOKUP(A41,[1]Cleaned!$A:$J,9,0)</f>
        <v>6405.91</v>
      </c>
    </row>
    <row r="42" spans="1:7" x14ac:dyDescent="0.3">
      <c r="A42">
        <v>2040</v>
      </c>
      <c r="B42" s="1" t="str">
        <f>VLOOKUP(A42,[1]Cleaned!$A:$J,2,0)</f>
        <v>Rahul G</v>
      </c>
      <c r="C42" t="str">
        <f>VLOOKUP(A42,[1]Cleaned!$A:$J,3,0)</f>
        <v>Dresses</v>
      </c>
      <c r="D42" s="2" t="str">
        <f>TEXT(VLOOKUP(A42,[1]Cleaned!$A:$J,4,0),"DD-MMM-YYYY")</f>
        <v>29-May-2022</v>
      </c>
      <c r="E42" s="3" t="str">
        <f>TEXT(VLOOKUP(A42,[1]Cleaned!$A:$J,5,0),"DD-MMM-YYYY")</f>
        <v>31-May-2022</v>
      </c>
      <c r="F42" t="str">
        <f>VLOOKUP(A42,[1]Cleaned!$A:$J,6,0)</f>
        <v>Bangalore</v>
      </c>
      <c r="G42">
        <f>VLOOKUP(A42,[1]Cleaned!$A:$J,9,0)</f>
        <v>1288.6600000000001</v>
      </c>
    </row>
    <row r="43" spans="1:7" x14ac:dyDescent="0.3">
      <c r="A43">
        <v>2041</v>
      </c>
      <c r="B43" s="1" t="str">
        <f>VLOOKUP(A43,[1]Cleaned!$A:$J,2,0)</f>
        <v>Santhosh P</v>
      </c>
      <c r="C43" t="str">
        <f>VLOOKUP(A43,[1]Cleaned!$A:$J,3,0)</f>
        <v>Dresses</v>
      </c>
      <c r="D43" s="2" t="str">
        <f>TEXT(VLOOKUP(A43,[1]Cleaned!$A:$J,4,0),"DD-MMM-YYYY")</f>
        <v>29-Sep-2022</v>
      </c>
      <c r="E43" s="3" t="str">
        <f>TEXT(VLOOKUP(A43,[1]Cleaned!$A:$J,5,0),"DD-MMM-YYYY")</f>
        <v>06-Oct-2022</v>
      </c>
      <c r="F43" t="str">
        <f>VLOOKUP(A43,[1]Cleaned!$A:$J,6,0)</f>
        <v>Chennai</v>
      </c>
      <c r="G43">
        <f>VLOOKUP(A43,[1]Cleaned!$A:$J,9,0)</f>
        <v>8147.12</v>
      </c>
    </row>
    <row r="44" spans="1:7" x14ac:dyDescent="0.3">
      <c r="A44">
        <v>2042</v>
      </c>
      <c r="B44" s="1" t="str">
        <f>VLOOKUP(A44,[1]Cleaned!$A:$J,2,0)</f>
        <v>Rahul G</v>
      </c>
      <c r="C44" t="str">
        <f>VLOOKUP(A44,[1]Cleaned!$A:$J,3,0)</f>
        <v>Shoes</v>
      </c>
      <c r="D44" s="2" t="str">
        <f>TEXT(VLOOKUP(A44,[1]Cleaned!$A:$J,4,0),"DD-MMM-YYYY")</f>
        <v>12-Sep-2023</v>
      </c>
      <c r="E44" s="3" t="str">
        <f>TEXT(VLOOKUP(A44,[1]Cleaned!$A:$J,5,0),"DD-MMM-YYYY")</f>
        <v>23-Sep-2023</v>
      </c>
      <c r="F44" t="str">
        <f>VLOOKUP(A44,[1]Cleaned!$A:$J,6,0)</f>
        <v>Ahmedabad</v>
      </c>
      <c r="G44">
        <f>VLOOKUP(A44,[1]Cleaned!$A:$J,9,0)</f>
        <v>3438.96</v>
      </c>
    </row>
    <row r="45" spans="1:7" x14ac:dyDescent="0.3">
      <c r="A45">
        <v>2043</v>
      </c>
      <c r="B45" s="1" t="str">
        <f>VLOOKUP(A45,[1]Cleaned!$A:$J,2,0)</f>
        <v>Saranya D</v>
      </c>
      <c r="C45" t="str">
        <f>VLOOKUP(A45,[1]Cleaned!$A:$J,3,0)</f>
        <v>Jeans</v>
      </c>
      <c r="D45" s="2" t="str">
        <f>TEXT(VLOOKUP(A45,[1]Cleaned!$A:$J,4,0),"DD-MMM-YYYY")</f>
        <v>03-Oct-2022</v>
      </c>
      <c r="E45" s="3" t="str">
        <f>TEXT(VLOOKUP(A45,[1]Cleaned!$A:$J,5,0),"DD-MMM-YYYY")</f>
        <v>09-Oct-2022</v>
      </c>
      <c r="F45" t="str">
        <f>VLOOKUP(A45,[1]Cleaned!$A:$J,6,0)</f>
        <v>Chennai</v>
      </c>
      <c r="G45">
        <f>VLOOKUP(A45,[1]Cleaned!$A:$J,9,0)</f>
        <v>7578.72</v>
      </c>
    </row>
    <row r="46" spans="1:7" x14ac:dyDescent="0.3">
      <c r="A46">
        <v>2044</v>
      </c>
      <c r="B46" s="1" t="str">
        <f>VLOOKUP(A46,[1]Cleaned!$A:$J,2,0)</f>
        <v>Ravi Kumar</v>
      </c>
      <c r="C46" t="str">
        <f>VLOOKUP(A46,[1]Cleaned!$A:$J,3,0)</f>
        <v>Dresses</v>
      </c>
      <c r="D46" s="2" t="str">
        <f>TEXT(VLOOKUP(A46,[1]Cleaned!$A:$J,4,0),"DD-MMM-YYYY")</f>
        <v>08-Mar-2023</v>
      </c>
      <c r="E46" s="3" t="str">
        <f>TEXT(VLOOKUP(A46,[1]Cleaned!$A:$J,5,0),"DD-MMM-YYYY")</f>
        <v>21-Mar-2023</v>
      </c>
      <c r="F46" t="str">
        <f>VLOOKUP(A46,[1]Cleaned!$A:$J,6,0)</f>
        <v>Delhi</v>
      </c>
      <c r="G46">
        <f>VLOOKUP(A46,[1]Cleaned!$A:$J,9,0)</f>
        <v>14124.96</v>
      </c>
    </row>
    <row r="47" spans="1:7" x14ac:dyDescent="0.3">
      <c r="A47">
        <v>2045</v>
      </c>
      <c r="B47" s="1" t="str">
        <f>VLOOKUP(A47,[1]Cleaned!$A:$J,2,0)</f>
        <v>Santhosh P</v>
      </c>
      <c r="C47" t="str">
        <f>VLOOKUP(A47,[1]Cleaned!$A:$J,3,0)</f>
        <v>Jackets</v>
      </c>
      <c r="D47" s="2" t="str">
        <f>TEXT(VLOOKUP(A47,[1]Cleaned!$A:$J,4,0),"DD-MMM-YYYY")</f>
        <v>30-May-2023</v>
      </c>
      <c r="E47" s="3" t="str">
        <f>TEXT(VLOOKUP(A47,[1]Cleaned!$A:$J,5,0),"DD-MMM-YYYY")</f>
        <v>14-Jun-2023</v>
      </c>
      <c r="F47" t="str">
        <f>VLOOKUP(A47,[1]Cleaned!$A:$J,6,0)</f>
        <v>Chennai</v>
      </c>
      <c r="G47">
        <f>VLOOKUP(A47,[1]Cleaned!$A:$J,9,0)</f>
        <v>6562.28</v>
      </c>
    </row>
    <row r="48" spans="1:7" x14ac:dyDescent="0.3">
      <c r="A48">
        <v>2046</v>
      </c>
      <c r="B48" s="1" t="str">
        <f>VLOOKUP(A48,[1]Cleaned!$A:$J,2,0)</f>
        <v>Karthik Vel</v>
      </c>
      <c r="C48" t="str">
        <f>VLOOKUP(A48,[1]Cleaned!$A:$J,3,0)</f>
        <v>Jeans</v>
      </c>
      <c r="D48" s="2" t="str">
        <f>TEXT(VLOOKUP(A48,[1]Cleaned!$A:$J,4,0),"DD-MMM-YYYY")</f>
        <v>15-Nov-2023</v>
      </c>
      <c r="E48" s="3" t="str">
        <f>TEXT(VLOOKUP(A48,[1]Cleaned!$A:$J,5,0),"DD-MMM-YYYY")</f>
        <v>29-Nov-2023</v>
      </c>
      <c r="F48" t="str">
        <f>VLOOKUP(A48,[1]Cleaned!$A:$J,6,0)</f>
        <v>Mumbai</v>
      </c>
      <c r="G48">
        <f>VLOOKUP(A48,[1]Cleaned!$A:$J,9,0)</f>
        <v>5297.2</v>
      </c>
    </row>
    <row r="49" spans="1:7" x14ac:dyDescent="0.3">
      <c r="A49">
        <v>2047</v>
      </c>
      <c r="B49" s="1" t="str">
        <f>VLOOKUP(A49,[1]Cleaned!$A:$J,2,0)</f>
        <v>Nithya R</v>
      </c>
      <c r="C49" t="str">
        <f>VLOOKUP(A49,[1]Cleaned!$A:$J,3,0)</f>
        <v>Accessories</v>
      </c>
      <c r="D49" s="2" t="str">
        <f>TEXT(VLOOKUP(A49,[1]Cleaned!$A:$J,4,0),"DD-MMM-YYYY")</f>
        <v>25-May-2024</v>
      </c>
      <c r="E49" s="3" t="str">
        <f>TEXT(VLOOKUP(A49,[1]Cleaned!$A:$J,5,0),"DD-MMM-YYYY")</f>
        <v>04-Jun-2024</v>
      </c>
      <c r="F49" t="str">
        <f>VLOOKUP(A49,[1]Cleaned!$A:$J,6,0)</f>
        <v>Chennai</v>
      </c>
      <c r="G49">
        <f>VLOOKUP(A49,[1]Cleaned!$A:$J,9,0)</f>
        <v>1307.3</v>
      </c>
    </row>
    <row r="50" spans="1:7" x14ac:dyDescent="0.3">
      <c r="A50">
        <v>2048</v>
      </c>
      <c r="B50" s="1" t="str">
        <f>VLOOKUP(A50,[1]Cleaned!$A:$J,2,0)</f>
        <v>Nithya R</v>
      </c>
      <c r="C50" t="str">
        <f>VLOOKUP(A50,[1]Cleaned!$A:$J,3,0)</f>
        <v>Jeans</v>
      </c>
      <c r="D50" s="2" t="str">
        <f>TEXT(VLOOKUP(A50,[1]Cleaned!$A:$J,4,0),"DD-MMM-YYYY")</f>
        <v>27-Jan-2024</v>
      </c>
      <c r="E50" s="3" t="str">
        <f>TEXT(VLOOKUP(A50,[1]Cleaned!$A:$J,5,0),"DD-MMM-YYYY")</f>
        <v>07-Feb-2024</v>
      </c>
      <c r="F50" t="str">
        <f>VLOOKUP(A50,[1]Cleaned!$A:$J,6,0)</f>
        <v>Hyderabad</v>
      </c>
      <c r="G50">
        <f>VLOOKUP(A50,[1]Cleaned!$A:$J,9,0)</f>
        <v>6960</v>
      </c>
    </row>
    <row r="51" spans="1:7" x14ac:dyDescent="0.3">
      <c r="A51">
        <v>2049</v>
      </c>
      <c r="B51" s="1" t="str">
        <f>VLOOKUP(A51,[1]Cleaned!$A:$J,2,0)</f>
        <v>Divya T</v>
      </c>
      <c r="C51" t="str">
        <f>VLOOKUP(A51,[1]Cleaned!$A:$J,3,0)</f>
        <v>Dresses</v>
      </c>
      <c r="D51" s="2" t="str">
        <f>TEXT(VLOOKUP(A51,[1]Cleaned!$A:$J,4,0),"DD-MMM-YYYY")</f>
        <v>23-Mar-2022</v>
      </c>
      <c r="E51" s="3" t="str">
        <f>TEXT(VLOOKUP(A51,[1]Cleaned!$A:$J,5,0),"DD-MMM-YYYY")</f>
        <v>30-Mar-2022</v>
      </c>
      <c r="F51" t="str">
        <f>VLOOKUP(A51,[1]Cleaned!$A:$J,6,0)</f>
        <v>Mumbai</v>
      </c>
      <c r="G51">
        <f>VLOOKUP(A51,[1]Cleaned!$A:$J,9,0)</f>
        <v>13738.36</v>
      </c>
    </row>
    <row r="52" spans="1:7" x14ac:dyDescent="0.3">
      <c r="A52">
        <v>2050</v>
      </c>
      <c r="B52" s="1" t="str">
        <f>VLOOKUP(A52,[1]Cleaned!$A:$J,2,0)</f>
        <v>Prakash V</v>
      </c>
      <c r="C52" t="str">
        <f>VLOOKUP(A52,[1]Cleaned!$A:$J,3,0)</f>
        <v>Shoes</v>
      </c>
      <c r="D52" s="2" t="str">
        <f>TEXT(VLOOKUP(A52,[1]Cleaned!$A:$J,4,0),"DD-MMM-YYYY")</f>
        <v>12-Apr-2024</v>
      </c>
      <c r="E52" s="3" t="str">
        <f>TEXT(VLOOKUP(A52,[1]Cleaned!$A:$J,5,0),"DD-MMM-YYYY")</f>
        <v>23-Apr-2024</v>
      </c>
      <c r="F52" t="str">
        <f>VLOOKUP(A52,[1]Cleaned!$A:$J,6,0)</f>
        <v>Pune</v>
      </c>
      <c r="G52">
        <f>VLOOKUP(A52,[1]Cleaned!$A:$J,9,0)</f>
        <v>13953.27</v>
      </c>
    </row>
    <row r="53" spans="1:7" x14ac:dyDescent="0.3">
      <c r="A53">
        <v>2051</v>
      </c>
      <c r="B53" s="1" t="str">
        <f>VLOOKUP(A53,[1]Cleaned!$A:$J,2,0)</f>
        <v>Arjun Reddy</v>
      </c>
      <c r="C53" t="str">
        <f>VLOOKUP(A53,[1]Cleaned!$A:$J,3,0)</f>
        <v>T-Shirts</v>
      </c>
      <c r="D53" s="2" t="str">
        <f>TEXT(VLOOKUP(A53,[1]Cleaned!$A:$J,4,0),"DD-MMM-YYYY")</f>
        <v>24-Apr-2024</v>
      </c>
      <c r="E53" s="3" t="str">
        <f>TEXT(VLOOKUP(A53,[1]Cleaned!$A:$J,5,0),"DD-MMM-YYYY")</f>
        <v>26-Apr-2024</v>
      </c>
      <c r="F53" t="str">
        <f>VLOOKUP(A53,[1]Cleaned!$A:$J,6,0)</f>
        <v>Mumbai</v>
      </c>
      <c r="G53">
        <f>VLOOKUP(A53,[1]Cleaned!$A:$J,9,0)</f>
        <v>23863.32</v>
      </c>
    </row>
    <row r="54" spans="1:7" x14ac:dyDescent="0.3">
      <c r="A54">
        <v>2052</v>
      </c>
      <c r="B54" s="1" t="str">
        <f>VLOOKUP(A54,[1]Cleaned!$A:$J,2,0)</f>
        <v>Saranya D</v>
      </c>
      <c r="C54" t="str">
        <f>VLOOKUP(A54,[1]Cleaned!$A:$J,3,0)</f>
        <v>Accessories</v>
      </c>
      <c r="D54" s="2" t="str">
        <f>TEXT(VLOOKUP(A54,[1]Cleaned!$A:$J,4,0),"DD-MMM-YYYY")</f>
        <v>24-May-2023</v>
      </c>
      <c r="E54" s="3" t="str">
        <f>TEXT(VLOOKUP(A54,[1]Cleaned!$A:$J,5,0),"DD-MMM-YYYY")</f>
        <v>30-May-2023</v>
      </c>
      <c r="F54" t="str">
        <f>VLOOKUP(A54,[1]Cleaned!$A:$J,6,0)</f>
        <v>Mumbai</v>
      </c>
      <c r="G54">
        <f>VLOOKUP(A54,[1]Cleaned!$A:$J,9,0)</f>
        <v>4195.8999999999996</v>
      </c>
    </row>
    <row r="55" spans="1:7" x14ac:dyDescent="0.3">
      <c r="A55">
        <v>2053</v>
      </c>
      <c r="B55" s="1" t="str">
        <f>VLOOKUP(A55,[1]Cleaned!$A:$J,2,0)</f>
        <v>Kavitha S</v>
      </c>
      <c r="C55" t="str">
        <f>VLOOKUP(A55,[1]Cleaned!$A:$J,3,0)</f>
        <v>T-Shirts</v>
      </c>
      <c r="D55" s="2" t="str">
        <f>TEXT(VLOOKUP(A55,[1]Cleaned!$A:$J,4,0),"DD-MMM-YYYY")</f>
        <v>13-Feb-2023</v>
      </c>
      <c r="E55" s="3" t="str">
        <f>TEXT(VLOOKUP(A55,[1]Cleaned!$A:$J,5,0),"DD-MMM-YYYY")</f>
        <v>28-Feb-2023</v>
      </c>
      <c r="F55" t="str">
        <f>VLOOKUP(A55,[1]Cleaned!$A:$J,6,0)</f>
        <v>Bangalore</v>
      </c>
      <c r="G55">
        <f>VLOOKUP(A55,[1]Cleaned!$A:$J,9,0)</f>
        <v>10406.4</v>
      </c>
    </row>
    <row r="56" spans="1:7" x14ac:dyDescent="0.3">
      <c r="A56">
        <v>2054</v>
      </c>
      <c r="B56" s="1" t="str">
        <f>VLOOKUP(A56,[1]Cleaned!$A:$J,2,0)</f>
        <v>Lakshmi S</v>
      </c>
      <c r="C56" t="str">
        <f>VLOOKUP(A56,[1]Cleaned!$A:$J,3,0)</f>
        <v>Jeans</v>
      </c>
      <c r="D56" s="2" t="str">
        <f>TEXT(VLOOKUP(A56,[1]Cleaned!$A:$J,4,0),"DD-MMM-YYYY")</f>
        <v>31-Jan-2023</v>
      </c>
      <c r="E56" s="3" t="str">
        <f>TEXT(VLOOKUP(A56,[1]Cleaned!$A:$J,5,0),"DD-MMM-YYYY")</f>
        <v>08-Feb-2023</v>
      </c>
      <c r="F56" t="str">
        <f>VLOOKUP(A56,[1]Cleaned!$A:$J,6,0)</f>
        <v>Delhi</v>
      </c>
      <c r="G56">
        <f>VLOOKUP(A56,[1]Cleaned!$A:$J,9,0)</f>
        <v>21812.3</v>
      </c>
    </row>
    <row r="57" spans="1:7" x14ac:dyDescent="0.3">
      <c r="A57">
        <v>2055</v>
      </c>
      <c r="B57" s="1" t="str">
        <f>VLOOKUP(A57,[1]Cleaned!$A:$J,2,0)</f>
        <v>Sneha R</v>
      </c>
      <c r="C57" t="str">
        <f>VLOOKUP(A57,[1]Cleaned!$A:$J,3,0)</f>
        <v>Accessories</v>
      </c>
      <c r="D57" s="2" t="str">
        <f>TEXT(VLOOKUP(A57,[1]Cleaned!$A:$J,4,0),"DD-MMM-YYYY")</f>
        <v>09-Nov-2024</v>
      </c>
      <c r="E57" s="3" t="str">
        <f>TEXT(VLOOKUP(A57,[1]Cleaned!$A:$J,5,0),"DD-MMM-YYYY")</f>
        <v>17-Nov-2024</v>
      </c>
      <c r="F57" t="str">
        <f>VLOOKUP(A57,[1]Cleaned!$A:$J,6,0)</f>
        <v>Pune</v>
      </c>
      <c r="G57">
        <f>VLOOKUP(A57,[1]Cleaned!$A:$J,9,0)</f>
        <v>28286.46</v>
      </c>
    </row>
    <row r="58" spans="1:7" x14ac:dyDescent="0.3">
      <c r="A58">
        <v>2056</v>
      </c>
      <c r="B58" s="1" t="str">
        <f>VLOOKUP(A58,[1]Cleaned!$A:$J,2,0)</f>
        <v>Ravi Kumar</v>
      </c>
      <c r="C58" t="str">
        <f>VLOOKUP(A58,[1]Cleaned!$A:$J,3,0)</f>
        <v>T-Shirts</v>
      </c>
      <c r="D58" s="2" t="str">
        <f>TEXT(VLOOKUP(A58,[1]Cleaned!$A:$J,4,0),"DD-MMM-YYYY")</f>
        <v>28-Jun-2023</v>
      </c>
      <c r="E58" s="3" t="str">
        <f>TEXT(VLOOKUP(A58,[1]Cleaned!$A:$J,5,0),"DD-MMM-YYYY")</f>
        <v>30-Jun-2023</v>
      </c>
      <c r="F58" t="str">
        <f>VLOOKUP(A58,[1]Cleaned!$A:$J,6,0)</f>
        <v>Chennai</v>
      </c>
      <c r="G58">
        <f>VLOOKUP(A58,[1]Cleaned!$A:$J,9,0)</f>
        <v>13473.11</v>
      </c>
    </row>
    <row r="59" spans="1:7" x14ac:dyDescent="0.3">
      <c r="A59">
        <v>2057</v>
      </c>
      <c r="B59" s="1" t="str">
        <f>VLOOKUP(A59,[1]Cleaned!$A:$J,2,0)</f>
        <v>Pooja M</v>
      </c>
      <c r="C59" t="str">
        <f>VLOOKUP(A59,[1]Cleaned!$A:$J,3,0)</f>
        <v>Shoes</v>
      </c>
      <c r="D59" s="2" t="str">
        <f>TEXT(VLOOKUP(A59,[1]Cleaned!$A:$J,4,0),"DD-MMM-YYYY")</f>
        <v>13-Nov-2024</v>
      </c>
      <c r="E59" s="3" t="str">
        <f>TEXT(VLOOKUP(A59,[1]Cleaned!$A:$J,5,0),"DD-MMM-YYYY")</f>
        <v>16-Nov-2024</v>
      </c>
      <c r="F59" t="str">
        <f>VLOOKUP(A59,[1]Cleaned!$A:$J,6,0)</f>
        <v>Bangalore</v>
      </c>
      <c r="G59">
        <f>VLOOKUP(A59,[1]Cleaned!$A:$J,9,0)</f>
        <v>5988.8</v>
      </c>
    </row>
    <row r="60" spans="1:7" x14ac:dyDescent="0.3">
      <c r="A60">
        <v>2058</v>
      </c>
      <c r="B60" s="1" t="str">
        <f>VLOOKUP(A60,[1]Cleaned!$A:$J,2,0)</f>
        <v>Anitha Raj</v>
      </c>
      <c r="C60" t="str">
        <f>VLOOKUP(A60,[1]Cleaned!$A:$J,3,0)</f>
        <v>Shoes</v>
      </c>
      <c r="D60" s="2" t="str">
        <f>TEXT(VLOOKUP(A60,[1]Cleaned!$A:$J,4,0),"DD-MMM-YYYY")</f>
        <v>08-Feb-2023</v>
      </c>
      <c r="E60" s="3" t="str">
        <f>TEXT(VLOOKUP(A60,[1]Cleaned!$A:$J,5,0),"DD-MMM-YYYY")</f>
        <v>15-Feb-2023</v>
      </c>
      <c r="F60" t="str">
        <f>VLOOKUP(A60,[1]Cleaned!$A:$J,6,0)</f>
        <v>Bangalore</v>
      </c>
      <c r="G60">
        <f>VLOOKUP(A60,[1]Cleaned!$A:$J,9,0)</f>
        <v>9519.42</v>
      </c>
    </row>
    <row r="61" spans="1:7" x14ac:dyDescent="0.3">
      <c r="A61">
        <v>2059</v>
      </c>
      <c r="B61" s="1" t="str">
        <f>VLOOKUP(A61,[1]Cleaned!$A:$J,2,0)</f>
        <v>Revathi A</v>
      </c>
      <c r="C61" t="str">
        <f>VLOOKUP(A61,[1]Cleaned!$A:$J,3,0)</f>
        <v>Dresses</v>
      </c>
      <c r="D61" s="2" t="str">
        <f>TEXT(VLOOKUP(A61,[1]Cleaned!$A:$J,4,0),"DD-MMM-YYYY")</f>
        <v>13-Sep-2022</v>
      </c>
      <c r="E61" s="3" t="str">
        <f>TEXT(VLOOKUP(A61,[1]Cleaned!$A:$J,5,0),"DD-MMM-YYYY")</f>
        <v>26-Sep-2022</v>
      </c>
      <c r="F61" t="str">
        <f>VLOOKUP(A61,[1]Cleaned!$A:$J,6,0)</f>
        <v>Delhi</v>
      </c>
      <c r="G61">
        <f>VLOOKUP(A61,[1]Cleaned!$A:$J,9,0)</f>
        <v>17172</v>
      </c>
    </row>
    <row r="62" spans="1:7" x14ac:dyDescent="0.3">
      <c r="A62">
        <v>2060</v>
      </c>
      <c r="B62" s="1" t="str">
        <f>VLOOKUP(A62,[1]Cleaned!$A:$J,2,0)</f>
        <v>Vijay K</v>
      </c>
      <c r="C62" t="str">
        <f>VLOOKUP(A62,[1]Cleaned!$A:$J,3,0)</f>
        <v>Accessories</v>
      </c>
      <c r="D62" s="2" t="str">
        <f>TEXT(VLOOKUP(A62,[1]Cleaned!$A:$J,4,0),"DD-MMM-YYYY")</f>
        <v>29-Aug-2023</v>
      </c>
      <c r="E62" s="3" t="str">
        <f>TEXT(VLOOKUP(A62,[1]Cleaned!$A:$J,5,0),"DD-MMM-YYYY")</f>
        <v>08-Sep-2023</v>
      </c>
      <c r="F62" t="str">
        <f>VLOOKUP(A62,[1]Cleaned!$A:$J,6,0)</f>
        <v>Mumbai</v>
      </c>
      <c r="G62">
        <f>VLOOKUP(A62,[1]Cleaned!$A:$J,9,0)</f>
        <v>9104.4</v>
      </c>
    </row>
    <row r="63" spans="1:7" x14ac:dyDescent="0.3">
      <c r="A63">
        <v>2061</v>
      </c>
      <c r="B63" s="1" t="str">
        <f>VLOOKUP(A63,[1]Cleaned!$A:$J,2,0)</f>
        <v>Saranya D</v>
      </c>
      <c r="C63" t="str">
        <f>VLOOKUP(A63,[1]Cleaned!$A:$J,3,0)</f>
        <v>Accessories</v>
      </c>
      <c r="D63" s="2" t="str">
        <f>TEXT(VLOOKUP(A63,[1]Cleaned!$A:$J,4,0),"DD-MMM-YYYY")</f>
        <v>23-Dec-2022</v>
      </c>
      <c r="E63" s="3" t="str">
        <f>TEXT(VLOOKUP(A63,[1]Cleaned!$A:$J,5,0),"DD-MMM-YYYY")</f>
        <v>03-Jan-2023</v>
      </c>
      <c r="F63" t="str">
        <f>VLOOKUP(A63,[1]Cleaned!$A:$J,6,0)</f>
        <v>Hyderabad</v>
      </c>
      <c r="G63">
        <f>VLOOKUP(A63,[1]Cleaned!$A:$J,9,0)</f>
        <v>11042.75</v>
      </c>
    </row>
    <row r="64" spans="1:7" x14ac:dyDescent="0.3">
      <c r="A64">
        <v>2062</v>
      </c>
      <c r="B64" s="1" t="str">
        <f>VLOOKUP(A64,[1]Cleaned!$A:$J,2,0)</f>
        <v>Divya T</v>
      </c>
      <c r="C64" t="str">
        <f>VLOOKUP(A64,[1]Cleaned!$A:$J,3,0)</f>
        <v>Dresses</v>
      </c>
      <c r="D64" s="2" t="str">
        <f>TEXT(VLOOKUP(A64,[1]Cleaned!$A:$J,4,0),"DD-MMM-YYYY")</f>
        <v>07-Mar-2023</v>
      </c>
      <c r="E64" s="3" t="str">
        <f>TEXT(VLOOKUP(A64,[1]Cleaned!$A:$J,5,0),"DD-MMM-YYYY")</f>
        <v>15-Mar-2023</v>
      </c>
      <c r="F64" t="str">
        <f>VLOOKUP(A64,[1]Cleaned!$A:$J,6,0)</f>
        <v>Ahmedabad</v>
      </c>
      <c r="G64">
        <f>VLOOKUP(A64,[1]Cleaned!$A:$J,9,0)</f>
        <v>14912.64</v>
      </c>
    </row>
    <row r="65" spans="1:7" x14ac:dyDescent="0.3">
      <c r="A65">
        <v>2063</v>
      </c>
      <c r="B65" s="1" t="str">
        <f>VLOOKUP(A65,[1]Cleaned!$A:$J,2,0)</f>
        <v>Saranya D</v>
      </c>
      <c r="C65" t="str">
        <f>VLOOKUP(A65,[1]Cleaned!$A:$J,3,0)</f>
        <v>T-Shirts</v>
      </c>
      <c r="D65" s="2" t="str">
        <f>TEXT(VLOOKUP(A65,[1]Cleaned!$A:$J,4,0),"DD-MMM-YYYY")</f>
        <v>12-Nov-2024</v>
      </c>
      <c r="E65" s="3" t="str">
        <f>TEXT(VLOOKUP(A65,[1]Cleaned!$A:$J,5,0),"DD-MMM-YYYY")</f>
        <v>21-Nov-2024</v>
      </c>
      <c r="F65" t="str">
        <f>VLOOKUP(A65,[1]Cleaned!$A:$J,6,0)</f>
        <v>Ahmedabad</v>
      </c>
      <c r="G65">
        <f>VLOOKUP(A65,[1]Cleaned!$A:$J,9,0)</f>
        <v>10189.799999999999</v>
      </c>
    </row>
    <row r="66" spans="1:7" x14ac:dyDescent="0.3">
      <c r="A66">
        <v>2064</v>
      </c>
      <c r="B66" s="1" t="str">
        <f>VLOOKUP(A66,[1]Cleaned!$A:$J,2,0)</f>
        <v>Santhosh P</v>
      </c>
      <c r="C66" t="str">
        <f>VLOOKUP(A66,[1]Cleaned!$A:$J,3,0)</f>
        <v>Accessories</v>
      </c>
      <c r="D66" s="2" t="str">
        <f>TEXT(VLOOKUP(A66,[1]Cleaned!$A:$J,4,0),"DD-MMM-YYYY")</f>
        <v>18-Nov-2023</v>
      </c>
      <c r="E66" s="3" t="str">
        <f>TEXT(VLOOKUP(A66,[1]Cleaned!$A:$J,5,0),"DD-MMM-YYYY")</f>
        <v>21-Nov-2023</v>
      </c>
      <c r="F66" t="str">
        <f>VLOOKUP(A66,[1]Cleaned!$A:$J,6,0)</f>
        <v>Ahmedabad</v>
      </c>
      <c r="G66">
        <f>VLOOKUP(A66,[1]Cleaned!$A:$J,9,0)</f>
        <v>13848.56</v>
      </c>
    </row>
    <row r="67" spans="1:7" x14ac:dyDescent="0.3">
      <c r="A67">
        <v>2065</v>
      </c>
      <c r="B67" s="1" t="str">
        <f>VLOOKUP(A67,[1]Cleaned!$A:$J,2,0)</f>
        <v>Meena Iyer</v>
      </c>
      <c r="C67" t="str">
        <f>VLOOKUP(A67,[1]Cleaned!$A:$J,3,0)</f>
        <v>T-Shirts</v>
      </c>
      <c r="D67" s="2" t="str">
        <f>TEXT(VLOOKUP(A67,[1]Cleaned!$A:$J,4,0),"DD-MMM-YYYY")</f>
        <v>20-Feb-2022</v>
      </c>
      <c r="E67" s="3" t="str">
        <f>TEXT(VLOOKUP(A67,[1]Cleaned!$A:$J,5,0),"DD-MMM-YYYY")</f>
        <v>22-Feb-2022</v>
      </c>
      <c r="F67" t="str">
        <f>VLOOKUP(A67,[1]Cleaned!$A:$J,6,0)</f>
        <v>Mumbai</v>
      </c>
      <c r="G67">
        <f>VLOOKUP(A67,[1]Cleaned!$A:$J,9,0)</f>
        <v>25383.919999999998</v>
      </c>
    </row>
    <row r="68" spans="1:7" x14ac:dyDescent="0.3">
      <c r="A68">
        <v>2066</v>
      </c>
      <c r="B68" s="1" t="str">
        <f>VLOOKUP(A68,[1]Cleaned!$A:$J,2,0)</f>
        <v>Rahul G</v>
      </c>
      <c r="C68" t="str">
        <f>VLOOKUP(A68,[1]Cleaned!$A:$J,3,0)</f>
        <v>Jackets</v>
      </c>
      <c r="D68" s="2" t="str">
        <f>TEXT(VLOOKUP(A68,[1]Cleaned!$A:$J,4,0),"DD-MMM-YYYY")</f>
        <v>03-Feb-2023</v>
      </c>
      <c r="E68" s="3" t="str">
        <f>TEXT(VLOOKUP(A68,[1]Cleaned!$A:$J,5,0),"DD-MMM-YYYY")</f>
        <v>16-Feb-2023</v>
      </c>
      <c r="F68" t="str">
        <f>VLOOKUP(A68,[1]Cleaned!$A:$J,6,0)</f>
        <v>Pune</v>
      </c>
      <c r="G68">
        <f>VLOOKUP(A68,[1]Cleaned!$A:$J,9,0)</f>
        <v>18364.990000000002</v>
      </c>
    </row>
    <row r="69" spans="1:7" x14ac:dyDescent="0.3">
      <c r="A69">
        <v>2067</v>
      </c>
      <c r="B69" s="1" t="str">
        <f>VLOOKUP(A69,[1]Cleaned!$A:$J,2,0)</f>
        <v>Deepa K</v>
      </c>
      <c r="C69" t="str">
        <f>VLOOKUP(A69,[1]Cleaned!$A:$J,3,0)</f>
        <v>Accessories</v>
      </c>
      <c r="D69" s="2" t="str">
        <f>TEXT(VLOOKUP(A69,[1]Cleaned!$A:$J,4,0),"DD-MMM-YYYY")</f>
        <v>12-Jan-2022</v>
      </c>
      <c r="E69" s="3" t="str">
        <f>TEXT(VLOOKUP(A69,[1]Cleaned!$A:$J,5,0),"DD-MMM-YYYY")</f>
        <v>26-Jan-2022</v>
      </c>
      <c r="F69" t="str">
        <f>VLOOKUP(A69,[1]Cleaned!$A:$J,6,0)</f>
        <v>Ahmedabad</v>
      </c>
      <c r="G69">
        <f>VLOOKUP(A69,[1]Cleaned!$A:$J,9,0)</f>
        <v>7917.16</v>
      </c>
    </row>
    <row r="70" spans="1:7" x14ac:dyDescent="0.3">
      <c r="A70">
        <v>2068</v>
      </c>
      <c r="B70" s="1" t="str">
        <f>VLOOKUP(A70,[1]Cleaned!$A:$J,2,0)</f>
        <v>Arjun Reddy</v>
      </c>
      <c r="C70" t="str">
        <f>VLOOKUP(A70,[1]Cleaned!$A:$J,3,0)</f>
        <v>Accessories</v>
      </c>
      <c r="D70" s="2" t="str">
        <f>TEXT(VLOOKUP(A70,[1]Cleaned!$A:$J,4,0),"DD-MMM-YYYY")</f>
        <v>26-Nov-2024</v>
      </c>
      <c r="E70" s="3" t="str">
        <f>TEXT(VLOOKUP(A70,[1]Cleaned!$A:$J,5,0),"DD-MMM-YYYY")</f>
        <v>05-Dec-2024</v>
      </c>
      <c r="F70" t="str">
        <f>VLOOKUP(A70,[1]Cleaned!$A:$J,6,0)</f>
        <v>Chennai</v>
      </c>
      <c r="G70">
        <f>VLOOKUP(A70,[1]Cleaned!$A:$J,9,0)</f>
        <v>18448.439999999999</v>
      </c>
    </row>
    <row r="71" spans="1:7" x14ac:dyDescent="0.3">
      <c r="A71">
        <v>2069</v>
      </c>
      <c r="B71" s="1" t="str">
        <f>VLOOKUP(A71,[1]Cleaned!$A:$J,2,0)</f>
        <v>Rahul G</v>
      </c>
      <c r="C71" t="str">
        <f>VLOOKUP(A71,[1]Cleaned!$A:$J,3,0)</f>
        <v>T-Shirts</v>
      </c>
      <c r="D71" s="2" t="str">
        <f>TEXT(VLOOKUP(A71,[1]Cleaned!$A:$J,4,0),"DD-MMM-YYYY")</f>
        <v>09-Aug-2024</v>
      </c>
      <c r="E71" s="3" t="str">
        <f>TEXT(VLOOKUP(A71,[1]Cleaned!$A:$J,5,0),"DD-MMM-YYYY")</f>
        <v>21-Aug-2024</v>
      </c>
      <c r="F71" t="str">
        <f>VLOOKUP(A71,[1]Cleaned!$A:$J,6,0)</f>
        <v>Hyderabad</v>
      </c>
      <c r="G71">
        <f>VLOOKUP(A71,[1]Cleaned!$A:$J,9,0)</f>
        <v>28591.14</v>
      </c>
    </row>
    <row r="72" spans="1:7" x14ac:dyDescent="0.3">
      <c r="A72">
        <v>2070</v>
      </c>
      <c r="B72" s="1" t="str">
        <f>VLOOKUP(A72,[1]Cleaned!$A:$J,2,0)</f>
        <v>Revathi A</v>
      </c>
      <c r="C72" t="str">
        <f>VLOOKUP(A72,[1]Cleaned!$A:$J,3,0)</f>
        <v>Accessories</v>
      </c>
      <c r="D72" s="2" t="str">
        <f>TEXT(VLOOKUP(A72,[1]Cleaned!$A:$J,4,0),"DD-MMM-YYYY")</f>
        <v>30-Oct-2024</v>
      </c>
      <c r="E72" s="3" t="str">
        <f>TEXT(VLOOKUP(A72,[1]Cleaned!$A:$J,5,0),"DD-MMM-YYYY")</f>
        <v>07-Nov-2024</v>
      </c>
      <c r="F72" t="str">
        <f>VLOOKUP(A72,[1]Cleaned!$A:$J,6,0)</f>
        <v>Ahmedabad</v>
      </c>
      <c r="G72">
        <f>VLOOKUP(A72,[1]Cleaned!$A:$J,9,0)</f>
        <v>36135.040000000001</v>
      </c>
    </row>
    <row r="73" spans="1:7" x14ac:dyDescent="0.3">
      <c r="A73">
        <v>2071</v>
      </c>
      <c r="B73" s="1" t="str">
        <f>VLOOKUP(A73,[1]Cleaned!$A:$J,2,0)</f>
        <v>Rahul G</v>
      </c>
      <c r="C73" t="str">
        <f>VLOOKUP(A73,[1]Cleaned!$A:$J,3,0)</f>
        <v>Dresses</v>
      </c>
      <c r="D73" s="2" t="str">
        <f>TEXT(VLOOKUP(A73,[1]Cleaned!$A:$J,4,0),"DD-MMM-YYYY")</f>
        <v>22-May-2023</v>
      </c>
      <c r="E73" s="3" t="str">
        <f>TEXT(VLOOKUP(A73,[1]Cleaned!$A:$J,5,0),"DD-MMM-YYYY")</f>
        <v>06-Jun-2023</v>
      </c>
      <c r="F73" t="str">
        <f>VLOOKUP(A73,[1]Cleaned!$A:$J,6,0)</f>
        <v>Pune</v>
      </c>
      <c r="G73">
        <f>VLOOKUP(A73,[1]Cleaned!$A:$J,9,0)</f>
        <v>19496.599999999999</v>
      </c>
    </row>
    <row r="74" spans="1:7" x14ac:dyDescent="0.3">
      <c r="A74">
        <v>2072</v>
      </c>
      <c r="B74" s="1" t="str">
        <f>VLOOKUP(A74,[1]Cleaned!$A:$J,2,0)</f>
        <v>Balaji N</v>
      </c>
      <c r="C74" t="str">
        <f>VLOOKUP(A74,[1]Cleaned!$A:$J,3,0)</f>
        <v>T-Shirts</v>
      </c>
      <c r="D74" s="2" t="str">
        <f>TEXT(VLOOKUP(A74,[1]Cleaned!$A:$J,4,0),"DD-MMM-YYYY")</f>
        <v>17-Jul-2023</v>
      </c>
      <c r="E74" s="3" t="str">
        <f>TEXT(VLOOKUP(A74,[1]Cleaned!$A:$J,5,0),"DD-MMM-YYYY")</f>
        <v>26-Jul-2023</v>
      </c>
      <c r="F74" t="str">
        <f>VLOOKUP(A74,[1]Cleaned!$A:$J,6,0)</f>
        <v>Chennai</v>
      </c>
      <c r="G74">
        <f>VLOOKUP(A74,[1]Cleaned!$A:$J,9,0)</f>
        <v>7010.6</v>
      </c>
    </row>
    <row r="75" spans="1:7" x14ac:dyDescent="0.3">
      <c r="A75">
        <v>2073</v>
      </c>
      <c r="B75" s="1" t="str">
        <f>VLOOKUP(A75,[1]Cleaned!$A:$J,2,0)</f>
        <v>Arun Pandi</v>
      </c>
      <c r="C75" t="str">
        <f>VLOOKUP(A75,[1]Cleaned!$A:$J,3,0)</f>
        <v>Shoes</v>
      </c>
      <c r="D75" s="2" t="str">
        <f>TEXT(VLOOKUP(A75,[1]Cleaned!$A:$J,4,0),"DD-MMM-YYYY")</f>
        <v>15-Jun-2022</v>
      </c>
      <c r="E75" s="3" t="str">
        <f>TEXT(VLOOKUP(A75,[1]Cleaned!$A:$J,5,0),"DD-MMM-YYYY")</f>
        <v>19-Jun-2022</v>
      </c>
      <c r="F75" t="str">
        <f>VLOOKUP(A75,[1]Cleaned!$A:$J,6,0)</f>
        <v>Mumbai</v>
      </c>
      <c r="G75">
        <f>VLOOKUP(A75,[1]Cleaned!$A:$J,9,0)</f>
        <v>8401.08</v>
      </c>
    </row>
    <row r="76" spans="1:7" x14ac:dyDescent="0.3">
      <c r="A76">
        <v>2074</v>
      </c>
      <c r="B76" s="1" t="str">
        <f>VLOOKUP(A76,[1]Cleaned!$A:$J,2,0)</f>
        <v>Ganesh R</v>
      </c>
      <c r="C76" t="str">
        <f>VLOOKUP(A76,[1]Cleaned!$A:$J,3,0)</f>
        <v>T-Shirts</v>
      </c>
      <c r="D76" s="2" t="str">
        <f>TEXT(VLOOKUP(A76,[1]Cleaned!$A:$J,4,0),"DD-MMM-YYYY")</f>
        <v>12-May-2022</v>
      </c>
      <c r="E76" s="3" t="str">
        <f>TEXT(VLOOKUP(A76,[1]Cleaned!$A:$J,5,0),"DD-MMM-YYYY")</f>
        <v>20-May-2022</v>
      </c>
      <c r="F76" t="str">
        <f>VLOOKUP(A76,[1]Cleaned!$A:$J,6,0)</f>
        <v>Bangalore</v>
      </c>
      <c r="G76">
        <f>VLOOKUP(A76,[1]Cleaned!$A:$J,9,0)</f>
        <v>17101.62</v>
      </c>
    </row>
    <row r="77" spans="1:7" x14ac:dyDescent="0.3">
      <c r="A77">
        <v>2075</v>
      </c>
      <c r="B77" s="1" t="str">
        <f>VLOOKUP(A77,[1]Cleaned!$A:$J,2,0)</f>
        <v>Karthik Vel</v>
      </c>
      <c r="C77" t="str">
        <f>VLOOKUP(A77,[1]Cleaned!$A:$J,3,0)</f>
        <v>T-Shirts</v>
      </c>
      <c r="D77" s="2" t="str">
        <f>TEXT(VLOOKUP(A77,[1]Cleaned!$A:$J,4,0),"DD-MMM-YYYY")</f>
        <v>10-May-2024</v>
      </c>
      <c r="E77" s="3" t="str">
        <f>TEXT(VLOOKUP(A77,[1]Cleaned!$A:$J,5,0),"DD-MMM-YYYY")</f>
        <v>18-May-2024</v>
      </c>
      <c r="F77" t="str">
        <f>VLOOKUP(A77,[1]Cleaned!$A:$J,6,0)</f>
        <v>Ahmedabad</v>
      </c>
      <c r="G77">
        <f>VLOOKUP(A77,[1]Cleaned!$A:$J,9,0)</f>
        <v>4326.6400000000003</v>
      </c>
    </row>
    <row r="78" spans="1:7" x14ac:dyDescent="0.3">
      <c r="A78">
        <v>2076</v>
      </c>
      <c r="B78" s="1" t="str">
        <f>VLOOKUP(A78,[1]Cleaned!$A:$J,2,0)</f>
        <v>Kavitha S</v>
      </c>
      <c r="C78" t="str">
        <f>VLOOKUP(A78,[1]Cleaned!$A:$J,3,0)</f>
        <v>Jeans</v>
      </c>
      <c r="D78" s="2" t="str">
        <f>TEXT(VLOOKUP(A78,[1]Cleaned!$A:$J,4,0),"DD-MMM-YYYY")</f>
        <v>22-Dec-2023</v>
      </c>
      <c r="E78" s="3" t="str">
        <f>TEXT(VLOOKUP(A78,[1]Cleaned!$A:$J,5,0),"DD-MMM-YYYY")</f>
        <v>28-Dec-2023</v>
      </c>
      <c r="F78" t="str">
        <f>VLOOKUP(A78,[1]Cleaned!$A:$J,6,0)</f>
        <v>Ahmedabad</v>
      </c>
      <c r="G78">
        <f>VLOOKUP(A78,[1]Cleaned!$A:$J,9,0)</f>
        <v>30178.47</v>
      </c>
    </row>
    <row r="79" spans="1:7" x14ac:dyDescent="0.3">
      <c r="A79">
        <v>2077</v>
      </c>
      <c r="B79" s="1" t="str">
        <f>VLOOKUP(A79,[1]Cleaned!$A:$J,2,0)</f>
        <v>Nithya R</v>
      </c>
      <c r="C79" t="str">
        <f>VLOOKUP(A79,[1]Cleaned!$A:$J,3,0)</f>
        <v>Accessories</v>
      </c>
      <c r="D79" s="2" t="str">
        <f>TEXT(VLOOKUP(A79,[1]Cleaned!$A:$J,4,0),"DD-MMM-YYYY")</f>
        <v>28-Mar-2023</v>
      </c>
      <c r="E79" s="3" t="str">
        <f>TEXT(VLOOKUP(A79,[1]Cleaned!$A:$J,5,0),"DD-MMM-YYYY")</f>
        <v>06-Apr-2023</v>
      </c>
      <c r="F79" t="str">
        <f>VLOOKUP(A79,[1]Cleaned!$A:$J,6,0)</f>
        <v>Mumbai</v>
      </c>
      <c r="G79">
        <f>VLOOKUP(A79,[1]Cleaned!$A:$J,9,0)</f>
        <v>11742.15</v>
      </c>
    </row>
    <row r="80" spans="1:7" x14ac:dyDescent="0.3">
      <c r="A80">
        <v>2078</v>
      </c>
      <c r="B80" s="1" t="str">
        <f>VLOOKUP(A80,[1]Cleaned!$A:$J,2,0)</f>
        <v>Vijay K</v>
      </c>
      <c r="C80" t="str">
        <f>VLOOKUP(A80,[1]Cleaned!$A:$J,3,0)</f>
        <v>Dresses</v>
      </c>
      <c r="D80" s="2" t="str">
        <f>TEXT(VLOOKUP(A80,[1]Cleaned!$A:$J,4,0),"DD-MMM-YYYY")</f>
        <v>08-Apr-2024</v>
      </c>
      <c r="E80" s="3" t="str">
        <f>TEXT(VLOOKUP(A80,[1]Cleaned!$A:$J,5,0),"DD-MMM-YYYY")</f>
        <v>21-Apr-2024</v>
      </c>
      <c r="F80" t="str">
        <f>VLOOKUP(A80,[1]Cleaned!$A:$J,6,0)</f>
        <v>Mumbai</v>
      </c>
      <c r="G80">
        <f>VLOOKUP(A80,[1]Cleaned!$A:$J,9,0)</f>
        <v>36974.800000000003</v>
      </c>
    </row>
    <row r="81" spans="1:7" x14ac:dyDescent="0.3">
      <c r="A81">
        <v>2079</v>
      </c>
      <c r="B81" s="1" t="str">
        <f>VLOOKUP(A81,[1]Cleaned!$A:$J,2,0)</f>
        <v>Vijay K</v>
      </c>
      <c r="C81" t="str">
        <f>VLOOKUP(A81,[1]Cleaned!$A:$J,3,0)</f>
        <v>Shoes</v>
      </c>
      <c r="D81" s="2" t="str">
        <f>TEXT(VLOOKUP(A81,[1]Cleaned!$A:$J,4,0),"DD-MMM-YYYY")</f>
        <v>25-Feb-2022</v>
      </c>
      <c r="E81" s="3" t="str">
        <f>TEXT(VLOOKUP(A81,[1]Cleaned!$A:$J,5,0),"DD-MMM-YYYY")</f>
        <v>28-Feb-2022</v>
      </c>
      <c r="F81" t="str">
        <f>VLOOKUP(A81,[1]Cleaned!$A:$J,6,0)</f>
        <v>Pune</v>
      </c>
      <c r="G81">
        <f>VLOOKUP(A81,[1]Cleaned!$A:$J,9,0)</f>
        <v>6564.53</v>
      </c>
    </row>
    <row r="82" spans="1:7" x14ac:dyDescent="0.3">
      <c r="A82">
        <v>2080</v>
      </c>
      <c r="B82" s="1" t="str">
        <f>VLOOKUP(A82,[1]Cleaned!$A:$J,2,0)</f>
        <v>Arjun Reddy</v>
      </c>
      <c r="C82" t="str">
        <f>VLOOKUP(A82,[1]Cleaned!$A:$J,3,0)</f>
        <v>Jeans</v>
      </c>
      <c r="D82" s="2" t="str">
        <f>TEXT(VLOOKUP(A82,[1]Cleaned!$A:$J,4,0),"DD-MMM-YYYY")</f>
        <v>17-Jun-2023</v>
      </c>
      <c r="E82" s="3" t="str">
        <f>TEXT(VLOOKUP(A82,[1]Cleaned!$A:$J,5,0),"DD-MMM-YYYY")</f>
        <v>25-Jun-2023</v>
      </c>
      <c r="F82" t="str">
        <f>VLOOKUP(A82,[1]Cleaned!$A:$J,6,0)</f>
        <v>Delhi</v>
      </c>
      <c r="G82">
        <f>VLOOKUP(A82,[1]Cleaned!$A:$J,9,0)</f>
        <v>9748.36</v>
      </c>
    </row>
    <row r="83" spans="1:7" x14ac:dyDescent="0.3">
      <c r="A83">
        <v>2081</v>
      </c>
      <c r="B83" s="1" t="str">
        <f>VLOOKUP(A83,[1]Cleaned!$A:$J,2,0)</f>
        <v>Prakash V</v>
      </c>
      <c r="C83" t="str">
        <f>VLOOKUP(A83,[1]Cleaned!$A:$J,3,0)</f>
        <v>Jackets</v>
      </c>
      <c r="D83" s="2" t="str">
        <f>TEXT(VLOOKUP(A83,[1]Cleaned!$A:$J,4,0),"DD-MMM-YYYY")</f>
        <v>24-Jul-2023</v>
      </c>
      <c r="E83" s="3" t="str">
        <f>TEXT(VLOOKUP(A83,[1]Cleaned!$A:$J,5,0),"DD-MMM-YYYY")</f>
        <v>07-Aug-2023</v>
      </c>
      <c r="F83" t="str">
        <f>VLOOKUP(A83,[1]Cleaned!$A:$J,6,0)</f>
        <v>Ahmedabad</v>
      </c>
      <c r="G83">
        <f>VLOOKUP(A83,[1]Cleaned!$A:$J,9,0)</f>
        <v>10399.76</v>
      </c>
    </row>
    <row r="84" spans="1:7" x14ac:dyDescent="0.3">
      <c r="A84">
        <v>2082</v>
      </c>
      <c r="B84" s="1" t="str">
        <f>VLOOKUP(A84,[1]Cleaned!$A:$J,2,0)</f>
        <v>Kavitha S</v>
      </c>
      <c r="C84" t="str">
        <f>VLOOKUP(A84,[1]Cleaned!$A:$J,3,0)</f>
        <v>Jeans</v>
      </c>
      <c r="D84" s="2" t="str">
        <f>TEXT(VLOOKUP(A84,[1]Cleaned!$A:$J,4,0),"DD-MMM-YYYY")</f>
        <v>17-Apr-2022</v>
      </c>
      <c r="E84" s="3" t="str">
        <f>TEXT(VLOOKUP(A84,[1]Cleaned!$A:$J,5,0),"DD-MMM-YYYY")</f>
        <v>24-Apr-2022</v>
      </c>
      <c r="F84" t="str">
        <f>VLOOKUP(A84,[1]Cleaned!$A:$J,6,0)</f>
        <v>Mumbai</v>
      </c>
      <c r="G84">
        <f>VLOOKUP(A84,[1]Cleaned!$A:$J,9,0)</f>
        <v>7943.6</v>
      </c>
    </row>
    <row r="85" spans="1:7" x14ac:dyDescent="0.3">
      <c r="A85">
        <v>2083</v>
      </c>
      <c r="B85" s="1" t="str">
        <f>VLOOKUP(A85,[1]Cleaned!$A:$J,2,0)</f>
        <v>Prakash V</v>
      </c>
      <c r="C85" t="str">
        <f>VLOOKUP(A85,[1]Cleaned!$A:$J,3,0)</f>
        <v>Jeans</v>
      </c>
      <c r="D85" s="2" t="str">
        <f>TEXT(VLOOKUP(A85,[1]Cleaned!$A:$J,4,0),"DD-MMM-YYYY")</f>
        <v>22-May-2023</v>
      </c>
      <c r="E85" s="3" t="str">
        <f>TEXT(VLOOKUP(A85,[1]Cleaned!$A:$J,5,0),"DD-MMM-YYYY")</f>
        <v>27-May-2023</v>
      </c>
      <c r="F85" t="str">
        <f>VLOOKUP(A85,[1]Cleaned!$A:$J,6,0)</f>
        <v>Ahmedabad</v>
      </c>
      <c r="G85">
        <f>VLOOKUP(A85,[1]Cleaned!$A:$J,9,0)</f>
        <v>3220.28</v>
      </c>
    </row>
    <row r="86" spans="1:7" x14ac:dyDescent="0.3">
      <c r="A86">
        <v>2084</v>
      </c>
      <c r="B86" s="1" t="str">
        <f>VLOOKUP(A86,[1]Cleaned!$A:$J,2,0)</f>
        <v>Deepa K</v>
      </c>
      <c r="C86" t="str">
        <f>VLOOKUP(A86,[1]Cleaned!$A:$J,3,0)</f>
        <v>Jackets</v>
      </c>
      <c r="D86" s="2" t="str">
        <f>TEXT(VLOOKUP(A86,[1]Cleaned!$A:$J,4,0),"DD-MMM-YYYY")</f>
        <v>23-Aug-2022</v>
      </c>
      <c r="E86" s="3" t="str">
        <f>TEXT(VLOOKUP(A86,[1]Cleaned!$A:$J,5,0),"DD-MMM-YYYY")</f>
        <v>03-Sep-2022</v>
      </c>
      <c r="F86" t="str">
        <f>VLOOKUP(A86,[1]Cleaned!$A:$J,6,0)</f>
        <v>Mumbai</v>
      </c>
      <c r="G86">
        <f>VLOOKUP(A86,[1]Cleaned!$A:$J,9,0)</f>
        <v>28699.919999999998</v>
      </c>
    </row>
    <row r="87" spans="1:7" x14ac:dyDescent="0.3">
      <c r="A87">
        <v>2085</v>
      </c>
      <c r="B87" s="1" t="str">
        <f>VLOOKUP(A87,[1]Cleaned!$A:$J,2,0)</f>
        <v>Arjun Reddy</v>
      </c>
      <c r="C87" t="str">
        <f>VLOOKUP(A87,[1]Cleaned!$A:$J,3,0)</f>
        <v>Shoes</v>
      </c>
      <c r="D87" s="2" t="str">
        <f>TEXT(VLOOKUP(A87,[1]Cleaned!$A:$J,4,0),"DD-MMM-YYYY")</f>
        <v>23-Aug-2022</v>
      </c>
      <c r="E87" s="3" t="str">
        <f>TEXT(VLOOKUP(A87,[1]Cleaned!$A:$J,5,0),"DD-MMM-YYYY")</f>
        <v>06-Sep-2022</v>
      </c>
      <c r="F87" t="str">
        <f>VLOOKUP(A87,[1]Cleaned!$A:$J,6,0)</f>
        <v>Ahmedabad</v>
      </c>
      <c r="G87">
        <f>VLOOKUP(A87,[1]Cleaned!$A:$J,9,0)</f>
        <v>14502.57</v>
      </c>
    </row>
    <row r="88" spans="1:7" x14ac:dyDescent="0.3">
      <c r="A88">
        <v>2086</v>
      </c>
      <c r="B88" s="1" t="str">
        <f>VLOOKUP(A88,[1]Cleaned!$A:$J,2,0)</f>
        <v>Manoj K</v>
      </c>
      <c r="C88" t="str">
        <f>VLOOKUP(A88,[1]Cleaned!$A:$J,3,0)</f>
        <v>Jeans</v>
      </c>
      <c r="D88" s="2" t="str">
        <f>TEXT(VLOOKUP(A88,[1]Cleaned!$A:$J,4,0),"DD-MMM-YYYY")</f>
        <v>01-Oct-2023</v>
      </c>
      <c r="E88" s="3" t="str">
        <f>TEXT(VLOOKUP(A88,[1]Cleaned!$A:$J,5,0),"DD-MMM-YYYY")</f>
        <v>12-Oct-2023</v>
      </c>
      <c r="F88" t="str">
        <f>VLOOKUP(A88,[1]Cleaned!$A:$J,6,0)</f>
        <v>Pune</v>
      </c>
      <c r="G88">
        <f>VLOOKUP(A88,[1]Cleaned!$A:$J,9,0)</f>
        <v>15149.96</v>
      </c>
    </row>
    <row r="89" spans="1:7" x14ac:dyDescent="0.3">
      <c r="A89">
        <v>2087</v>
      </c>
      <c r="B89" s="1" t="str">
        <f>VLOOKUP(A89,[1]Cleaned!$A:$J,2,0)</f>
        <v>Priya Nair</v>
      </c>
      <c r="C89" t="str">
        <f>VLOOKUP(A89,[1]Cleaned!$A:$J,3,0)</f>
        <v>Shoes</v>
      </c>
      <c r="D89" s="2" t="str">
        <f>TEXT(VLOOKUP(A89,[1]Cleaned!$A:$J,4,0),"DD-MMM-YYYY")</f>
        <v>13-May-2023</v>
      </c>
      <c r="E89" s="3" t="str">
        <f>TEXT(VLOOKUP(A89,[1]Cleaned!$A:$J,5,0),"DD-MMM-YYYY")</f>
        <v>16-May-2023</v>
      </c>
      <c r="F89" t="str">
        <f>VLOOKUP(A89,[1]Cleaned!$A:$J,6,0)</f>
        <v>Pune</v>
      </c>
      <c r="G89">
        <f>VLOOKUP(A89,[1]Cleaned!$A:$J,9,0)</f>
        <v>21481.9</v>
      </c>
    </row>
    <row r="90" spans="1:7" x14ac:dyDescent="0.3">
      <c r="A90">
        <v>2088</v>
      </c>
      <c r="B90" s="1" t="str">
        <f>VLOOKUP(A90,[1]Cleaned!$A:$J,2,0)</f>
        <v>Manoj K</v>
      </c>
      <c r="C90" t="str">
        <f>VLOOKUP(A90,[1]Cleaned!$A:$J,3,0)</f>
        <v>Jeans</v>
      </c>
      <c r="D90" s="2" t="str">
        <f>TEXT(VLOOKUP(A90,[1]Cleaned!$A:$J,4,0),"DD-MMM-YYYY")</f>
        <v>13-Dec-2023</v>
      </c>
      <c r="E90" s="3" t="str">
        <f>TEXT(VLOOKUP(A90,[1]Cleaned!$A:$J,5,0),"DD-MMM-YYYY")</f>
        <v>23-Dec-2023</v>
      </c>
      <c r="F90" t="str">
        <f>VLOOKUP(A90,[1]Cleaned!$A:$J,6,0)</f>
        <v>Bangalore</v>
      </c>
      <c r="G90">
        <f>VLOOKUP(A90,[1]Cleaned!$A:$J,9,0)</f>
        <v>3744.6</v>
      </c>
    </row>
    <row r="91" spans="1:7" x14ac:dyDescent="0.3">
      <c r="A91">
        <v>2089</v>
      </c>
      <c r="B91" s="1" t="str">
        <f>VLOOKUP(A91,[1]Cleaned!$A:$J,2,0)</f>
        <v>Anitha Raj</v>
      </c>
      <c r="C91" t="str">
        <f>VLOOKUP(A91,[1]Cleaned!$A:$J,3,0)</f>
        <v>Jackets</v>
      </c>
      <c r="D91" s="2" t="str">
        <f>TEXT(VLOOKUP(A91,[1]Cleaned!$A:$J,4,0),"DD-MMM-YYYY")</f>
        <v>30-Sep-2024</v>
      </c>
      <c r="E91" s="3" t="str">
        <f>TEXT(VLOOKUP(A91,[1]Cleaned!$A:$J,5,0),"DD-MMM-YYYY")</f>
        <v>03-Oct-2024</v>
      </c>
      <c r="F91" t="str">
        <f>VLOOKUP(A91,[1]Cleaned!$A:$J,6,0)</f>
        <v>Bangalore</v>
      </c>
      <c r="G91">
        <f>VLOOKUP(A91,[1]Cleaned!$A:$J,9,0)</f>
        <v>19723.5</v>
      </c>
    </row>
    <row r="92" spans="1:7" x14ac:dyDescent="0.3">
      <c r="A92">
        <v>2090</v>
      </c>
      <c r="B92" s="1" t="str">
        <f>VLOOKUP(A92,[1]Cleaned!$A:$J,2,0)</f>
        <v>Ganesh R</v>
      </c>
      <c r="C92" t="str">
        <f>VLOOKUP(A92,[1]Cleaned!$A:$J,3,0)</f>
        <v>T-Shirts</v>
      </c>
      <c r="D92" s="2" t="str">
        <f>TEXT(VLOOKUP(A92,[1]Cleaned!$A:$J,4,0),"DD-MMM-YYYY")</f>
        <v>10-Jun-2024</v>
      </c>
      <c r="E92" s="3" t="str">
        <f>TEXT(VLOOKUP(A92,[1]Cleaned!$A:$J,5,0),"DD-MMM-YYYY")</f>
        <v>14-Jun-2024</v>
      </c>
      <c r="F92" t="str">
        <f>VLOOKUP(A92,[1]Cleaned!$A:$J,6,0)</f>
        <v>Pune</v>
      </c>
      <c r="G92">
        <f>VLOOKUP(A92,[1]Cleaned!$A:$J,9,0)</f>
        <v>15973.95</v>
      </c>
    </row>
    <row r="93" spans="1:7" x14ac:dyDescent="0.3">
      <c r="A93">
        <v>2091</v>
      </c>
      <c r="B93" s="1" t="str">
        <f>VLOOKUP(A93,[1]Cleaned!$A:$J,2,0)</f>
        <v>Rahul G</v>
      </c>
      <c r="C93" t="str">
        <f>VLOOKUP(A93,[1]Cleaned!$A:$J,3,0)</f>
        <v>Jackets</v>
      </c>
      <c r="D93" s="2" t="str">
        <f>TEXT(VLOOKUP(A93,[1]Cleaned!$A:$J,4,0),"DD-MMM-YYYY")</f>
        <v>04-Jul-2023</v>
      </c>
      <c r="E93" s="3" t="str">
        <f>TEXT(VLOOKUP(A93,[1]Cleaned!$A:$J,5,0),"DD-MMM-YYYY")</f>
        <v>11-Jul-2023</v>
      </c>
      <c r="F93" t="str">
        <f>VLOOKUP(A93,[1]Cleaned!$A:$J,6,0)</f>
        <v>Ahmedabad</v>
      </c>
      <c r="G93">
        <f>VLOOKUP(A93,[1]Cleaned!$A:$J,9,0)</f>
        <v>16817.759999999998</v>
      </c>
    </row>
    <row r="94" spans="1:7" x14ac:dyDescent="0.3">
      <c r="A94">
        <v>2092</v>
      </c>
      <c r="B94" s="1" t="str">
        <f>VLOOKUP(A94,[1]Cleaned!$A:$J,2,0)</f>
        <v>Ravi Kumar</v>
      </c>
      <c r="C94" t="str">
        <f>VLOOKUP(A94,[1]Cleaned!$A:$J,3,0)</f>
        <v>Jackets</v>
      </c>
      <c r="D94" s="2" t="str">
        <f>TEXT(VLOOKUP(A94,[1]Cleaned!$A:$J,4,0),"DD-MMM-YYYY")</f>
        <v>15-May-2023</v>
      </c>
      <c r="E94" s="3" t="str">
        <f>TEXT(VLOOKUP(A94,[1]Cleaned!$A:$J,5,0),"DD-MMM-YYYY")</f>
        <v>29-May-2023</v>
      </c>
      <c r="F94" t="str">
        <f>VLOOKUP(A94,[1]Cleaned!$A:$J,6,0)</f>
        <v>Bangalore</v>
      </c>
      <c r="G94">
        <f>VLOOKUP(A94,[1]Cleaned!$A:$J,9,0)</f>
        <v>13167.42</v>
      </c>
    </row>
    <row r="95" spans="1:7" x14ac:dyDescent="0.3">
      <c r="A95">
        <v>2093</v>
      </c>
      <c r="B95" s="1" t="str">
        <f>VLOOKUP(A95,[1]Cleaned!$A:$J,2,0)</f>
        <v>Arun Pandi</v>
      </c>
      <c r="C95" t="str">
        <f>VLOOKUP(A95,[1]Cleaned!$A:$J,3,0)</f>
        <v>T-Shirts</v>
      </c>
      <c r="D95" s="2" t="str">
        <f>TEXT(VLOOKUP(A95,[1]Cleaned!$A:$J,4,0),"DD-MMM-YYYY")</f>
        <v>25-Sep-2024</v>
      </c>
      <c r="E95" s="3" t="str">
        <f>TEXT(VLOOKUP(A95,[1]Cleaned!$A:$J,5,0),"DD-MMM-YYYY")</f>
        <v>30-Sep-2024</v>
      </c>
      <c r="F95" t="str">
        <f>VLOOKUP(A95,[1]Cleaned!$A:$J,6,0)</f>
        <v>Delhi</v>
      </c>
      <c r="G95">
        <f>VLOOKUP(A95,[1]Cleaned!$A:$J,9,0)</f>
        <v>9497.9500000000007</v>
      </c>
    </row>
    <row r="96" spans="1:7" x14ac:dyDescent="0.3">
      <c r="A96">
        <v>2094</v>
      </c>
      <c r="B96" s="1" t="str">
        <f>VLOOKUP(A96,[1]Cleaned!$A:$J,2,0)</f>
        <v>Nithya R</v>
      </c>
      <c r="C96" t="str">
        <f>VLOOKUP(A96,[1]Cleaned!$A:$J,3,0)</f>
        <v>Jeans</v>
      </c>
      <c r="D96" s="2" t="str">
        <f>TEXT(VLOOKUP(A96,[1]Cleaned!$A:$J,4,0),"DD-MMM-YYYY")</f>
        <v>24-Nov-2024</v>
      </c>
      <c r="E96" s="3" t="str">
        <f>TEXT(VLOOKUP(A96,[1]Cleaned!$A:$J,5,0),"DD-MMM-YYYY")</f>
        <v>29-Nov-2024</v>
      </c>
      <c r="F96" t="str">
        <f>VLOOKUP(A96,[1]Cleaned!$A:$J,6,0)</f>
        <v>Chennai</v>
      </c>
      <c r="G96">
        <f>VLOOKUP(A96,[1]Cleaned!$A:$J,9,0)</f>
        <v>14737.4</v>
      </c>
    </row>
    <row r="97" spans="1:7" x14ac:dyDescent="0.3">
      <c r="A97">
        <v>2095</v>
      </c>
      <c r="B97" s="1" t="str">
        <f>VLOOKUP(A97,[1]Cleaned!$A:$J,2,0)</f>
        <v>Nithya R</v>
      </c>
      <c r="C97" t="str">
        <f>VLOOKUP(A97,[1]Cleaned!$A:$J,3,0)</f>
        <v>T-Shirts</v>
      </c>
      <c r="D97" s="2" t="str">
        <f>TEXT(VLOOKUP(A97,[1]Cleaned!$A:$J,4,0),"DD-MMM-YYYY")</f>
        <v>02-Sep-2024</v>
      </c>
      <c r="E97" s="3" t="str">
        <f>TEXT(VLOOKUP(A97,[1]Cleaned!$A:$J,5,0),"DD-MMM-YYYY")</f>
        <v>14-Sep-2024</v>
      </c>
      <c r="F97" t="str">
        <f>VLOOKUP(A97,[1]Cleaned!$A:$J,6,0)</f>
        <v>Pune</v>
      </c>
      <c r="G97">
        <f>VLOOKUP(A97,[1]Cleaned!$A:$J,9,0)</f>
        <v>19251.36</v>
      </c>
    </row>
    <row r="98" spans="1:7" x14ac:dyDescent="0.3">
      <c r="A98">
        <v>2096</v>
      </c>
      <c r="B98" s="1" t="str">
        <f>VLOOKUP(A98,[1]Cleaned!$A:$J,2,0)</f>
        <v>Priya Nair</v>
      </c>
      <c r="C98" t="str">
        <f>VLOOKUP(A98,[1]Cleaned!$A:$J,3,0)</f>
        <v>Dresses</v>
      </c>
      <c r="D98" s="2" t="str">
        <f>TEXT(VLOOKUP(A98,[1]Cleaned!$A:$J,4,0),"DD-MMM-YYYY")</f>
        <v>30-Mar-2023</v>
      </c>
      <c r="E98" s="3" t="str">
        <f>TEXT(VLOOKUP(A98,[1]Cleaned!$A:$J,5,0),"DD-MMM-YYYY")</f>
        <v>07-Apr-2023</v>
      </c>
      <c r="F98" t="str">
        <f>VLOOKUP(A98,[1]Cleaned!$A:$J,6,0)</f>
        <v>Pune</v>
      </c>
      <c r="G98">
        <f>VLOOKUP(A98,[1]Cleaned!$A:$J,9,0)</f>
        <v>6956.68</v>
      </c>
    </row>
    <row r="99" spans="1:7" x14ac:dyDescent="0.3">
      <c r="A99">
        <v>2097</v>
      </c>
      <c r="B99" s="1" t="str">
        <f>VLOOKUP(A99,[1]Cleaned!$A:$J,2,0)</f>
        <v>Kavitha S</v>
      </c>
      <c r="C99" t="str">
        <f>VLOOKUP(A99,[1]Cleaned!$A:$J,3,0)</f>
        <v>Shoes</v>
      </c>
      <c r="D99" s="2" t="str">
        <f>TEXT(VLOOKUP(A99,[1]Cleaned!$A:$J,4,0),"DD-MMM-YYYY")</f>
        <v>23-Dec-2024</v>
      </c>
      <c r="E99" s="3" t="str">
        <f>TEXT(VLOOKUP(A99,[1]Cleaned!$A:$J,5,0),"DD-MMM-YYYY")</f>
        <v>30-Dec-2024</v>
      </c>
      <c r="F99" t="str">
        <f>VLOOKUP(A99,[1]Cleaned!$A:$J,6,0)</f>
        <v>Bangalore</v>
      </c>
      <c r="G99">
        <f>VLOOKUP(A99,[1]Cleaned!$A:$J,9,0)</f>
        <v>11721.06</v>
      </c>
    </row>
    <row r="100" spans="1:7" x14ac:dyDescent="0.3">
      <c r="A100">
        <v>2098</v>
      </c>
      <c r="B100" s="1" t="str">
        <f>VLOOKUP(A100,[1]Cleaned!$A:$J,2,0)</f>
        <v>Ravi Kumar</v>
      </c>
      <c r="C100" t="str">
        <f>VLOOKUP(A100,[1]Cleaned!$A:$J,3,0)</f>
        <v>Dresses</v>
      </c>
      <c r="D100" s="2" t="str">
        <f>TEXT(VLOOKUP(A100,[1]Cleaned!$A:$J,4,0),"DD-MMM-YYYY")</f>
        <v>30-May-2023</v>
      </c>
      <c r="E100" s="3" t="str">
        <f>TEXT(VLOOKUP(A100,[1]Cleaned!$A:$J,5,0),"DD-MMM-YYYY")</f>
        <v>04-Jun-2023</v>
      </c>
      <c r="F100" t="str">
        <f>VLOOKUP(A100,[1]Cleaned!$A:$J,6,0)</f>
        <v>Chennai</v>
      </c>
      <c r="G100">
        <f>VLOOKUP(A100,[1]Cleaned!$A:$J,9,0)</f>
        <v>7132.32</v>
      </c>
    </row>
    <row r="101" spans="1:7" x14ac:dyDescent="0.3">
      <c r="A101">
        <v>2099</v>
      </c>
      <c r="B101" s="1" t="str">
        <f>VLOOKUP(A101,[1]Cleaned!$A:$J,2,0)</f>
        <v>Meena Iyer</v>
      </c>
      <c r="C101" t="str">
        <f>VLOOKUP(A101,[1]Cleaned!$A:$J,3,0)</f>
        <v>T-Shirts</v>
      </c>
      <c r="D101" s="2" t="str">
        <f>TEXT(VLOOKUP(A101,[1]Cleaned!$A:$J,4,0),"DD-MMM-YYYY")</f>
        <v>18-Sep-2024</v>
      </c>
      <c r="E101" s="3" t="str">
        <f>TEXT(VLOOKUP(A101,[1]Cleaned!$A:$J,5,0),"DD-MMM-YYYY")</f>
        <v>24-Sep-2024</v>
      </c>
      <c r="F101" t="str">
        <f>VLOOKUP(A101,[1]Cleaned!$A:$J,6,0)</f>
        <v>Pune</v>
      </c>
      <c r="G101">
        <f>VLOOKUP(A101,[1]Cleaned!$A:$J,9,0)</f>
        <v>24542</v>
      </c>
    </row>
    <row r="102" spans="1:7" x14ac:dyDescent="0.3">
      <c r="A102">
        <v>2100</v>
      </c>
      <c r="B102" s="1" t="str">
        <f>VLOOKUP(A102,[1]Cleaned!$A:$J,2,0)</f>
        <v>Divya T</v>
      </c>
      <c r="C102" t="str">
        <f>VLOOKUP(A102,[1]Cleaned!$A:$J,3,0)</f>
        <v>T-Shirts</v>
      </c>
      <c r="D102" s="2" t="str">
        <f>TEXT(VLOOKUP(A102,[1]Cleaned!$A:$J,4,0),"DD-MMM-YYYY")</f>
        <v>10-Jan-2024</v>
      </c>
      <c r="E102" s="3" t="str">
        <f>TEXT(VLOOKUP(A102,[1]Cleaned!$A:$J,5,0),"DD-MMM-YYYY")</f>
        <v>14-Jan-2024</v>
      </c>
      <c r="F102" t="str">
        <f>VLOOKUP(A102,[1]Cleaned!$A:$J,6,0)</f>
        <v>Delhi</v>
      </c>
      <c r="G102">
        <f>VLOOKUP(A102,[1]Cleaned!$A:$J,9,0)</f>
        <v>3627.69</v>
      </c>
    </row>
    <row r="103" spans="1:7" x14ac:dyDescent="0.3">
      <c r="A103">
        <v>2101</v>
      </c>
      <c r="B103" s="1" t="str">
        <f>VLOOKUP(A103,[1]Cleaned!$A:$J,2,0)</f>
        <v>Ravi Kumar</v>
      </c>
      <c r="C103" t="str">
        <f>VLOOKUP(A103,[1]Cleaned!$A:$J,3,0)</f>
        <v>Jeans</v>
      </c>
      <c r="D103" s="2" t="str">
        <f>TEXT(VLOOKUP(A103,[1]Cleaned!$A:$J,4,0),"DD-MMM-YYYY")</f>
        <v>22-Apr-2022</v>
      </c>
      <c r="E103" s="3" t="str">
        <f>TEXT(VLOOKUP(A103,[1]Cleaned!$A:$J,5,0),"DD-MMM-YYYY")</f>
        <v>02-May-2022</v>
      </c>
      <c r="F103" t="str">
        <f>VLOOKUP(A103,[1]Cleaned!$A:$J,6,0)</f>
        <v>Delhi</v>
      </c>
      <c r="G103">
        <f>VLOOKUP(A103,[1]Cleaned!$A:$J,9,0)</f>
        <v>9893.9699999999993</v>
      </c>
    </row>
    <row r="104" spans="1:7" x14ac:dyDescent="0.3">
      <c r="A104">
        <v>2102</v>
      </c>
      <c r="B104" s="1" t="str">
        <f>VLOOKUP(A104,[1]Cleaned!$A:$J,2,0)</f>
        <v>Suresh M</v>
      </c>
      <c r="C104" t="str">
        <f>VLOOKUP(A104,[1]Cleaned!$A:$J,3,0)</f>
        <v>Jeans</v>
      </c>
      <c r="D104" s="2" t="str">
        <f>TEXT(VLOOKUP(A104,[1]Cleaned!$A:$J,4,0),"DD-MMM-YYYY")</f>
        <v>06-Aug-2023</v>
      </c>
      <c r="E104" s="3" t="str">
        <f>TEXT(VLOOKUP(A104,[1]Cleaned!$A:$J,5,0),"DD-MMM-YYYY")</f>
        <v>15-Aug-2023</v>
      </c>
      <c r="F104" t="str">
        <f>VLOOKUP(A104,[1]Cleaned!$A:$J,6,0)</f>
        <v>Bangalore</v>
      </c>
      <c r="G104">
        <f>VLOOKUP(A104,[1]Cleaned!$A:$J,9,0)</f>
        <v>15210.56</v>
      </c>
    </row>
    <row r="105" spans="1:7" x14ac:dyDescent="0.3">
      <c r="A105">
        <v>2103</v>
      </c>
      <c r="B105" s="1" t="str">
        <f>VLOOKUP(A105,[1]Cleaned!$A:$J,2,0)</f>
        <v>Ravi Kumar</v>
      </c>
      <c r="C105" t="str">
        <f>VLOOKUP(A105,[1]Cleaned!$A:$J,3,0)</f>
        <v>Jackets</v>
      </c>
      <c r="D105" s="2" t="str">
        <f>TEXT(VLOOKUP(A105,[1]Cleaned!$A:$J,4,0),"DD-MMM-YYYY")</f>
        <v>22-Aug-2022</v>
      </c>
      <c r="E105" s="3" t="str">
        <f>TEXT(VLOOKUP(A105,[1]Cleaned!$A:$J,5,0),"DD-MMM-YYYY")</f>
        <v>06-Sep-2022</v>
      </c>
      <c r="F105" t="str">
        <f>VLOOKUP(A105,[1]Cleaned!$A:$J,6,0)</f>
        <v>Chennai</v>
      </c>
      <c r="G105">
        <f>VLOOKUP(A105,[1]Cleaned!$A:$J,9,0)</f>
        <v>18278.47</v>
      </c>
    </row>
    <row r="106" spans="1:7" x14ac:dyDescent="0.3">
      <c r="A106">
        <v>2104</v>
      </c>
      <c r="B106" s="1" t="str">
        <f>VLOOKUP(A106,[1]Cleaned!$A:$J,2,0)</f>
        <v>Deepa K</v>
      </c>
      <c r="C106" t="str">
        <f>VLOOKUP(A106,[1]Cleaned!$A:$J,3,0)</f>
        <v>T-Shirts</v>
      </c>
      <c r="D106" s="2" t="str">
        <f>TEXT(VLOOKUP(A106,[1]Cleaned!$A:$J,4,0),"DD-MMM-YYYY")</f>
        <v>15-Sep-2023</v>
      </c>
      <c r="E106" s="3" t="str">
        <f>TEXT(VLOOKUP(A106,[1]Cleaned!$A:$J,5,0),"DD-MMM-YYYY")</f>
        <v>18-Sep-2023</v>
      </c>
      <c r="F106" t="str">
        <f>VLOOKUP(A106,[1]Cleaned!$A:$J,6,0)</f>
        <v>Mumbai</v>
      </c>
      <c r="G106">
        <f>VLOOKUP(A106,[1]Cleaned!$A:$J,9,0)</f>
        <v>5845.88</v>
      </c>
    </row>
    <row r="107" spans="1:7" x14ac:dyDescent="0.3">
      <c r="A107">
        <v>2105</v>
      </c>
      <c r="B107" s="1" t="str">
        <f>VLOOKUP(A107,[1]Cleaned!$A:$J,2,0)</f>
        <v>Revathi A</v>
      </c>
      <c r="C107" t="str">
        <f>VLOOKUP(A107,[1]Cleaned!$A:$J,3,0)</f>
        <v>Shoes</v>
      </c>
      <c r="D107" s="2" t="str">
        <f>TEXT(VLOOKUP(A107,[1]Cleaned!$A:$J,4,0),"DD-MMM-YYYY")</f>
        <v>08-Apr-2023</v>
      </c>
      <c r="E107" s="3" t="str">
        <f>TEXT(VLOOKUP(A107,[1]Cleaned!$A:$J,5,0),"DD-MMM-YYYY")</f>
        <v>22-Apr-2023</v>
      </c>
      <c r="F107" t="str">
        <f>VLOOKUP(A107,[1]Cleaned!$A:$J,6,0)</f>
        <v>Hyderabad</v>
      </c>
      <c r="G107">
        <f>VLOOKUP(A107,[1]Cleaned!$A:$J,9,0)</f>
        <v>16921.939999999999</v>
      </c>
    </row>
    <row r="108" spans="1:7" x14ac:dyDescent="0.3">
      <c r="A108">
        <v>2106</v>
      </c>
      <c r="B108" s="1" t="str">
        <f>VLOOKUP(A108,[1]Cleaned!$A:$J,2,0)</f>
        <v>Divya T</v>
      </c>
      <c r="C108" t="str">
        <f>VLOOKUP(A108,[1]Cleaned!$A:$J,3,0)</f>
        <v>Shoes</v>
      </c>
      <c r="D108" s="2" t="str">
        <f>TEXT(VLOOKUP(A108,[1]Cleaned!$A:$J,4,0),"DD-MMM-YYYY")</f>
        <v>28-May-2024</v>
      </c>
      <c r="E108" s="3" t="str">
        <f>TEXT(VLOOKUP(A108,[1]Cleaned!$A:$J,5,0),"DD-MMM-YYYY")</f>
        <v>03-Jun-2024</v>
      </c>
      <c r="F108" t="str">
        <f>VLOOKUP(A108,[1]Cleaned!$A:$J,6,0)</f>
        <v>Hyderabad</v>
      </c>
      <c r="G108">
        <f>VLOOKUP(A108,[1]Cleaned!$A:$J,9,0)</f>
        <v>3165.27</v>
      </c>
    </row>
    <row r="109" spans="1:7" x14ac:dyDescent="0.3">
      <c r="A109">
        <v>2107</v>
      </c>
      <c r="B109" s="1" t="str">
        <f>VLOOKUP(A109,[1]Cleaned!$A:$J,2,0)</f>
        <v>Prakash V</v>
      </c>
      <c r="C109" t="str">
        <f>VLOOKUP(A109,[1]Cleaned!$A:$J,3,0)</f>
        <v>T-Shirts</v>
      </c>
      <c r="D109" s="2" t="str">
        <f>TEXT(VLOOKUP(A109,[1]Cleaned!$A:$J,4,0),"DD-MMM-YYYY")</f>
        <v>09-Mar-2023</v>
      </c>
      <c r="E109" s="3" t="str">
        <f>TEXT(VLOOKUP(A109,[1]Cleaned!$A:$J,5,0),"DD-MMM-YYYY")</f>
        <v>15-Mar-2023</v>
      </c>
      <c r="F109" t="str">
        <f>VLOOKUP(A109,[1]Cleaned!$A:$J,6,0)</f>
        <v>Pune</v>
      </c>
      <c r="G109">
        <f>VLOOKUP(A109,[1]Cleaned!$A:$J,9,0)</f>
        <v>2076.34</v>
      </c>
    </row>
    <row r="110" spans="1:7" x14ac:dyDescent="0.3">
      <c r="A110">
        <v>2108</v>
      </c>
      <c r="B110" s="1" t="str">
        <f>VLOOKUP(A110,[1]Cleaned!$A:$J,2,0)</f>
        <v>Nithya R</v>
      </c>
      <c r="C110" t="str">
        <f>VLOOKUP(A110,[1]Cleaned!$A:$J,3,0)</f>
        <v>Jeans</v>
      </c>
      <c r="D110" s="2" t="str">
        <f>TEXT(VLOOKUP(A110,[1]Cleaned!$A:$J,4,0),"DD-MMM-YYYY")</f>
        <v>17-Nov-2022</v>
      </c>
      <c r="E110" s="3" t="str">
        <f>TEXT(VLOOKUP(A110,[1]Cleaned!$A:$J,5,0),"DD-MMM-YYYY")</f>
        <v>19-Nov-2022</v>
      </c>
      <c r="F110" t="str">
        <f>VLOOKUP(A110,[1]Cleaned!$A:$J,6,0)</f>
        <v>Bangalore</v>
      </c>
      <c r="G110">
        <f>VLOOKUP(A110,[1]Cleaned!$A:$J,9,0)</f>
        <v>28320.32</v>
      </c>
    </row>
    <row r="111" spans="1:7" x14ac:dyDescent="0.3">
      <c r="A111">
        <v>2109</v>
      </c>
      <c r="B111" s="1" t="str">
        <f>VLOOKUP(A111,[1]Cleaned!$A:$J,2,0)</f>
        <v>Divya T</v>
      </c>
      <c r="C111" t="str">
        <f>VLOOKUP(A111,[1]Cleaned!$A:$J,3,0)</f>
        <v>Jeans</v>
      </c>
      <c r="D111" s="2" t="str">
        <f>TEXT(VLOOKUP(A111,[1]Cleaned!$A:$J,4,0),"DD-MMM-YYYY")</f>
        <v>20-Apr-2023</v>
      </c>
      <c r="E111" s="3" t="str">
        <f>TEXT(VLOOKUP(A111,[1]Cleaned!$A:$J,5,0),"DD-MMM-YYYY")</f>
        <v>26-Apr-2023</v>
      </c>
      <c r="F111" t="str">
        <f>VLOOKUP(A111,[1]Cleaned!$A:$J,6,0)</f>
        <v>Pune</v>
      </c>
      <c r="G111">
        <f>VLOOKUP(A111,[1]Cleaned!$A:$J,9,0)</f>
        <v>18020.2</v>
      </c>
    </row>
    <row r="112" spans="1:7" x14ac:dyDescent="0.3">
      <c r="A112">
        <v>2110</v>
      </c>
      <c r="B112" s="1" t="str">
        <f>VLOOKUP(A112,[1]Cleaned!$A:$J,2,0)</f>
        <v>Priya Nair</v>
      </c>
      <c r="C112" t="str">
        <f>VLOOKUP(A112,[1]Cleaned!$A:$J,3,0)</f>
        <v>Accessories</v>
      </c>
      <c r="D112" s="2" t="str">
        <f>TEXT(VLOOKUP(A112,[1]Cleaned!$A:$J,4,0),"DD-MMM-YYYY")</f>
        <v>24-Apr-2023</v>
      </c>
      <c r="E112" s="3" t="str">
        <f>TEXT(VLOOKUP(A112,[1]Cleaned!$A:$J,5,0),"DD-MMM-YYYY")</f>
        <v>30-Apr-2023</v>
      </c>
      <c r="F112" t="str">
        <f>VLOOKUP(A112,[1]Cleaned!$A:$J,6,0)</f>
        <v>Ahmedabad</v>
      </c>
      <c r="G112">
        <f>VLOOKUP(A112,[1]Cleaned!$A:$J,9,0)</f>
        <v>9192.6</v>
      </c>
    </row>
    <row r="113" spans="1:7" x14ac:dyDescent="0.3">
      <c r="A113">
        <v>2111</v>
      </c>
      <c r="B113" s="1" t="str">
        <f>VLOOKUP(A113,[1]Cleaned!$A:$J,2,0)</f>
        <v>Balaji N</v>
      </c>
      <c r="C113" t="str">
        <f>VLOOKUP(A113,[1]Cleaned!$A:$J,3,0)</f>
        <v>T-Shirts</v>
      </c>
      <c r="D113" s="2" t="str">
        <f>TEXT(VLOOKUP(A113,[1]Cleaned!$A:$J,4,0),"DD-MMM-YYYY")</f>
        <v>29-Jun-2023</v>
      </c>
      <c r="E113" s="3" t="str">
        <f>TEXT(VLOOKUP(A113,[1]Cleaned!$A:$J,5,0),"DD-MMM-YYYY")</f>
        <v>14-Jul-2023</v>
      </c>
      <c r="F113" t="str">
        <f>VLOOKUP(A113,[1]Cleaned!$A:$J,6,0)</f>
        <v>Mumbai</v>
      </c>
      <c r="G113">
        <f>VLOOKUP(A113,[1]Cleaned!$A:$J,9,0)</f>
        <v>1160.5999999999999</v>
      </c>
    </row>
    <row r="114" spans="1:7" x14ac:dyDescent="0.3">
      <c r="A114">
        <v>2112</v>
      </c>
      <c r="B114" s="1" t="str">
        <f>VLOOKUP(A114,[1]Cleaned!$A:$J,2,0)</f>
        <v>Revathi A</v>
      </c>
      <c r="C114" t="str">
        <f>VLOOKUP(A114,[1]Cleaned!$A:$J,3,0)</f>
        <v>Accessories</v>
      </c>
      <c r="D114" s="2" t="str">
        <f>TEXT(VLOOKUP(A114,[1]Cleaned!$A:$J,4,0),"DD-MMM-YYYY")</f>
        <v>15-Aug-2023</v>
      </c>
      <c r="E114" s="3" t="str">
        <f>TEXT(VLOOKUP(A114,[1]Cleaned!$A:$J,5,0),"DD-MMM-YYYY")</f>
        <v>24-Aug-2023</v>
      </c>
      <c r="F114" t="str">
        <f>VLOOKUP(A114,[1]Cleaned!$A:$J,6,0)</f>
        <v>Chennai</v>
      </c>
      <c r="G114">
        <f>VLOOKUP(A114,[1]Cleaned!$A:$J,9,0)</f>
        <v>28294.32</v>
      </c>
    </row>
    <row r="115" spans="1:7" x14ac:dyDescent="0.3">
      <c r="A115">
        <v>2113</v>
      </c>
      <c r="B115" s="1" t="str">
        <f>VLOOKUP(A115,[1]Cleaned!$A:$J,2,0)</f>
        <v>Ravi Kumar</v>
      </c>
      <c r="C115" t="str">
        <f>VLOOKUP(A115,[1]Cleaned!$A:$J,3,0)</f>
        <v>Shoes</v>
      </c>
      <c r="D115" s="2" t="str">
        <f>TEXT(VLOOKUP(A115,[1]Cleaned!$A:$J,4,0),"DD-MMM-YYYY")</f>
        <v>08-Oct-2024</v>
      </c>
      <c r="E115" s="3" t="str">
        <f>TEXT(VLOOKUP(A115,[1]Cleaned!$A:$J,5,0),"DD-MMM-YYYY")</f>
        <v>17-Oct-2024</v>
      </c>
      <c r="F115" t="str">
        <f>VLOOKUP(A115,[1]Cleaned!$A:$J,6,0)</f>
        <v>Chennai</v>
      </c>
      <c r="G115">
        <f>VLOOKUP(A115,[1]Cleaned!$A:$J,9,0)</f>
        <v>4480.29</v>
      </c>
    </row>
    <row r="116" spans="1:7" x14ac:dyDescent="0.3">
      <c r="A116">
        <v>2114</v>
      </c>
      <c r="B116" s="1" t="str">
        <f>VLOOKUP(A116,[1]Cleaned!$A:$J,2,0)</f>
        <v>Revathi A</v>
      </c>
      <c r="C116" t="str">
        <f>VLOOKUP(A116,[1]Cleaned!$A:$J,3,0)</f>
        <v>Dresses</v>
      </c>
      <c r="D116" s="2" t="str">
        <f>TEXT(VLOOKUP(A116,[1]Cleaned!$A:$J,4,0),"DD-MMM-YYYY")</f>
        <v>22-Feb-2022</v>
      </c>
      <c r="E116" s="3" t="str">
        <f>TEXT(VLOOKUP(A116,[1]Cleaned!$A:$J,5,0),"DD-MMM-YYYY")</f>
        <v>25-Feb-2022</v>
      </c>
      <c r="F116" t="str">
        <f>VLOOKUP(A116,[1]Cleaned!$A:$J,6,0)</f>
        <v>Mumbai</v>
      </c>
      <c r="G116">
        <f>VLOOKUP(A116,[1]Cleaned!$A:$J,9,0)</f>
        <v>4997.99</v>
      </c>
    </row>
    <row r="117" spans="1:7" x14ac:dyDescent="0.3">
      <c r="A117">
        <v>2115</v>
      </c>
      <c r="B117" s="1" t="str">
        <f>VLOOKUP(A117,[1]Cleaned!$A:$J,2,0)</f>
        <v>Manoj K</v>
      </c>
      <c r="C117" t="str">
        <f>VLOOKUP(A117,[1]Cleaned!$A:$J,3,0)</f>
        <v>Jeans</v>
      </c>
      <c r="D117" s="2" t="str">
        <f>TEXT(VLOOKUP(A117,[1]Cleaned!$A:$J,4,0),"DD-MMM-YYYY")</f>
        <v>25-Dec-2022</v>
      </c>
      <c r="E117" s="3" t="str">
        <f>TEXT(VLOOKUP(A117,[1]Cleaned!$A:$J,5,0),"DD-MMM-YYYY")</f>
        <v>03-Jan-2023</v>
      </c>
      <c r="F117" t="str">
        <f>VLOOKUP(A117,[1]Cleaned!$A:$J,6,0)</f>
        <v>Hyderabad</v>
      </c>
      <c r="G117">
        <f>VLOOKUP(A117,[1]Cleaned!$A:$J,9,0)</f>
        <v>36844.32</v>
      </c>
    </row>
    <row r="118" spans="1:7" x14ac:dyDescent="0.3">
      <c r="A118">
        <v>2116</v>
      </c>
      <c r="B118" s="1" t="str">
        <f>VLOOKUP(A118,[1]Cleaned!$A:$J,2,0)</f>
        <v>Manoj K</v>
      </c>
      <c r="C118" t="str">
        <f>VLOOKUP(A118,[1]Cleaned!$A:$J,3,0)</f>
        <v>Jackets</v>
      </c>
      <c r="D118" s="2" t="str">
        <f>TEXT(VLOOKUP(A118,[1]Cleaned!$A:$J,4,0),"DD-MMM-YYYY")</f>
        <v>04-Oct-2024</v>
      </c>
      <c r="E118" s="3" t="str">
        <f>TEXT(VLOOKUP(A118,[1]Cleaned!$A:$J,5,0),"DD-MMM-YYYY")</f>
        <v>07-Oct-2024</v>
      </c>
      <c r="F118" t="str">
        <f>VLOOKUP(A118,[1]Cleaned!$A:$J,6,0)</f>
        <v>Bangalore</v>
      </c>
      <c r="G118">
        <f>VLOOKUP(A118,[1]Cleaned!$A:$J,9,0)</f>
        <v>13315.44</v>
      </c>
    </row>
    <row r="119" spans="1:7" x14ac:dyDescent="0.3">
      <c r="A119">
        <v>2117</v>
      </c>
      <c r="B119" s="1" t="str">
        <f>VLOOKUP(A119,[1]Cleaned!$A:$J,2,0)</f>
        <v>Saranya D</v>
      </c>
      <c r="C119" t="str">
        <f>VLOOKUP(A119,[1]Cleaned!$A:$J,3,0)</f>
        <v>Jeans</v>
      </c>
      <c r="D119" s="2" t="str">
        <f>TEXT(VLOOKUP(A119,[1]Cleaned!$A:$J,4,0),"DD-MMM-YYYY")</f>
        <v>26-Nov-2022</v>
      </c>
      <c r="E119" s="3" t="str">
        <f>TEXT(VLOOKUP(A119,[1]Cleaned!$A:$J,5,0),"DD-MMM-YYYY")</f>
        <v>03-Dec-2022</v>
      </c>
      <c r="F119" t="str">
        <f>VLOOKUP(A119,[1]Cleaned!$A:$J,6,0)</f>
        <v>Bangalore</v>
      </c>
      <c r="G119">
        <f>VLOOKUP(A119,[1]Cleaned!$A:$J,9,0)</f>
        <v>13236.96</v>
      </c>
    </row>
    <row r="120" spans="1:7" x14ac:dyDescent="0.3">
      <c r="A120">
        <v>2118</v>
      </c>
      <c r="B120" s="1" t="str">
        <f>VLOOKUP(A120,[1]Cleaned!$A:$J,2,0)</f>
        <v>Prakash V</v>
      </c>
      <c r="C120" t="str">
        <f>VLOOKUP(A120,[1]Cleaned!$A:$J,3,0)</f>
        <v>Shoes</v>
      </c>
      <c r="D120" s="2" t="str">
        <f>TEXT(VLOOKUP(A120,[1]Cleaned!$A:$J,4,0),"DD-MMM-YYYY")</f>
        <v>17-Mar-2022</v>
      </c>
      <c r="E120" s="3" t="str">
        <f>TEXT(VLOOKUP(A120,[1]Cleaned!$A:$J,5,0),"DD-MMM-YYYY")</f>
        <v>26-Mar-2022</v>
      </c>
      <c r="F120" t="str">
        <f>VLOOKUP(A120,[1]Cleaned!$A:$J,6,0)</f>
        <v>Chennai</v>
      </c>
      <c r="G120">
        <f>VLOOKUP(A120,[1]Cleaned!$A:$J,9,0)</f>
        <v>8917.6200000000008</v>
      </c>
    </row>
    <row r="121" spans="1:7" x14ac:dyDescent="0.3">
      <c r="A121">
        <v>2119</v>
      </c>
      <c r="B121" s="1" t="str">
        <f>VLOOKUP(A121,[1]Cleaned!$A:$J,2,0)</f>
        <v>Prakash V</v>
      </c>
      <c r="C121" t="str">
        <f>VLOOKUP(A121,[1]Cleaned!$A:$J,3,0)</f>
        <v>Jackets</v>
      </c>
      <c r="D121" s="2" t="str">
        <f>TEXT(VLOOKUP(A121,[1]Cleaned!$A:$J,4,0),"DD-MMM-YYYY")</f>
        <v>19-Nov-2024</v>
      </c>
      <c r="E121" s="3" t="str">
        <f>TEXT(VLOOKUP(A121,[1]Cleaned!$A:$J,5,0),"DD-MMM-YYYY")</f>
        <v>04-Dec-2024</v>
      </c>
      <c r="F121" t="str">
        <f>VLOOKUP(A121,[1]Cleaned!$A:$J,6,0)</f>
        <v>Chennai</v>
      </c>
      <c r="G121">
        <f>VLOOKUP(A121,[1]Cleaned!$A:$J,9,0)</f>
        <v>17938.080000000002</v>
      </c>
    </row>
    <row r="122" spans="1:7" x14ac:dyDescent="0.3">
      <c r="A122">
        <v>2120</v>
      </c>
      <c r="B122" s="1" t="str">
        <f>VLOOKUP(A122,[1]Cleaned!$A:$J,2,0)</f>
        <v>Santhosh P</v>
      </c>
      <c r="C122" t="str">
        <f>VLOOKUP(A122,[1]Cleaned!$A:$J,3,0)</f>
        <v>Dresses</v>
      </c>
      <c r="D122" s="2" t="str">
        <f>TEXT(VLOOKUP(A122,[1]Cleaned!$A:$J,4,0),"DD-MMM-YYYY")</f>
        <v>17-Oct-2024</v>
      </c>
      <c r="E122" s="3" t="str">
        <f>TEXT(VLOOKUP(A122,[1]Cleaned!$A:$J,5,0),"DD-MMM-YYYY")</f>
        <v>29-Oct-2024</v>
      </c>
      <c r="F122" t="str">
        <f>VLOOKUP(A122,[1]Cleaned!$A:$J,6,0)</f>
        <v>Bangalore</v>
      </c>
      <c r="G122">
        <f>VLOOKUP(A122,[1]Cleaned!$A:$J,9,0)</f>
        <v>1256.72</v>
      </c>
    </row>
    <row r="123" spans="1:7" x14ac:dyDescent="0.3">
      <c r="A123">
        <v>2121</v>
      </c>
      <c r="B123" s="1" t="str">
        <f>VLOOKUP(A123,[1]Cleaned!$A:$J,2,0)</f>
        <v>Divya T</v>
      </c>
      <c r="C123" t="str">
        <f>VLOOKUP(A123,[1]Cleaned!$A:$J,3,0)</f>
        <v>Jackets</v>
      </c>
      <c r="D123" s="2" t="str">
        <f>TEXT(VLOOKUP(A123,[1]Cleaned!$A:$J,4,0),"DD-MMM-YYYY")</f>
        <v>19-Sep-2024</v>
      </c>
      <c r="E123" s="3" t="str">
        <f>TEXT(VLOOKUP(A123,[1]Cleaned!$A:$J,5,0),"DD-MMM-YYYY")</f>
        <v>22-Sep-2024</v>
      </c>
      <c r="F123" t="str">
        <f>VLOOKUP(A123,[1]Cleaned!$A:$J,6,0)</f>
        <v>Chennai</v>
      </c>
      <c r="G123">
        <f>VLOOKUP(A123,[1]Cleaned!$A:$J,9,0)</f>
        <v>14543.92</v>
      </c>
    </row>
    <row r="124" spans="1:7" x14ac:dyDescent="0.3">
      <c r="A124">
        <v>2122</v>
      </c>
      <c r="B124" s="1" t="str">
        <f>VLOOKUP(A124,[1]Cleaned!$A:$J,2,0)</f>
        <v>Nithya R</v>
      </c>
      <c r="C124" t="str">
        <f>VLOOKUP(A124,[1]Cleaned!$A:$J,3,0)</f>
        <v>Jeans</v>
      </c>
      <c r="D124" s="2" t="str">
        <f>TEXT(VLOOKUP(A124,[1]Cleaned!$A:$J,4,0),"DD-MMM-YYYY")</f>
        <v>15-Apr-2024</v>
      </c>
      <c r="E124" s="3" t="str">
        <f>TEXT(VLOOKUP(A124,[1]Cleaned!$A:$J,5,0),"DD-MMM-YYYY")</f>
        <v>18-Apr-2024</v>
      </c>
      <c r="F124" t="str">
        <f>VLOOKUP(A124,[1]Cleaned!$A:$J,6,0)</f>
        <v>Mumbai</v>
      </c>
      <c r="G124">
        <f>VLOOKUP(A124,[1]Cleaned!$A:$J,9,0)</f>
        <v>4937.62</v>
      </c>
    </row>
    <row r="125" spans="1:7" x14ac:dyDescent="0.3">
      <c r="A125">
        <v>2123</v>
      </c>
      <c r="B125" s="1" t="str">
        <f>VLOOKUP(A125,[1]Cleaned!$A:$J,2,0)</f>
        <v>Balaji N</v>
      </c>
      <c r="C125" t="str">
        <f>VLOOKUP(A125,[1]Cleaned!$A:$J,3,0)</f>
        <v>T-Shirts</v>
      </c>
      <c r="D125" s="2" t="str">
        <f>TEXT(VLOOKUP(A125,[1]Cleaned!$A:$J,4,0),"DD-MMM-YYYY")</f>
        <v>17-Oct-2024</v>
      </c>
      <c r="E125" s="3" t="str">
        <f>TEXT(VLOOKUP(A125,[1]Cleaned!$A:$J,5,0),"DD-MMM-YYYY")</f>
        <v>30-Oct-2024</v>
      </c>
      <c r="F125" t="str">
        <f>VLOOKUP(A125,[1]Cleaned!$A:$J,6,0)</f>
        <v>Delhi</v>
      </c>
      <c r="G125">
        <f>VLOOKUP(A125,[1]Cleaned!$A:$J,9,0)</f>
        <v>11264</v>
      </c>
    </row>
    <row r="126" spans="1:7" x14ac:dyDescent="0.3">
      <c r="A126">
        <v>2124</v>
      </c>
      <c r="B126" s="1" t="str">
        <f>VLOOKUP(A126,[1]Cleaned!$A:$J,2,0)</f>
        <v>Kavitha S</v>
      </c>
      <c r="C126" t="str">
        <f>VLOOKUP(A126,[1]Cleaned!$A:$J,3,0)</f>
        <v>T-Shirts</v>
      </c>
      <c r="D126" s="2" t="str">
        <f>TEXT(VLOOKUP(A126,[1]Cleaned!$A:$J,4,0),"DD-MMM-YYYY")</f>
        <v>24-Jul-2024</v>
      </c>
      <c r="E126" s="3" t="str">
        <f>TEXT(VLOOKUP(A126,[1]Cleaned!$A:$J,5,0),"DD-MMM-YYYY")</f>
        <v>03-Aug-2024</v>
      </c>
      <c r="F126" t="str">
        <f>VLOOKUP(A126,[1]Cleaned!$A:$J,6,0)</f>
        <v>Mumbai</v>
      </c>
      <c r="G126">
        <f>VLOOKUP(A126,[1]Cleaned!$A:$J,9,0)</f>
        <v>8371.09</v>
      </c>
    </row>
    <row r="127" spans="1:7" x14ac:dyDescent="0.3">
      <c r="A127">
        <v>2125</v>
      </c>
      <c r="B127" s="1" t="str">
        <f>VLOOKUP(A127,[1]Cleaned!$A:$J,2,0)</f>
        <v>Priya Nair</v>
      </c>
      <c r="C127" t="str">
        <f>VLOOKUP(A127,[1]Cleaned!$A:$J,3,0)</f>
        <v>Dresses</v>
      </c>
      <c r="D127" s="2" t="str">
        <f>TEXT(VLOOKUP(A127,[1]Cleaned!$A:$J,4,0),"DD-MMM-YYYY")</f>
        <v>29-Apr-2024</v>
      </c>
      <c r="E127" s="3" t="str">
        <f>TEXT(VLOOKUP(A127,[1]Cleaned!$A:$J,5,0),"DD-MMM-YYYY")</f>
        <v>06-May-2024</v>
      </c>
      <c r="F127" t="str">
        <f>VLOOKUP(A127,[1]Cleaned!$A:$J,6,0)</f>
        <v>Ahmedabad</v>
      </c>
      <c r="G127">
        <f>VLOOKUP(A127,[1]Cleaned!$A:$J,9,0)</f>
        <v>20782.900000000001</v>
      </c>
    </row>
    <row r="128" spans="1:7" x14ac:dyDescent="0.3">
      <c r="A128">
        <v>2126</v>
      </c>
      <c r="B128" s="1" t="str">
        <f>VLOOKUP(A128,[1]Cleaned!$A:$J,2,0)</f>
        <v>Uma S</v>
      </c>
      <c r="C128" t="str">
        <f>VLOOKUP(A128,[1]Cleaned!$A:$J,3,0)</f>
        <v>Dresses</v>
      </c>
      <c r="D128" s="2" t="str">
        <f>TEXT(VLOOKUP(A128,[1]Cleaned!$A:$J,4,0),"DD-MMM-YYYY")</f>
        <v>29-Sep-2024</v>
      </c>
      <c r="E128" s="3" t="str">
        <f>TEXT(VLOOKUP(A128,[1]Cleaned!$A:$J,5,0),"DD-MMM-YYYY")</f>
        <v>14-Oct-2024</v>
      </c>
      <c r="F128" t="str">
        <f>VLOOKUP(A128,[1]Cleaned!$A:$J,6,0)</f>
        <v>Mumbai</v>
      </c>
      <c r="G128">
        <f>VLOOKUP(A128,[1]Cleaned!$A:$J,9,0)</f>
        <v>22650.639999999999</v>
      </c>
    </row>
    <row r="129" spans="1:7" x14ac:dyDescent="0.3">
      <c r="A129">
        <v>2127</v>
      </c>
      <c r="B129" s="1" t="str">
        <f>VLOOKUP(A129,[1]Cleaned!$A:$J,2,0)</f>
        <v>Arun Pandi</v>
      </c>
      <c r="C129" t="str">
        <f>VLOOKUP(A129,[1]Cleaned!$A:$J,3,0)</f>
        <v>Shoes</v>
      </c>
      <c r="D129" s="2" t="str">
        <f>TEXT(VLOOKUP(A129,[1]Cleaned!$A:$J,4,0),"DD-MMM-YYYY")</f>
        <v>12-Feb-2024</v>
      </c>
      <c r="E129" s="3" t="str">
        <f>TEXT(VLOOKUP(A129,[1]Cleaned!$A:$J,5,0),"DD-MMM-YYYY")</f>
        <v>21-Feb-2024</v>
      </c>
      <c r="F129" t="str">
        <f>VLOOKUP(A129,[1]Cleaned!$A:$J,6,0)</f>
        <v>Delhi</v>
      </c>
      <c r="G129">
        <f>VLOOKUP(A129,[1]Cleaned!$A:$J,9,0)</f>
        <v>19638.560000000001</v>
      </c>
    </row>
    <row r="130" spans="1:7" x14ac:dyDescent="0.3">
      <c r="A130">
        <v>2128</v>
      </c>
      <c r="B130" s="1" t="str">
        <f>VLOOKUP(A130,[1]Cleaned!$A:$J,2,0)</f>
        <v>Manoj K</v>
      </c>
      <c r="C130" t="str">
        <f>VLOOKUP(A130,[1]Cleaned!$A:$J,3,0)</f>
        <v>Jackets</v>
      </c>
      <c r="D130" s="2" t="str">
        <f>TEXT(VLOOKUP(A130,[1]Cleaned!$A:$J,4,0),"DD-MMM-YYYY")</f>
        <v>24-Apr-2023</v>
      </c>
      <c r="E130" s="3" t="str">
        <f>TEXT(VLOOKUP(A130,[1]Cleaned!$A:$J,5,0),"DD-MMM-YYYY")</f>
        <v>09-May-2023</v>
      </c>
      <c r="F130" t="str">
        <f>VLOOKUP(A130,[1]Cleaned!$A:$J,6,0)</f>
        <v>Ahmedabad</v>
      </c>
      <c r="G130">
        <f>VLOOKUP(A130,[1]Cleaned!$A:$J,9,0)</f>
        <v>3535.98</v>
      </c>
    </row>
    <row r="131" spans="1:7" x14ac:dyDescent="0.3">
      <c r="A131">
        <v>2129</v>
      </c>
      <c r="B131" s="1" t="str">
        <f>VLOOKUP(A131,[1]Cleaned!$A:$J,2,0)</f>
        <v>Ganesh R</v>
      </c>
      <c r="C131" t="str">
        <f>VLOOKUP(A131,[1]Cleaned!$A:$J,3,0)</f>
        <v>Jackets</v>
      </c>
      <c r="D131" s="2" t="str">
        <f>TEXT(VLOOKUP(A131,[1]Cleaned!$A:$J,4,0),"DD-MMM-YYYY")</f>
        <v>01-Mar-2024</v>
      </c>
      <c r="E131" s="3" t="str">
        <f>TEXT(VLOOKUP(A131,[1]Cleaned!$A:$J,5,0),"DD-MMM-YYYY")</f>
        <v>13-Mar-2024</v>
      </c>
      <c r="F131" t="str">
        <f>VLOOKUP(A131,[1]Cleaned!$A:$J,6,0)</f>
        <v>Ahmedabad</v>
      </c>
      <c r="G131">
        <f>VLOOKUP(A131,[1]Cleaned!$A:$J,9,0)</f>
        <v>7884.12</v>
      </c>
    </row>
    <row r="132" spans="1:7" x14ac:dyDescent="0.3">
      <c r="A132">
        <v>2130</v>
      </c>
      <c r="B132" s="1" t="str">
        <f>VLOOKUP(A132,[1]Cleaned!$A:$J,2,0)</f>
        <v>Deepa K</v>
      </c>
      <c r="C132" t="str">
        <f>VLOOKUP(A132,[1]Cleaned!$A:$J,3,0)</f>
        <v>Shoes</v>
      </c>
      <c r="D132" s="2" t="str">
        <f>TEXT(VLOOKUP(A132,[1]Cleaned!$A:$J,4,0),"DD-MMM-YYYY")</f>
        <v>11-Nov-2023</v>
      </c>
      <c r="E132" s="3" t="str">
        <f>TEXT(VLOOKUP(A132,[1]Cleaned!$A:$J,5,0),"DD-MMM-YYYY")</f>
        <v>26-Nov-2023</v>
      </c>
      <c r="F132" t="str">
        <f>VLOOKUP(A132,[1]Cleaned!$A:$J,6,0)</f>
        <v>Chennai</v>
      </c>
      <c r="G132">
        <f>VLOOKUP(A132,[1]Cleaned!$A:$J,9,0)</f>
        <v>6149.12</v>
      </c>
    </row>
    <row r="133" spans="1:7" x14ac:dyDescent="0.3">
      <c r="A133">
        <v>2131</v>
      </c>
      <c r="B133" s="1" t="str">
        <f>VLOOKUP(A133,[1]Cleaned!$A:$J,2,0)</f>
        <v>Anitha Raj</v>
      </c>
      <c r="C133" t="str">
        <f>VLOOKUP(A133,[1]Cleaned!$A:$J,3,0)</f>
        <v>Accessories</v>
      </c>
      <c r="D133" s="2" t="str">
        <f>TEXT(VLOOKUP(A133,[1]Cleaned!$A:$J,4,0),"DD-MMM-YYYY")</f>
        <v>23-Oct-2022</v>
      </c>
      <c r="E133" s="3" t="str">
        <f>TEXT(VLOOKUP(A133,[1]Cleaned!$A:$J,5,0),"DD-MMM-YYYY")</f>
        <v>31-Oct-2022</v>
      </c>
      <c r="F133" t="str">
        <f>VLOOKUP(A133,[1]Cleaned!$A:$J,6,0)</f>
        <v>Ahmedabad</v>
      </c>
      <c r="G133">
        <f>VLOOKUP(A133,[1]Cleaned!$A:$J,9,0)</f>
        <v>1955.07</v>
      </c>
    </row>
    <row r="134" spans="1:7" x14ac:dyDescent="0.3">
      <c r="A134">
        <v>2132</v>
      </c>
      <c r="B134" s="1" t="str">
        <f>VLOOKUP(A134,[1]Cleaned!$A:$J,2,0)</f>
        <v>Arun Pandi</v>
      </c>
      <c r="C134" t="str">
        <f>VLOOKUP(A134,[1]Cleaned!$A:$J,3,0)</f>
        <v>Shoes</v>
      </c>
      <c r="D134" s="2" t="str">
        <f>TEXT(VLOOKUP(A134,[1]Cleaned!$A:$J,4,0),"DD-MMM-YYYY")</f>
        <v>25-Mar-2024</v>
      </c>
      <c r="E134" s="3" t="str">
        <f>TEXT(VLOOKUP(A134,[1]Cleaned!$A:$J,5,0),"DD-MMM-YYYY")</f>
        <v>06-Apr-2024</v>
      </c>
      <c r="F134" t="str">
        <f>VLOOKUP(A134,[1]Cleaned!$A:$J,6,0)</f>
        <v>Chennai</v>
      </c>
      <c r="G134">
        <f>VLOOKUP(A134,[1]Cleaned!$A:$J,9,0)</f>
        <v>25836</v>
      </c>
    </row>
    <row r="135" spans="1:7" x14ac:dyDescent="0.3">
      <c r="A135">
        <v>2133</v>
      </c>
      <c r="B135" s="1" t="str">
        <f>VLOOKUP(A135,[1]Cleaned!$A:$J,2,0)</f>
        <v>Arun Pandi</v>
      </c>
      <c r="C135" t="str">
        <f>VLOOKUP(A135,[1]Cleaned!$A:$J,3,0)</f>
        <v>Accessories</v>
      </c>
      <c r="D135" s="2" t="str">
        <f>TEXT(VLOOKUP(A135,[1]Cleaned!$A:$J,4,0),"DD-MMM-YYYY")</f>
        <v>26-Sep-2024</v>
      </c>
      <c r="E135" s="3" t="str">
        <f>TEXT(VLOOKUP(A135,[1]Cleaned!$A:$J,5,0),"DD-MMM-YYYY")</f>
        <v>11-Oct-2024</v>
      </c>
      <c r="F135" t="str">
        <f>VLOOKUP(A135,[1]Cleaned!$A:$J,6,0)</f>
        <v>Hyderabad</v>
      </c>
      <c r="G135">
        <f>VLOOKUP(A135,[1]Cleaned!$A:$J,9,0)</f>
        <v>3202.06</v>
      </c>
    </row>
    <row r="136" spans="1:7" x14ac:dyDescent="0.3">
      <c r="A136">
        <v>2134</v>
      </c>
      <c r="B136" s="1" t="str">
        <f>VLOOKUP(A136,[1]Cleaned!$A:$J,2,0)</f>
        <v>Balaji N</v>
      </c>
      <c r="C136" t="str">
        <f>VLOOKUP(A136,[1]Cleaned!$A:$J,3,0)</f>
        <v>Accessories</v>
      </c>
      <c r="D136" s="2" t="str">
        <f>TEXT(VLOOKUP(A136,[1]Cleaned!$A:$J,4,0),"DD-MMM-YYYY")</f>
        <v>12-Aug-2023</v>
      </c>
      <c r="E136" s="3" t="str">
        <f>TEXT(VLOOKUP(A136,[1]Cleaned!$A:$J,5,0),"DD-MMM-YYYY")</f>
        <v>17-Aug-2023</v>
      </c>
      <c r="F136" t="str">
        <f>VLOOKUP(A136,[1]Cleaned!$A:$J,6,0)</f>
        <v>Pune</v>
      </c>
      <c r="G136">
        <f>VLOOKUP(A136,[1]Cleaned!$A:$J,9,0)</f>
        <v>4679.34</v>
      </c>
    </row>
    <row r="137" spans="1:7" x14ac:dyDescent="0.3">
      <c r="A137">
        <v>2135</v>
      </c>
      <c r="B137" s="1" t="str">
        <f>VLOOKUP(A137,[1]Cleaned!$A:$J,2,0)</f>
        <v>Prakash V</v>
      </c>
      <c r="C137" t="str">
        <f>VLOOKUP(A137,[1]Cleaned!$A:$J,3,0)</f>
        <v>Accessories</v>
      </c>
      <c r="D137" s="2" t="str">
        <f>TEXT(VLOOKUP(A137,[1]Cleaned!$A:$J,4,0),"DD-MMM-YYYY")</f>
        <v>25-Jul-2022</v>
      </c>
      <c r="E137" s="3" t="str">
        <f>TEXT(VLOOKUP(A137,[1]Cleaned!$A:$J,5,0),"DD-MMM-YYYY")</f>
        <v>03-Aug-2022</v>
      </c>
      <c r="F137" t="str">
        <f>VLOOKUP(A137,[1]Cleaned!$A:$J,6,0)</f>
        <v>Mumbai</v>
      </c>
      <c r="G137">
        <f>VLOOKUP(A137,[1]Cleaned!$A:$J,9,0)</f>
        <v>22730.45</v>
      </c>
    </row>
    <row r="138" spans="1:7" x14ac:dyDescent="0.3">
      <c r="A138">
        <v>2136</v>
      </c>
      <c r="B138" s="1" t="str">
        <f>VLOOKUP(A138,[1]Cleaned!$A:$J,2,0)</f>
        <v>Arun Pandi</v>
      </c>
      <c r="C138" t="str">
        <f>VLOOKUP(A138,[1]Cleaned!$A:$J,3,0)</f>
        <v>Jeans</v>
      </c>
      <c r="D138" s="2" t="str">
        <f>TEXT(VLOOKUP(A138,[1]Cleaned!$A:$J,4,0),"DD-MMM-YYYY")</f>
        <v>24-Aug-2023</v>
      </c>
      <c r="E138" s="3" t="str">
        <f>TEXT(VLOOKUP(A138,[1]Cleaned!$A:$J,5,0),"DD-MMM-YYYY")</f>
        <v>31-Aug-2023</v>
      </c>
      <c r="F138" t="str">
        <f>VLOOKUP(A138,[1]Cleaned!$A:$J,6,0)</f>
        <v>Delhi</v>
      </c>
      <c r="G138">
        <f>VLOOKUP(A138,[1]Cleaned!$A:$J,9,0)</f>
        <v>6889.26</v>
      </c>
    </row>
    <row r="139" spans="1:7" x14ac:dyDescent="0.3">
      <c r="A139">
        <v>2137</v>
      </c>
      <c r="B139" s="1" t="str">
        <f>VLOOKUP(A139,[1]Cleaned!$A:$J,2,0)</f>
        <v>Manoj K</v>
      </c>
      <c r="C139" t="str">
        <f>VLOOKUP(A139,[1]Cleaned!$A:$J,3,0)</f>
        <v>Accessories</v>
      </c>
      <c r="D139" s="2" t="str">
        <f>TEXT(VLOOKUP(A139,[1]Cleaned!$A:$J,4,0),"DD-MMM-YYYY")</f>
        <v>04-Jan-2023</v>
      </c>
      <c r="E139" s="3" t="str">
        <f>TEXT(VLOOKUP(A139,[1]Cleaned!$A:$J,5,0),"DD-MMM-YYYY")</f>
        <v>08-Jan-2023</v>
      </c>
      <c r="F139" t="str">
        <f>VLOOKUP(A139,[1]Cleaned!$A:$J,6,0)</f>
        <v>Mumbai</v>
      </c>
      <c r="G139">
        <f>VLOOKUP(A139,[1]Cleaned!$A:$J,9,0)</f>
        <v>6329.22</v>
      </c>
    </row>
    <row r="140" spans="1:7" x14ac:dyDescent="0.3">
      <c r="A140">
        <v>2138</v>
      </c>
      <c r="B140" s="1" t="str">
        <f>VLOOKUP(A140,[1]Cleaned!$A:$J,2,0)</f>
        <v>Revathi A</v>
      </c>
      <c r="C140" t="str">
        <f>VLOOKUP(A140,[1]Cleaned!$A:$J,3,0)</f>
        <v>Accessories</v>
      </c>
      <c r="D140" s="2" t="str">
        <f>TEXT(VLOOKUP(A140,[1]Cleaned!$A:$J,4,0),"DD-MMM-YYYY")</f>
        <v>09-May-2023</v>
      </c>
      <c r="E140" s="3" t="str">
        <f>TEXT(VLOOKUP(A140,[1]Cleaned!$A:$J,5,0),"DD-MMM-YYYY")</f>
        <v>18-May-2023</v>
      </c>
      <c r="F140" t="str">
        <f>VLOOKUP(A140,[1]Cleaned!$A:$J,6,0)</f>
        <v>Hyderabad</v>
      </c>
      <c r="G140">
        <f>VLOOKUP(A140,[1]Cleaned!$A:$J,9,0)</f>
        <v>4173.87</v>
      </c>
    </row>
    <row r="141" spans="1:7" x14ac:dyDescent="0.3">
      <c r="A141">
        <v>2139</v>
      </c>
      <c r="B141" s="1" t="str">
        <f>VLOOKUP(A141,[1]Cleaned!$A:$J,2,0)</f>
        <v>Rahul G</v>
      </c>
      <c r="C141" t="str">
        <f>VLOOKUP(A141,[1]Cleaned!$A:$J,3,0)</f>
        <v>Dresses</v>
      </c>
      <c r="D141" s="2" t="str">
        <f>TEXT(VLOOKUP(A141,[1]Cleaned!$A:$J,4,0),"DD-MMM-YYYY")</f>
        <v>20-Jan-2022</v>
      </c>
      <c r="E141" s="3" t="str">
        <f>TEXT(VLOOKUP(A141,[1]Cleaned!$A:$J,5,0),"DD-MMM-YYYY")</f>
        <v>03-Feb-2022</v>
      </c>
      <c r="F141" t="str">
        <f>VLOOKUP(A141,[1]Cleaned!$A:$J,6,0)</f>
        <v>Bangalore</v>
      </c>
      <c r="G141">
        <f>VLOOKUP(A141,[1]Cleaned!$A:$J,9,0)</f>
        <v>17423.849999999999</v>
      </c>
    </row>
    <row r="142" spans="1:7" x14ac:dyDescent="0.3">
      <c r="A142">
        <v>2140</v>
      </c>
      <c r="B142" s="1" t="str">
        <f>VLOOKUP(A142,[1]Cleaned!$A:$J,2,0)</f>
        <v>Priya Nair</v>
      </c>
      <c r="C142" t="str">
        <f>VLOOKUP(A142,[1]Cleaned!$A:$J,3,0)</f>
        <v>Jackets</v>
      </c>
      <c r="D142" s="2" t="str">
        <f>TEXT(VLOOKUP(A142,[1]Cleaned!$A:$J,4,0),"DD-MMM-YYYY")</f>
        <v>09-Dec-2023</v>
      </c>
      <c r="E142" s="3" t="str">
        <f>TEXT(VLOOKUP(A142,[1]Cleaned!$A:$J,5,0),"DD-MMM-YYYY")</f>
        <v>20-Dec-2023</v>
      </c>
      <c r="F142" t="str">
        <f>VLOOKUP(A142,[1]Cleaned!$A:$J,6,0)</f>
        <v>Delhi</v>
      </c>
      <c r="G142">
        <f>VLOOKUP(A142,[1]Cleaned!$A:$J,9,0)</f>
        <v>24811.29</v>
      </c>
    </row>
    <row r="143" spans="1:7" x14ac:dyDescent="0.3">
      <c r="A143">
        <v>2141</v>
      </c>
      <c r="B143" s="1" t="str">
        <f>VLOOKUP(A143,[1]Cleaned!$A:$J,2,0)</f>
        <v>Divya T</v>
      </c>
      <c r="C143" t="str">
        <f>VLOOKUP(A143,[1]Cleaned!$A:$J,3,0)</f>
        <v>T-Shirts</v>
      </c>
      <c r="D143" s="2" t="str">
        <f>TEXT(VLOOKUP(A143,[1]Cleaned!$A:$J,4,0),"DD-MMM-YYYY")</f>
        <v>27-Feb-2024</v>
      </c>
      <c r="E143" s="3" t="str">
        <f>TEXT(VLOOKUP(A143,[1]Cleaned!$A:$J,5,0),"DD-MMM-YYYY")</f>
        <v>13-Mar-2024</v>
      </c>
      <c r="F143" t="str">
        <f>VLOOKUP(A143,[1]Cleaned!$A:$J,6,0)</f>
        <v>Bangalore</v>
      </c>
      <c r="G143">
        <f>VLOOKUP(A143,[1]Cleaned!$A:$J,9,0)</f>
        <v>2829.74</v>
      </c>
    </row>
    <row r="144" spans="1:7" x14ac:dyDescent="0.3">
      <c r="A144">
        <v>2142</v>
      </c>
      <c r="B144" s="1" t="str">
        <f>VLOOKUP(A144,[1]Cleaned!$A:$J,2,0)</f>
        <v>Manoj K</v>
      </c>
      <c r="C144" t="str">
        <f>VLOOKUP(A144,[1]Cleaned!$A:$J,3,0)</f>
        <v>Dresses</v>
      </c>
      <c r="D144" s="2" t="str">
        <f>TEXT(VLOOKUP(A144,[1]Cleaned!$A:$J,4,0),"DD-MMM-YYYY")</f>
        <v>28-Aug-2023</v>
      </c>
      <c r="E144" s="3" t="str">
        <f>TEXT(VLOOKUP(A144,[1]Cleaned!$A:$J,5,0),"DD-MMM-YYYY")</f>
        <v>30-Aug-2023</v>
      </c>
      <c r="F144" t="str">
        <f>VLOOKUP(A144,[1]Cleaned!$A:$J,6,0)</f>
        <v>Ahmedabad</v>
      </c>
      <c r="G144">
        <f>VLOOKUP(A144,[1]Cleaned!$A:$J,9,0)</f>
        <v>11130.42</v>
      </c>
    </row>
    <row r="145" spans="1:7" x14ac:dyDescent="0.3">
      <c r="A145">
        <v>2143</v>
      </c>
      <c r="B145" s="1" t="str">
        <f>VLOOKUP(A145,[1]Cleaned!$A:$J,2,0)</f>
        <v>Revathi A</v>
      </c>
      <c r="C145" t="str">
        <f>VLOOKUP(A145,[1]Cleaned!$A:$J,3,0)</f>
        <v>Accessories</v>
      </c>
      <c r="D145" s="2" t="str">
        <f>TEXT(VLOOKUP(A145,[1]Cleaned!$A:$J,4,0),"DD-MMM-YYYY")</f>
        <v>14-Oct-2024</v>
      </c>
      <c r="E145" s="3" t="str">
        <f>TEXT(VLOOKUP(A145,[1]Cleaned!$A:$J,5,0),"DD-MMM-YYYY")</f>
        <v>29-Oct-2024</v>
      </c>
      <c r="F145" t="str">
        <f>VLOOKUP(A145,[1]Cleaned!$A:$J,6,0)</f>
        <v>Delhi</v>
      </c>
      <c r="G145">
        <f>VLOOKUP(A145,[1]Cleaned!$A:$J,9,0)</f>
        <v>12612.84</v>
      </c>
    </row>
    <row r="146" spans="1:7" x14ac:dyDescent="0.3">
      <c r="A146">
        <v>2144</v>
      </c>
      <c r="B146" s="1" t="str">
        <f>VLOOKUP(A146,[1]Cleaned!$A:$J,2,0)</f>
        <v>Lakshmi S</v>
      </c>
      <c r="C146" t="str">
        <f>VLOOKUP(A146,[1]Cleaned!$A:$J,3,0)</f>
        <v>Accessories</v>
      </c>
      <c r="D146" s="2" t="str">
        <f>TEXT(VLOOKUP(A146,[1]Cleaned!$A:$J,4,0),"DD-MMM-YYYY")</f>
        <v>25-Jan-2023</v>
      </c>
      <c r="E146" s="3" t="str">
        <f>TEXT(VLOOKUP(A146,[1]Cleaned!$A:$J,5,0),"DD-MMM-YYYY")</f>
        <v>05-Feb-2023</v>
      </c>
      <c r="F146" t="str">
        <f>VLOOKUP(A146,[1]Cleaned!$A:$J,6,0)</f>
        <v>Delhi</v>
      </c>
      <c r="G146">
        <f>VLOOKUP(A146,[1]Cleaned!$A:$J,9,0)</f>
        <v>9758.31</v>
      </c>
    </row>
    <row r="147" spans="1:7" x14ac:dyDescent="0.3">
      <c r="A147">
        <v>2145</v>
      </c>
      <c r="B147" s="1" t="str">
        <f>VLOOKUP(A147,[1]Cleaned!$A:$J,2,0)</f>
        <v>Divya T</v>
      </c>
      <c r="C147" t="str">
        <f>VLOOKUP(A147,[1]Cleaned!$A:$J,3,0)</f>
        <v>Jackets</v>
      </c>
      <c r="D147" s="2" t="str">
        <f>TEXT(VLOOKUP(A147,[1]Cleaned!$A:$J,4,0),"DD-MMM-YYYY")</f>
        <v>10-Mar-2022</v>
      </c>
      <c r="E147" s="3" t="str">
        <f>TEXT(VLOOKUP(A147,[1]Cleaned!$A:$J,5,0),"DD-MMM-YYYY")</f>
        <v>21-Mar-2022</v>
      </c>
      <c r="F147" t="str">
        <f>VLOOKUP(A147,[1]Cleaned!$A:$J,6,0)</f>
        <v>Delhi</v>
      </c>
      <c r="G147">
        <f>VLOOKUP(A147,[1]Cleaned!$A:$J,9,0)</f>
        <v>2170.89</v>
      </c>
    </row>
    <row r="148" spans="1:7" x14ac:dyDescent="0.3">
      <c r="A148">
        <v>2146</v>
      </c>
      <c r="B148" s="1" t="str">
        <f>VLOOKUP(A148,[1]Cleaned!$A:$J,2,0)</f>
        <v>Arun Pandi</v>
      </c>
      <c r="C148" t="str">
        <f>VLOOKUP(A148,[1]Cleaned!$A:$J,3,0)</f>
        <v>Accessories</v>
      </c>
      <c r="D148" s="2" t="str">
        <f>TEXT(VLOOKUP(A148,[1]Cleaned!$A:$J,4,0),"DD-MMM-YYYY")</f>
        <v>30-Apr-2024</v>
      </c>
      <c r="E148" s="3" t="str">
        <f>TEXT(VLOOKUP(A148,[1]Cleaned!$A:$J,5,0),"DD-MMM-YYYY")</f>
        <v>04-May-2024</v>
      </c>
      <c r="F148" t="str">
        <f>VLOOKUP(A148,[1]Cleaned!$A:$J,6,0)</f>
        <v>Mumbai</v>
      </c>
      <c r="G148">
        <f>VLOOKUP(A148,[1]Cleaned!$A:$J,9,0)</f>
        <v>11989.83</v>
      </c>
    </row>
    <row r="149" spans="1:7" x14ac:dyDescent="0.3">
      <c r="A149">
        <v>2147</v>
      </c>
      <c r="B149" s="1" t="str">
        <f>VLOOKUP(A149,[1]Cleaned!$A:$J,2,0)</f>
        <v>Santhosh P</v>
      </c>
      <c r="C149" t="str">
        <f>VLOOKUP(A149,[1]Cleaned!$A:$J,3,0)</f>
        <v>Shoes</v>
      </c>
      <c r="D149" s="2" t="str">
        <f>TEXT(VLOOKUP(A149,[1]Cleaned!$A:$J,4,0),"DD-MMM-YYYY")</f>
        <v>13-Jul-2023</v>
      </c>
      <c r="E149" s="3" t="str">
        <f>TEXT(VLOOKUP(A149,[1]Cleaned!$A:$J,5,0),"DD-MMM-YYYY")</f>
        <v>28-Jul-2023</v>
      </c>
      <c r="F149" t="str">
        <f>VLOOKUP(A149,[1]Cleaned!$A:$J,6,0)</f>
        <v>Mumbai</v>
      </c>
      <c r="G149">
        <f>VLOOKUP(A149,[1]Cleaned!$A:$J,9,0)</f>
        <v>22980.15</v>
      </c>
    </row>
    <row r="150" spans="1:7" x14ac:dyDescent="0.3">
      <c r="A150">
        <v>2148</v>
      </c>
      <c r="B150" s="1" t="str">
        <f>VLOOKUP(A150,[1]Cleaned!$A:$J,2,0)</f>
        <v>Divya T</v>
      </c>
      <c r="C150" t="str">
        <f>VLOOKUP(A150,[1]Cleaned!$A:$J,3,0)</f>
        <v>Accessories</v>
      </c>
      <c r="D150" s="2" t="str">
        <f>TEXT(VLOOKUP(A150,[1]Cleaned!$A:$J,4,0),"DD-MMM-YYYY")</f>
        <v>25-Nov-2023</v>
      </c>
      <c r="E150" s="3" t="str">
        <f>TEXT(VLOOKUP(A150,[1]Cleaned!$A:$J,5,0),"DD-MMM-YYYY")</f>
        <v>09-Dec-2023</v>
      </c>
      <c r="F150" t="str">
        <f>VLOOKUP(A150,[1]Cleaned!$A:$J,6,0)</f>
        <v>Chennai</v>
      </c>
      <c r="G150">
        <f>VLOOKUP(A150,[1]Cleaned!$A:$J,9,0)</f>
        <v>38604.800000000003</v>
      </c>
    </row>
    <row r="151" spans="1:7" x14ac:dyDescent="0.3">
      <c r="A151">
        <v>2149</v>
      </c>
      <c r="B151" s="1" t="str">
        <f>VLOOKUP(A151,[1]Cleaned!$A:$J,2,0)</f>
        <v>Prakash V</v>
      </c>
      <c r="C151" t="str">
        <f>VLOOKUP(A151,[1]Cleaned!$A:$J,3,0)</f>
        <v>T-Shirts</v>
      </c>
      <c r="D151" s="2" t="str">
        <f>TEXT(VLOOKUP(A151,[1]Cleaned!$A:$J,4,0),"DD-MMM-YYYY")</f>
        <v>24-Mar-2024</v>
      </c>
      <c r="E151" s="3" t="str">
        <f>TEXT(VLOOKUP(A151,[1]Cleaned!$A:$J,5,0),"DD-MMM-YYYY")</f>
        <v>08-Apr-2024</v>
      </c>
      <c r="F151" t="str">
        <f>VLOOKUP(A151,[1]Cleaned!$A:$J,6,0)</f>
        <v>Ahmedabad</v>
      </c>
      <c r="G151">
        <f>VLOOKUP(A151,[1]Cleaned!$A:$J,9,0)</f>
        <v>4346.5200000000004</v>
      </c>
    </row>
    <row r="152" spans="1:7" x14ac:dyDescent="0.3">
      <c r="A152">
        <v>2150</v>
      </c>
      <c r="B152" s="1" t="str">
        <f>VLOOKUP(A152,[1]Cleaned!$A:$J,2,0)</f>
        <v>Anitha Raj</v>
      </c>
      <c r="C152" t="str">
        <f>VLOOKUP(A152,[1]Cleaned!$A:$J,3,0)</f>
        <v>Dresses</v>
      </c>
      <c r="D152" s="2" t="str">
        <f>TEXT(VLOOKUP(A152,[1]Cleaned!$A:$J,4,0),"DD-MMM-YYYY")</f>
        <v>11-Sep-2022</v>
      </c>
      <c r="E152" s="3" t="str">
        <f>TEXT(VLOOKUP(A152,[1]Cleaned!$A:$J,5,0),"DD-MMM-YYYY")</f>
        <v>20-Sep-2022</v>
      </c>
      <c r="F152" t="str">
        <f>VLOOKUP(A152,[1]Cleaned!$A:$J,6,0)</f>
        <v>Delhi</v>
      </c>
      <c r="G152">
        <f>VLOOKUP(A152,[1]Cleaned!$A:$J,9,0)</f>
        <v>15237.15</v>
      </c>
    </row>
    <row r="153" spans="1:7" x14ac:dyDescent="0.3">
      <c r="A153">
        <v>2151</v>
      </c>
      <c r="B153" s="1" t="str">
        <f>VLOOKUP(A153,[1]Cleaned!$A:$J,2,0)</f>
        <v>Suresh M</v>
      </c>
      <c r="C153" t="str">
        <f>VLOOKUP(A153,[1]Cleaned!$A:$J,3,0)</f>
        <v>Accessories</v>
      </c>
      <c r="D153" s="2" t="str">
        <f>TEXT(VLOOKUP(A153,[1]Cleaned!$A:$J,4,0),"DD-MMM-YYYY")</f>
        <v>24-Apr-2023</v>
      </c>
      <c r="E153" s="3" t="str">
        <f>TEXT(VLOOKUP(A153,[1]Cleaned!$A:$J,5,0),"DD-MMM-YYYY")</f>
        <v>03-May-2023</v>
      </c>
      <c r="F153" t="str">
        <f>VLOOKUP(A153,[1]Cleaned!$A:$J,6,0)</f>
        <v>Chennai</v>
      </c>
      <c r="G153">
        <f>VLOOKUP(A153,[1]Cleaned!$A:$J,9,0)</f>
        <v>27610.2</v>
      </c>
    </row>
    <row r="154" spans="1:7" x14ac:dyDescent="0.3">
      <c r="A154">
        <v>2152</v>
      </c>
      <c r="B154" s="1" t="str">
        <f>VLOOKUP(A154,[1]Cleaned!$A:$J,2,0)</f>
        <v>Balaji N</v>
      </c>
      <c r="C154" t="str">
        <f>VLOOKUP(A154,[1]Cleaned!$A:$J,3,0)</f>
        <v>Jeans</v>
      </c>
      <c r="D154" s="2" t="str">
        <f>TEXT(VLOOKUP(A154,[1]Cleaned!$A:$J,4,0),"DD-MMM-YYYY")</f>
        <v>08-Aug-2024</v>
      </c>
      <c r="E154" s="3" t="str">
        <f>TEXT(VLOOKUP(A154,[1]Cleaned!$A:$J,5,0),"DD-MMM-YYYY")</f>
        <v>21-Aug-2024</v>
      </c>
      <c r="F154" t="str">
        <f>VLOOKUP(A154,[1]Cleaned!$A:$J,6,0)</f>
        <v>Delhi</v>
      </c>
      <c r="G154">
        <f>VLOOKUP(A154,[1]Cleaned!$A:$J,9,0)</f>
        <v>5938.66</v>
      </c>
    </row>
    <row r="155" spans="1:7" x14ac:dyDescent="0.3">
      <c r="A155">
        <v>2153</v>
      </c>
      <c r="B155" s="1" t="str">
        <f>VLOOKUP(A155,[1]Cleaned!$A:$J,2,0)</f>
        <v>Karthik Vel</v>
      </c>
      <c r="C155" t="str">
        <f>VLOOKUP(A155,[1]Cleaned!$A:$J,3,0)</f>
        <v>Dresses</v>
      </c>
      <c r="D155" s="2" t="str">
        <f>TEXT(VLOOKUP(A155,[1]Cleaned!$A:$J,4,0),"DD-MMM-YYYY")</f>
        <v>05-Oct-2024</v>
      </c>
      <c r="E155" s="3" t="str">
        <f>TEXT(VLOOKUP(A155,[1]Cleaned!$A:$J,5,0),"DD-MMM-YYYY")</f>
        <v>08-Oct-2024</v>
      </c>
      <c r="F155" t="str">
        <f>VLOOKUP(A155,[1]Cleaned!$A:$J,6,0)</f>
        <v>Chennai</v>
      </c>
      <c r="G155">
        <f>VLOOKUP(A155,[1]Cleaned!$A:$J,9,0)</f>
        <v>17880.48</v>
      </c>
    </row>
    <row r="156" spans="1:7" x14ac:dyDescent="0.3">
      <c r="A156">
        <v>2154</v>
      </c>
      <c r="B156" s="1" t="str">
        <f>VLOOKUP(A156,[1]Cleaned!$A:$J,2,0)</f>
        <v>Vijay K</v>
      </c>
      <c r="C156" t="str">
        <f>VLOOKUP(A156,[1]Cleaned!$A:$J,3,0)</f>
        <v>Jackets</v>
      </c>
      <c r="D156" s="2" t="str">
        <f>TEXT(VLOOKUP(A156,[1]Cleaned!$A:$J,4,0),"DD-MMM-YYYY")</f>
        <v>30-Jan-2024</v>
      </c>
      <c r="E156" s="3" t="str">
        <f>TEXT(VLOOKUP(A156,[1]Cleaned!$A:$J,5,0),"DD-MMM-YYYY")</f>
        <v>11-Feb-2024</v>
      </c>
      <c r="F156" t="str">
        <f>VLOOKUP(A156,[1]Cleaned!$A:$J,6,0)</f>
        <v>Pune</v>
      </c>
      <c r="G156">
        <f>VLOOKUP(A156,[1]Cleaned!$A:$J,9,0)</f>
        <v>21423.5</v>
      </c>
    </row>
    <row r="157" spans="1:7" x14ac:dyDescent="0.3">
      <c r="A157">
        <v>2155</v>
      </c>
      <c r="B157" s="1" t="str">
        <f>VLOOKUP(A157,[1]Cleaned!$A:$J,2,0)</f>
        <v>Pooja M</v>
      </c>
      <c r="C157" t="str">
        <f>VLOOKUP(A157,[1]Cleaned!$A:$J,3,0)</f>
        <v>Accessories</v>
      </c>
      <c r="D157" s="2" t="str">
        <f>TEXT(VLOOKUP(A157,[1]Cleaned!$A:$J,4,0),"DD-MMM-YYYY")</f>
        <v>22-Jul-2022</v>
      </c>
      <c r="E157" s="3" t="str">
        <f>TEXT(VLOOKUP(A157,[1]Cleaned!$A:$J,5,0),"DD-MMM-YYYY")</f>
        <v>06-Aug-2022</v>
      </c>
      <c r="F157" t="str">
        <f>VLOOKUP(A157,[1]Cleaned!$A:$J,6,0)</f>
        <v>Bangalore</v>
      </c>
      <c r="G157">
        <f>VLOOKUP(A157,[1]Cleaned!$A:$J,9,0)</f>
        <v>32994.85</v>
      </c>
    </row>
    <row r="158" spans="1:7" x14ac:dyDescent="0.3">
      <c r="A158">
        <v>2156</v>
      </c>
      <c r="B158" s="1" t="str">
        <f>VLOOKUP(A158,[1]Cleaned!$A:$J,2,0)</f>
        <v>Karthik Vel</v>
      </c>
      <c r="C158" t="str">
        <f>VLOOKUP(A158,[1]Cleaned!$A:$J,3,0)</f>
        <v>Accessories</v>
      </c>
      <c r="D158" s="2" t="str">
        <f>TEXT(VLOOKUP(A158,[1]Cleaned!$A:$J,4,0),"DD-MMM-YYYY")</f>
        <v>29-Jan-2024</v>
      </c>
      <c r="E158" s="3" t="str">
        <f>TEXT(VLOOKUP(A158,[1]Cleaned!$A:$J,5,0),"DD-MMM-YYYY")</f>
        <v>03-Feb-2024</v>
      </c>
      <c r="F158" t="str">
        <f>VLOOKUP(A158,[1]Cleaned!$A:$J,6,0)</f>
        <v>Bangalore</v>
      </c>
      <c r="G158">
        <f>VLOOKUP(A158,[1]Cleaned!$A:$J,9,0)</f>
        <v>38140.879999999997</v>
      </c>
    </row>
    <row r="159" spans="1:7" x14ac:dyDescent="0.3">
      <c r="A159">
        <v>2157</v>
      </c>
      <c r="B159" s="1" t="str">
        <f>VLOOKUP(A159,[1]Cleaned!$A:$J,2,0)</f>
        <v>Suresh M</v>
      </c>
      <c r="C159" t="str">
        <f>VLOOKUP(A159,[1]Cleaned!$A:$J,3,0)</f>
        <v>Accessories</v>
      </c>
      <c r="D159" s="2" t="str">
        <f>TEXT(VLOOKUP(A159,[1]Cleaned!$A:$J,4,0),"DD-MMM-YYYY")</f>
        <v>23-Jan-2024</v>
      </c>
      <c r="E159" s="3" t="str">
        <f>TEXT(VLOOKUP(A159,[1]Cleaned!$A:$J,5,0),"DD-MMM-YYYY")</f>
        <v>02-Feb-2024</v>
      </c>
      <c r="F159" t="str">
        <f>VLOOKUP(A159,[1]Cleaned!$A:$J,6,0)</f>
        <v>Pune</v>
      </c>
      <c r="G159">
        <f>VLOOKUP(A159,[1]Cleaned!$A:$J,9,0)</f>
        <v>3507.54</v>
      </c>
    </row>
    <row r="160" spans="1:7" x14ac:dyDescent="0.3">
      <c r="A160">
        <v>2158</v>
      </c>
      <c r="B160" s="1" t="str">
        <f>VLOOKUP(A160,[1]Cleaned!$A:$J,2,0)</f>
        <v>Meena Iyer</v>
      </c>
      <c r="C160" t="str">
        <f>VLOOKUP(A160,[1]Cleaned!$A:$J,3,0)</f>
        <v>Jeans</v>
      </c>
      <c r="D160" s="2" t="str">
        <f>TEXT(VLOOKUP(A160,[1]Cleaned!$A:$J,4,0),"DD-MMM-YYYY")</f>
        <v>20-Jul-2024</v>
      </c>
      <c r="E160" s="3" t="str">
        <f>TEXT(VLOOKUP(A160,[1]Cleaned!$A:$J,5,0),"DD-MMM-YYYY")</f>
        <v>23-Jul-2024</v>
      </c>
      <c r="F160" t="str">
        <f>VLOOKUP(A160,[1]Cleaned!$A:$J,6,0)</f>
        <v>Pune</v>
      </c>
      <c r="G160">
        <f>VLOOKUP(A160,[1]Cleaned!$A:$J,9,0)</f>
        <v>13264.04</v>
      </c>
    </row>
    <row r="161" spans="1:7" x14ac:dyDescent="0.3">
      <c r="A161">
        <v>2159</v>
      </c>
      <c r="B161" s="1" t="str">
        <f>VLOOKUP(A161,[1]Cleaned!$A:$J,2,0)</f>
        <v>Karthik Vel</v>
      </c>
      <c r="C161" t="str">
        <f>VLOOKUP(A161,[1]Cleaned!$A:$J,3,0)</f>
        <v>Dresses</v>
      </c>
      <c r="D161" s="2" t="str">
        <f>TEXT(VLOOKUP(A161,[1]Cleaned!$A:$J,4,0),"DD-MMM-YYYY")</f>
        <v>14-May-2023</v>
      </c>
      <c r="E161" s="3" t="str">
        <f>TEXT(VLOOKUP(A161,[1]Cleaned!$A:$J,5,0),"DD-MMM-YYYY")</f>
        <v>18-May-2023</v>
      </c>
      <c r="F161" t="str">
        <f>VLOOKUP(A161,[1]Cleaned!$A:$J,6,0)</f>
        <v>Ahmedabad</v>
      </c>
      <c r="G161">
        <f>VLOOKUP(A161,[1]Cleaned!$A:$J,9,0)</f>
        <v>2489.88</v>
      </c>
    </row>
    <row r="162" spans="1:7" x14ac:dyDescent="0.3">
      <c r="A162">
        <v>2160</v>
      </c>
      <c r="B162" s="1" t="str">
        <f>VLOOKUP(A162,[1]Cleaned!$A:$J,2,0)</f>
        <v>Manoj K</v>
      </c>
      <c r="C162" t="str">
        <f>VLOOKUP(A162,[1]Cleaned!$A:$J,3,0)</f>
        <v>T-Shirts</v>
      </c>
      <c r="D162" s="2" t="str">
        <f>TEXT(VLOOKUP(A162,[1]Cleaned!$A:$J,4,0),"DD-MMM-YYYY")</f>
        <v>23-Apr-2023</v>
      </c>
      <c r="E162" s="3" t="str">
        <f>TEXT(VLOOKUP(A162,[1]Cleaned!$A:$J,5,0),"DD-MMM-YYYY")</f>
        <v>30-Apr-2023</v>
      </c>
      <c r="F162" t="str">
        <f>VLOOKUP(A162,[1]Cleaned!$A:$J,6,0)</f>
        <v>Ahmedabad</v>
      </c>
      <c r="G162">
        <f>VLOOKUP(A162,[1]Cleaned!$A:$J,9,0)</f>
        <v>12019.89</v>
      </c>
    </row>
    <row r="163" spans="1:7" x14ac:dyDescent="0.3">
      <c r="A163">
        <v>2161</v>
      </c>
      <c r="B163" s="1" t="str">
        <f>VLOOKUP(A163,[1]Cleaned!$A:$J,2,0)</f>
        <v>Ravi Kumar</v>
      </c>
      <c r="C163" t="str">
        <f>VLOOKUP(A163,[1]Cleaned!$A:$J,3,0)</f>
        <v>T-Shirts</v>
      </c>
      <c r="D163" s="2" t="str">
        <f>TEXT(VLOOKUP(A163,[1]Cleaned!$A:$J,4,0),"DD-MMM-YYYY")</f>
        <v>24-Sep-2022</v>
      </c>
      <c r="E163" s="3" t="str">
        <f>TEXT(VLOOKUP(A163,[1]Cleaned!$A:$J,5,0),"DD-MMM-YYYY")</f>
        <v>04-Oct-2022</v>
      </c>
      <c r="F163" t="str">
        <f>VLOOKUP(A163,[1]Cleaned!$A:$J,6,0)</f>
        <v>Delhi</v>
      </c>
      <c r="G163">
        <f>VLOOKUP(A163,[1]Cleaned!$A:$J,9,0)</f>
        <v>2449.9499999999998</v>
      </c>
    </row>
    <row r="164" spans="1:7" x14ac:dyDescent="0.3">
      <c r="A164">
        <v>2162</v>
      </c>
      <c r="B164" s="1" t="str">
        <f>VLOOKUP(A164,[1]Cleaned!$A:$J,2,0)</f>
        <v>Deepa K</v>
      </c>
      <c r="C164" t="str">
        <f>VLOOKUP(A164,[1]Cleaned!$A:$J,3,0)</f>
        <v>Jeans</v>
      </c>
      <c r="D164" s="2" t="str">
        <f>TEXT(VLOOKUP(A164,[1]Cleaned!$A:$J,4,0),"DD-MMM-YYYY")</f>
        <v>04-Jan-2024</v>
      </c>
      <c r="E164" s="3" t="str">
        <f>TEXT(VLOOKUP(A164,[1]Cleaned!$A:$J,5,0),"DD-MMM-YYYY")</f>
        <v>18-Jan-2024</v>
      </c>
      <c r="F164" t="str">
        <f>VLOOKUP(A164,[1]Cleaned!$A:$J,6,0)</f>
        <v>Ahmedabad</v>
      </c>
      <c r="G164">
        <f>VLOOKUP(A164,[1]Cleaned!$A:$J,9,0)</f>
        <v>12270.44</v>
      </c>
    </row>
    <row r="165" spans="1:7" x14ac:dyDescent="0.3">
      <c r="A165">
        <v>2163</v>
      </c>
      <c r="B165" s="1" t="str">
        <f>VLOOKUP(A165,[1]Cleaned!$A:$J,2,0)</f>
        <v>Arjun Reddy</v>
      </c>
      <c r="C165" t="str">
        <f>VLOOKUP(A165,[1]Cleaned!$A:$J,3,0)</f>
        <v>Dresses</v>
      </c>
      <c r="D165" s="2" t="str">
        <f>TEXT(VLOOKUP(A165,[1]Cleaned!$A:$J,4,0),"DD-MMM-YYYY")</f>
        <v>18-Apr-2022</v>
      </c>
      <c r="E165" s="3" t="str">
        <f>TEXT(VLOOKUP(A165,[1]Cleaned!$A:$J,5,0),"DD-MMM-YYYY")</f>
        <v>22-Apr-2022</v>
      </c>
      <c r="F165" t="str">
        <f>VLOOKUP(A165,[1]Cleaned!$A:$J,6,0)</f>
        <v>Pune</v>
      </c>
      <c r="G165">
        <f>VLOOKUP(A165,[1]Cleaned!$A:$J,9,0)</f>
        <v>19408.2</v>
      </c>
    </row>
    <row r="166" spans="1:7" x14ac:dyDescent="0.3">
      <c r="A166">
        <v>2164</v>
      </c>
      <c r="B166" s="1" t="str">
        <f>VLOOKUP(A166,[1]Cleaned!$A:$J,2,0)</f>
        <v>Kavitha S</v>
      </c>
      <c r="C166" t="str">
        <f>VLOOKUP(A166,[1]Cleaned!$A:$J,3,0)</f>
        <v>Jackets</v>
      </c>
      <c r="D166" s="2" t="str">
        <f>TEXT(VLOOKUP(A166,[1]Cleaned!$A:$J,4,0),"DD-MMM-YYYY")</f>
        <v>12-Jan-2024</v>
      </c>
      <c r="E166" s="3" t="str">
        <f>TEXT(VLOOKUP(A166,[1]Cleaned!$A:$J,5,0),"DD-MMM-YYYY")</f>
        <v>22-Jan-2024</v>
      </c>
      <c r="F166" t="str">
        <f>VLOOKUP(A166,[1]Cleaned!$A:$J,6,0)</f>
        <v>Hyderabad</v>
      </c>
      <c r="G166">
        <f>VLOOKUP(A166,[1]Cleaned!$A:$J,9,0)</f>
        <v>4848.8599999999997</v>
      </c>
    </row>
    <row r="167" spans="1:7" x14ac:dyDescent="0.3">
      <c r="A167">
        <v>2165</v>
      </c>
      <c r="B167" s="1" t="str">
        <f>VLOOKUP(A167,[1]Cleaned!$A:$J,2,0)</f>
        <v>Revathi A</v>
      </c>
      <c r="C167" t="str">
        <f>VLOOKUP(A167,[1]Cleaned!$A:$J,3,0)</f>
        <v>Jeans</v>
      </c>
      <c r="D167" s="2" t="str">
        <f>TEXT(VLOOKUP(A167,[1]Cleaned!$A:$J,4,0),"DD-MMM-YYYY")</f>
        <v>03-Dec-2024</v>
      </c>
      <c r="E167" s="3" t="str">
        <f>TEXT(VLOOKUP(A167,[1]Cleaned!$A:$J,5,0),"DD-MMM-YYYY")</f>
        <v>09-Dec-2024</v>
      </c>
      <c r="F167" t="str">
        <f>VLOOKUP(A167,[1]Cleaned!$A:$J,6,0)</f>
        <v>Bangalore</v>
      </c>
      <c r="G167">
        <f>VLOOKUP(A167,[1]Cleaned!$A:$J,9,0)</f>
        <v>585.88</v>
      </c>
    </row>
    <row r="168" spans="1:7" x14ac:dyDescent="0.3">
      <c r="A168">
        <v>2166</v>
      </c>
      <c r="B168" s="1" t="str">
        <f>VLOOKUP(A168,[1]Cleaned!$A:$J,2,0)</f>
        <v>Vijay K</v>
      </c>
      <c r="C168" t="str">
        <f>VLOOKUP(A168,[1]Cleaned!$A:$J,3,0)</f>
        <v>Jackets</v>
      </c>
      <c r="D168" s="2" t="str">
        <f>TEXT(VLOOKUP(A168,[1]Cleaned!$A:$J,4,0),"DD-MMM-YYYY")</f>
        <v>10-Aug-2022</v>
      </c>
      <c r="E168" s="3" t="str">
        <f>TEXT(VLOOKUP(A168,[1]Cleaned!$A:$J,5,0),"DD-MMM-YYYY")</f>
        <v>19-Aug-2022</v>
      </c>
      <c r="F168" t="str">
        <f>VLOOKUP(A168,[1]Cleaned!$A:$J,6,0)</f>
        <v>Pune</v>
      </c>
      <c r="G168">
        <f>VLOOKUP(A168,[1]Cleaned!$A:$J,9,0)</f>
        <v>5163.28</v>
      </c>
    </row>
    <row r="169" spans="1:7" x14ac:dyDescent="0.3">
      <c r="A169">
        <v>2167</v>
      </c>
      <c r="B169" s="1" t="str">
        <f>VLOOKUP(A169,[1]Cleaned!$A:$J,2,0)</f>
        <v>Arun Pandi</v>
      </c>
      <c r="C169" t="str">
        <f>VLOOKUP(A169,[1]Cleaned!$A:$J,3,0)</f>
        <v>Shoes</v>
      </c>
      <c r="D169" s="2" t="str">
        <f>TEXT(VLOOKUP(A169,[1]Cleaned!$A:$J,4,0),"DD-MMM-YYYY")</f>
        <v>31-Oct-2022</v>
      </c>
      <c r="E169" s="3" t="str">
        <f>TEXT(VLOOKUP(A169,[1]Cleaned!$A:$J,5,0),"DD-MMM-YYYY")</f>
        <v>03-Nov-2022</v>
      </c>
      <c r="F169" t="str">
        <f>VLOOKUP(A169,[1]Cleaned!$A:$J,6,0)</f>
        <v>Mumbai</v>
      </c>
      <c r="G169">
        <f>VLOOKUP(A169,[1]Cleaned!$A:$J,9,0)</f>
        <v>16171.45</v>
      </c>
    </row>
    <row r="170" spans="1:7" x14ac:dyDescent="0.3">
      <c r="A170">
        <v>2168</v>
      </c>
      <c r="B170" s="1" t="str">
        <f>VLOOKUP(A170,[1]Cleaned!$A:$J,2,0)</f>
        <v>Vijay K</v>
      </c>
      <c r="C170" t="str">
        <f>VLOOKUP(A170,[1]Cleaned!$A:$J,3,0)</f>
        <v>Shoes</v>
      </c>
      <c r="D170" s="2" t="str">
        <f>TEXT(VLOOKUP(A170,[1]Cleaned!$A:$J,4,0),"DD-MMM-YYYY")</f>
        <v>22-Dec-2024</v>
      </c>
      <c r="E170" s="3" t="str">
        <f>TEXT(VLOOKUP(A170,[1]Cleaned!$A:$J,5,0),"DD-MMM-YYYY")</f>
        <v>28-Dec-2024</v>
      </c>
      <c r="F170" t="str">
        <f>VLOOKUP(A170,[1]Cleaned!$A:$J,6,0)</f>
        <v>Bangalore</v>
      </c>
      <c r="G170">
        <f>VLOOKUP(A170,[1]Cleaned!$A:$J,9,0)</f>
        <v>5362.98</v>
      </c>
    </row>
    <row r="171" spans="1:7" x14ac:dyDescent="0.3">
      <c r="A171">
        <v>2169</v>
      </c>
      <c r="B171" s="1" t="str">
        <f>VLOOKUP(A171,[1]Cleaned!$A:$J,2,0)</f>
        <v>Balaji N</v>
      </c>
      <c r="C171" t="str">
        <f>VLOOKUP(A171,[1]Cleaned!$A:$J,3,0)</f>
        <v>Accessories</v>
      </c>
      <c r="D171" s="2" t="str">
        <f>TEXT(VLOOKUP(A171,[1]Cleaned!$A:$J,4,0),"DD-MMM-YYYY")</f>
        <v>17-Mar-2023</v>
      </c>
      <c r="E171" s="3" t="str">
        <f>TEXT(VLOOKUP(A171,[1]Cleaned!$A:$J,5,0),"DD-MMM-YYYY")</f>
        <v>25-Mar-2023</v>
      </c>
      <c r="F171" t="str">
        <f>VLOOKUP(A171,[1]Cleaned!$A:$J,6,0)</f>
        <v>Bangalore</v>
      </c>
      <c r="G171">
        <f>VLOOKUP(A171,[1]Cleaned!$A:$J,9,0)</f>
        <v>8979.68</v>
      </c>
    </row>
    <row r="172" spans="1:7" x14ac:dyDescent="0.3">
      <c r="A172">
        <v>2170</v>
      </c>
      <c r="B172" s="1" t="str">
        <f>VLOOKUP(A172,[1]Cleaned!$A:$J,2,0)</f>
        <v>Vijay K</v>
      </c>
      <c r="C172" t="str">
        <f>VLOOKUP(A172,[1]Cleaned!$A:$J,3,0)</f>
        <v>Jackets</v>
      </c>
      <c r="D172" s="2" t="str">
        <f>TEXT(VLOOKUP(A172,[1]Cleaned!$A:$J,4,0),"DD-MMM-YYYY")</f>
        <v>14-Jul-2022</v>
      </c>
      <c r="E172" s="3" t="str">
        <f>TEXT(VLOOKUP(A172,[1]Cleaned!$A:$J,5,0),"DD-MMM-YYYY")</f>
        <v>21-Jul-2022</v>
      </c>
      <c r="F172" t="str">
        <f>VLOOKUP(A172,[1]Cleaned!$A:$J,6,0)</f>
        <v>Bangalore</v>
      </c>
      <c r="G172">
        <f>VLOOKUP(A172,[1]Cleaned!$A:$J,9,0)</f>
        <v>20556.060000000001</v>
      </c>
    </row>
    <row r="173" spans="1:7" x14ac:dyDescent="0.3">
      <c r="A173">
        <v>2171</v>
      </c>
      <c r="B173" s="1" t="str">
        <f>VLOOKUP(A173,[1]Cleaned!$A:$J,2,0)</f>
        <v>Deepa K</v>
      </c>
      <c r="C173" t="str">
        <f>VLOOKUP(A173,[1]Cleaned!$A:$J,3,0)</f>
        <v>Accessories</v>
      </c>
      <c r="D173" s="2" t="str">
        <f>TEXT(VLOOKUP(A173,[1]Cleaned!$A:$J,4,0),"DD-MMM-YYYY")</f>
        <v>29-Aug-2024</v>
      </c>
      <c r="E173" s="3" t="str">
        <f>TEXT(VLOOKUP(A173,[1]Cleaned!$A:$J,5,0),"DD-MMM-YYYY")</f>
        <v>01-Sep-2024</v>
      </c>
      <c r="F173" t="str">
        <f>VLOOKUP(A173,[1]Cleaned!$A:$J,6,0)</f>
        <v>Chennai</v>
      </c>
      <c r="G173">
        <f>VLOOKUP(A173,[1]Cleaned!$A:$J,9,0)</f>
        <v>1476.36</v>
      </c>
    </row>
    <row r="174" spans="1:7" x14ac:dyDescent="0.3">
      <c r="A174">
        <v>2172</v>
      </c>
      <c r="B174" s="1" t="str">
        <f>VLOOKUP(A174,[1]Cleaned!$A:$J,2,0)</f>
        <v>Uma S</v>
      </c>
      <c r="C174" t="str">
        <f>VLOOKUP(A174,[1]Cleaned!$A:$J,3,0)</f>
        <v>Accessories</v>
      </c>
      <c r="D174" s="2" t="str">
        <f>TEXT(VLOOKUP(A174,[1]Cleaned!$A:$J,4,0),"DD-MMM-YYYY")</f>
        <v>03-Feb-2024</v>
      </c>
      <c r="E174" s="3" t="str">
        <f>TEXT(VLOOKUP(A174,[1]Cleaned!$A:$J,5,0),"DD-MMM-YYYY")</f>
        <v>17-Feb-2024</v>
      </c>
      <c r="F174" t="str">
        <f>VLOOKUP(A174,[1]Cleaned!$A:$J,6,0)</f>
        <v>Mumbai</v>
      </c>
      <c r="G174">
        <f>VLOOKUP(A174,[1]Cleaned!$A:$J,9,0)</f>
        <v>3056.39</v>
      </c>
    </row>
    <row r="175" spans="1:7" x14ac:dyDescent="0.3">
      <c r="A175">
        <v>2173</v>
      </c>
      <c r="B175" s="1" t="str">
        <f>VLOOKUP(A175,[1]Cleaned!$A:$J,2,0)</f>
        <v>Saranya D</v>
      </c>
      <c r="C175" t="str">
        <f>VLOOKUP(A175,[1]Cleaned!$A:$J,3,0)</f>
        <v>Jeans</v>
      </c>
      <c r="D175" s="2" t="str">
        <f>TEXT(VLOOKUP(A175,[1]Cleaned!$A:$J,4,0),"DD-MMM-YYYY")</f>
        <v>21-Apr-2024</v>
      </c>
      <c r="E175" s="3" t="str">
        <f>TEXT(VLOOKUP(A175,[1]Cleaned!$A:$J,5,0),"DD-MMM-YYYY")</f>
        <v>28-Apr-2024</v>
      </c>
      <c r="F175" t="str">
        <f>VLOOKUP(A175,[1]Cleaned!$A:$J,6,0)</f>
        <v>Ahmedabad</v>
      </c>
      <c r="G175">
        <f>VLOOKUP(A175,[1]Cleaned!$A:$J,9,0)</f>
        <v>30660.21</v>
      </c>
    </row>
    <row r="176" spans="1:7" x14ac:dyDescent="0.3">
      <c r="A176">
        <v>2174</v>
      </c>
      <c r="B176" s="1" t="str">
        <f>VLOOKUP(A176,[1]Cleaned!$A:$J,2,0)</f>
        <v>Divya T</v>
      </c>
      <c r="C176" t="str">
        <f>VLOOKUP(A176,[1]Cleaned!$A:$J,3,0)</f>
        <v>Shoes</v>
      </c>
      <c r="D176" s="2" t="str">
        <f>TEXT(VLOOKUP(A176,[1]Cleaned!$A:$J,4,0),"DD-MMM-YYYY")</f>
        <v>02-Oct-2023</v>
      </c>
      <c r="E176" s="3" t="str">
        <f>TEXT(VLOOKUP(A176,[1]Cleaned!$A:$J,5,0),"DD-MMM-YYYY")</f>
        <v>09-Oct-2023</v>
      </c>
      <c r="F176" t="str">
        <f>VLOOKUP(A176,[1]Cleaned!$A:$J,6,0)</f>
        <v>Chennai</v>
      </c>
      <c r="G176">
        <f>VLOOKUP(A176,[1]Cleaned!$A:$J,9,0)</f>
        <v>4108.92</v>
      </c>
    </row>
    <row r="177" spans="1:7" x14ac:dyDescent="0.3">
      <c r="A177">
        <v>2175</v>
      </c>
      <c r="B177" s="1" t="str">
        <f>VLOOKUP(A177,[1]Cleaned!$A:$J,2,0)</f>
        <v>Lakshmi S</v>
      </c>
      <c r="C177" t="str">
        <f>VLOOKUP(A177,[1]Cleaned!$A:$J,3,0)</f>
        <v>Jeans</v>
      </c>
      <c r="D177" s="2" t="str">
        <f>TEXT(VLOOKUP(A177,[1]Cleaned!$A:$J,4,0),"DD-MMM-YYYY")</f>
        <v>19-Dec-2023</v>
      </c>
      <c r="E177" s="3" t="str">
        <f>TEXT(VLOOKUP(A177,[1]Cleaned!$A:$J,5,0),"DD-MMM-YYYY")</f>
        <v>03-Jan-2024</v>
      </c>
      <c r="F177" t="str">
        <f>VLOOKUP(A177,[1]Cleaned!$A:$J,6,0)</f>
        <v>Hyderabad</v>
      </c>
      <c r="G177">
        <f>VLOOKUP(A177,[1]Cleaned!$A:$J,9,0)</f>
        <v>5039.76</v>
      </c>
    </row>
    <row r="178" spans="1:7" x14ac:dyDescent="0.3">
      <c r="A178">
        <v>2176</v>
      </c>
      <c r="B178" s="1" t="str">
        <f>VLOOKUP(A178,[1]Cleaned!$A:$J,2,0)</f>
        <v>Manoj K</v>
      </c>
      <c r="C178" t="str">
        <f>VLOOKUP(A178,[1]Cleaned!$A:$J,3,0)</f>
        <v>T-Shirts</v>
      </c>
      <c r="D178" s="2" t="str">
        <f>TEXT(VLOOKUP(A178,[1]Cleaned!$A:$J,4,0),"DD-MMM-YYYY")</f>
        <v>28-May-2024</v>
      </c>
      <c r="E178" s="3" t="str">
        <f>TEXT(VLOOKUP(A178,[1]Cleaned!$A:$J,5,0),"DD-MMM-YYYY")</f>
        <v>12-Jun-2024</v>
      </c>
      <c r="F178" t="str">
        <f>VLOOKUP(A178,[1]Cleaned!$A:$J,6,0)</f>
        <v>Hyderabad</v>
      </c>
      <c r="G178">
        <f>VLOOKUP(A178,[1]Cleaned!$A:$J,9,0)</f>
        <v>3162.28</v>
      </c>
    </row>
    <row r="179" spans="1:7" x14ac:dyDescent="0.3">
      <c r="A179">
        <v>2177</v>
      </c>
      <c r="B179" s="1" t="str">
        <f>VLOOKUP(A179,[1]Cleaned!$A:$J,2,0)</f>
        <v>Anitha Raj</v>
      </c>
      <c r="C179" t="str">
        <f>VLOOKUP(A179,[1]Cleaned!$A:$J,3,0)</f>
        <v>T-Shirts</v>
      </c>
      <c r="D179" s="2" t="str">
        <f>TEXT(VLOOKUP(A179,[1]Cleaned!$A:$J,4,0),"DD-MMM-YYYY")</f>
        <v>14-Jul-2023</v>
      </c>
      <c r="E179" s="3" t="str">
        <f>TEXT(VLOOKUP(A179,[1]Cleaned!$A:$J,5,0),"DD-MMM-YYYY")</f>
        <v>27-Jul-2023</v>
      </c>
      <c r="F179" t="str">
        <f>VLOOKUP(A179,[1]Cleaned!$A:$J,6,0)</f>
        <v>Ahmedabad</v>
      </c>
      <c r="G179">
        <f>VLOOKUP(A179,[1]Cleaned!$A:$J,9,0)</f>
        <v>23156.15</v>
      </c>
    </row>
    <row r="180" spans="1:7" x14ac:dyDescent="0.3">
      <c r="A180">
        <v>2178</v>
      </c>
      <c r="B180" s="1" t="str">
        <f>VLOOKUP(A180,[1]Cleaned!$A:$J,2,0)</f>
        <v>Anitha Raj</v>
      </c>
      <c r="C180" t="str">
        <f>VLOOKUP(A180,[1]Cleaned!$A:$J,3,0)</f>
        <v>T-Shirts</v>
      </c>
      <c r="D180" s="2" t="str">
        <f>TEXT(VLOOKUP(A180,[1]Cleaned!$A:$J,4,0),"DD-MMM-YYYY")</f>
        <v>21-Oct-2022</v>
      </c>
      <c r="E180" s="3" t="str">
        <f>TEXT(VLOOKUP(A180,[1]Cleaned!$A:$J,5,0),"DD-MMM-YYYY")</f>
        <v>01-Nov-2022</v>
      </c>
      <c r="F180" t="str">
        <f>VLOOKUP(A180,[1]Cleaned!$A:$J,6,0)</f>
        <v>Pune</v>
      </c>
      <c r="G180">
        <f>VLOOKUP(A180,[1]Cleaned!$A:$J,9,0)</f>
        <v>4389.3500000000004</v>
      </c>
    </row>
    <row r="181" spans="1:7" x14ac:dyDescent="0.3">
      <c r="A181">
        <v>2179</v>
      </c>
      <c r="B181" s="1" t="str">
        <f>VLOOKUP(A181,[1]Cleaned!$A:$J,2,0)</f>
        <v>Priya Nair</v>
      </c>
      <c r="C181" t="str">
        <f>VLOOKUP(A181,[1]Cleaned!$A:$J,3,0)</f>
        <v>Accessories</v>
      </c>
      <c r="D181" s="2" t="str">
        <f>TEXT(VLOOKUP(A181,[1]Cleaned!$A:$J,4,0),"DD-MMM-YYYY")</f>
        <v>22-Dec-2024</v>
      </c>
      <c r="E181" s="3" t="str">
        <f>TEXT(VLOOKUP(A181,[1]Cleaned!$A:$J,5,0),"DD-MMM-YYYY")</f>
        <v>27-Dec-2024</v>
      </c>
      <c r="F181" t="str">
        <f>VLOOKUP(A181,[1]Cleaned!$A:$J,6,0)</f>
        <v>Bangalore</v>
      </c>
      <c r="G181">
        <f>VLOOKUP(A181,[1]Cleaned!$A:$J,9,0)</f>
        <v>17024.98</v>
      </c>
    </row>
    <row r="182" spans="1:7" x14ac:dyDescent="0.3">
      <c r="A182">
        <v>2180</v>
      </c>
      <c r="B182" s="1" t="str">
        <f>VLOOKUP(A182,[1]Cleaned!$A:$J,2,0)</f>
        <v>Sneha R</v>
      </c>
      <c r="C182" t="str">
        <f>VLOOKUP(A182,[1]Cleaned!$A:$J,3,0)</f>
        <v>Dresses</v>
      </c>
      <c r="D182" s="2" t="str">
        <f>TEXT(VLOOKUP(A182,[1]Cleaned!$A:$J,4,0),"DD-MMM-YYYY")</f>
        <v>27-Oct-2023</v>
      </c>
      <c r="E182" s="3" t="str">
        <f>TEXT(VLOOKUP(A182,[1]Cleaned!$A:$J,5,0),"DD-MMM-YYYY")</f>
        <v>10-Nov-2023</v>
      </c>
      <c r="F182" t="str">
        <f>VLOOKUP(A182,[1]Cleaned!$A:$J,6,0)</f>
        <v>Hyderabad</v>
      </c>
      <c r="G182">
        <f>VLOOKUP(A182,[1]Cleaned!$A:$J,9,0)</f>
        <v>8903.42</v>
      </c>
    </row>
    <row r="183" spans="1:7" x14ac:dyDescent="0.3">
      <c r="A183">
        <v>2181</v>
      </c>
      <c r="B183" s="1" t="str">
        <f>VLOOKUP(A183,[1]Cleaned!$A:$J,2,0)</f>
        <v>Arjun Reddy</v>
      </c>
      <c r="C183" t="str">
        <f>VLOOKUP(A183,[1]Cleaned!$A:$J,3,0)</f>
        <v>Shoes</v>
      </c>
      <c r="D183" s="2" t="str">
        <f>TEXT(VLOOKUP(A183,[1]Cleaned!$A:$J,4,0),"DD-MMM-YYYY")</f>
        <v>12-Apr-2022</v>
      </c>
      <c r="E183" s="3" t="str">
        <f>TEXT(VLOOKUP(A183,[1]Cleaned!$A:$J,5,0),"DD-MMM-YYYY")</f>
        <v>24-Apr-2022</v>
      </c>
      <c r="F183" t="str">
        <f>VLOOKUP(A183,[1]Cleaned!$A:$J,6,0)</f>
        <v>Chennai</v>
      </c>
      <c r="G183">
        <f>VLOOKUP(A183,[1]Cleaned!$A:$J,9,0)</f>
        <v>11913.15</v>
      </c>
    </row>
    <row r="184" spans="1:7" x14ac:dyDescent="0.3">
      <c r="A184">
        <v>2182</v>
      </c>
      <c r="B184" s="1" t="str">
        <f>VLOOKUP(A184,[1]Cleaned!$A:$J,2,0)</f>
        <v>Kavitha S</v>
      </c>
      <c r="C184" t="str">
        <f>VLOOKUP(A184,[1]Cleaned!$A:$J,3,0)</f>
        <v>Shoes</v>
      </c>
      <c r="D184" s="2" t="str">
        <f>TEXT(VLOOKUP(A184,[1]Cleaned!$A:$J,4,0),"DD-MMM-YYYY")</f>
        <v>24-Jun-2024</v>
      </c>
      <c r="E184" s="3" t="str">
        <f>TEXT(VLOOKUP(A184,[1]Cleaned!$A:$J,5,0),"DD-MMM-YYYY")</f>
        <v>02-Jul-2024</v>
      </c>
      <c r="F184" t="str">
        <f>VLOOKUP(A184,[1]Cleaned!$A:$J,6,0)</f>
        <v>Delhi</v>
      </c>
      <c r="G184">
        <f>VLOOKUP(A184,[1]Cleaned!$A:$J,9,0)</f>
        <v>15392.92</v>
      </c>
    </row>
    <row r="185" spans="1:7" x14ac:dyDescent="0.3">
      <c r="A185">
        <v>2183</v>
      </c>
      <c r="B185" s="1" t="str">
        <f>VLOOKUP(A185,[1]Cleaned!$A:$J,2,0)</f>
        <v>Sneha R</v>
      </c>
      <c r="C185" t="str">
        <f>VLOOKUP(A185,[1]Cleaned!$A:$J,3,0)</f>
        <v>Jackets</v>
      </c>
      <c r="D185" s="2" t="str">
        <f>TEXT(VLOOKUP(A185,[1]Cleaned!$A:$J,4,0),"DD-MMM-YYYY")</f>
        <v>16-Aug-2022</v>
      </c>
      <c r="E185" s="3" t="str">
        <f>TEXT(VLOOKUP(A185,[1]Cleaned!$A:$J,5,0),"DD-MMM-YYYY")</f>
        <v>22-Aug-2022</v>
      </c>
      <c r="F185" t="str">
        <f>VLOOKUP(A185,[1]Cleaned!$A:$J,6,0)</f>
        <v>Pune</v>
      </c>
      <c r="G185">
        <f>VLOOKUP(A185,[1]Cleaned!$A:$J,9,0)</f>
        <v>22212.720000000001</v>
      </c>
    </row>
    <row r="186" spans="1:7" x14ac:dyDescent="0.3">
      <c r="A186">
        <v>2184</v>
      </c>
      <c r="B186" s="1" t="str">
        <f>VLOOKUP(A186,[1]Cleaned!$A:$J,2,0)</f>
        <v>Karthik Vel</v>
      </c>
      <c r="C186" t="str">
        <f>VLOOKUP(A186,[1]Cleaned!$A:$J,3,0)</f>
        <v>T-Shirts</v>
      </c>
      <c r="D186" s="2" t="str">
        <f>TEXT(VLOOKUP(A186,[1]Cleaned!$A:$J,4,0),"DD-MMM-YYYY")</f>
        <v>20-Mar-2024</v>
      </c>
      <c r="E186" s="3" t="str">
        <f>TEXT(VLOOKUP(A186,[1]Cleaned!$A:$J,5,0),"DD-MMM-YYYY")</f>
        <v>31-Mar-2024</v>
      </c>
      <c r="F186" t="str">
        <f>VLOOKUP(A186,[1]Cleaned!$A:$J,6,0)</f>
        <v>Chennai</v>
      </c>
      <c r="G186">
        <f>VLOOKUP(A186,[1]Cleaned!$A:$J,9,0)</f>
        <v>1260.79</v>
      </c>
    </row>
    <row r="187" spans="1:7" x14ac:dyDescent="0.3">
      <c r="A187">
        <v>2185</v>
      </c>
      <c r="B187" s="1" t="str">
        <f>VLOOKUP(A187,[1]Cleaned!$A:$J,2,0)</f>
        <v>Prakash V</v>
      </c>
      <c r="C187" t="str">
        <f>VLOOKUP(A187,[1]Cleaned!$A:$J,3,0)</f>
        <v>T-Shirts</v>
      </c>
      <c r="D187" s="2" t="str">
        <f>TEXT(VLOOKUP(A187,[1]Cleaned!$A:$J,4,0),"DD-MMM-YYYY")</f>
        <v>08-Jun-2023</v>
      </c>
      <c r="E187" s="3" t="str">
        <f>TEXT(VLOOKUP(A187,[1]Cleaned!$A:$J,5,0),"DD-MMM-YYYY")</f>
        <v>14-Jun-2023</v>
      </c>
      <c r="F187" t="str">
        <f>VLOOKUP(A187,[1]Cleaned!$A:$J,6,0)</f>
        <v>Delhi</v>
      </c>
      <c r="G187">
        <f>VLOOKUP(A187,[1]Cleaned!$A:$J,9,0)</f>
        <v>672.66</v>
      </c>
    </row>
    <row r="188" spans="1:7" x14ac:dyDescent="0.3">
      <c r="A188">
        <v>2186</v>
      </c>
      <c r="B188" s="1" t="str">
        <f>VLOOKUP(A188,[1]Cleaned!$A:$J,2,0)</f>
        <v>Arjun Reddy</v>
      </c>
      <c r="C188" t="str">
        <f>VLOOKUP(A188,[1]Cleaned!$A:$J,3,0)</f>
        <v>T-Shirts</v>
      </c>
      <c r="D188" s="2" t="str">
        <f>TEXT(VLOOKUP(A188,[1]Cleaned!$A:$J,4,0),"DD-MMM-YYYY")</f>
        <v>18-Feb-2024</v>
      </c>
      <c r="E188" s="3" t="str">
        <f>TEXT(VLOOKUP(A188,[1]Cleaned!$A:$J,5,0),"DD-MMM-YYYY")</f>
        <v>28-Feb-2024</v>
      </c>
      <c r="F188" t="str">
        <f>VLOOKUP(A188,[1]Cleaned!$A:$J,6,0)</f>
        <v>Pune</v>
      </c>
      <c r="G188">
        <f>VLOOKUP(A188,[1]Cleaned!$A:$J,9,0)</f>
        <v>10604.92</v>
      </c>
    </row>
    <row r="189" spans="1:7" x14ac:dyDescent="0.3">
      <c r="A189">
        <v>2187</v>
      </c>
      <c r="B189" s="1" t="str">
        <f>VLOOKUP(A189,[1]Cleaned!$A:$J,2,0)</f>
        <v>Priya Nair</v>
      </c>
      <c r="C189" t="str">
        <f>VLOOKUP(A189,[1]Cleaned!$A:$J,3,0)</f>
        <v>Jackets</v>
      </c>
      <c r="D189" s="2" t="str">
        <f>TEXT(VLOOKUP(A189,[1]Cleaned!$A:$J,4,0),"DD-MMM-YYYY")</f>
        <v>28-Mar-2022</v>
      </c>
      <c r="E189" s="3" t="str">
        <f>TEXT(VLOOKUP(A189,[1]Cleaned!$A:$J,5,0),"DD-MMM-YYYY")</f>
        <v>05-Apr-2022</v>
      </c>
      <c r="F189" t="str">
        <f>VLOOKUP(A189,[1]Cleaned!$A:$J,6,0)</f>
        <v>Chennai</v>
      </c>
      <c r="G189">
        <f>VLOOKUP(A189,[1]Cleaned!$A:$J,9,0)</f>
        <v>37035.68</v>
      </c>
    </row>
    <row r="190" spans="1:7" x14ac:dyDescent="0.3">
      <c r="A190">
        <v>2188</v>
      </c>
      <c r="B190" s="1" t="str">
        <f>VLOOKUP(A190,[1]Cleaned!$A:$J,2,0)</f>
        <v>Manoj K</v>
      </c>
      <c r="C190" t="str">
        <f>VLOOKUP(A190,[1]Cleaned!$A:$J,3,0)</f>
        <v>Jackets</v>
      </c>
      <c r="D190" s="2" t="str">
        <f>TEXT(VLOOKUP(A190,[1]Cleaned!$A:$J,4,0),"DD-MMM-YYYY")</f>
        <v>08-Apr-2024</v>
      </c>
      <c r="E190" s="3" t="str">
        <f>TEXT(VLOOKUP(A190,[1]Cleaned!$A:$J,5,0),"DD-MMM-YYYY")</f>
        <v>21-Apr-2024</v>
      </c>
      <c r="F190" t="str">
        <f>VLOOKUP(A190,[1]Cleaned!$A:$J,6,0)</f>
        <v>Pune</v>
      </c>
      <c r="G190">
        <f>VLOOKUP(A190,[1]Cleaned!$A:$J,9,0)</f>
        <v>11625.04</v>
      </c>
    </row>
    <row r="191" spans="1:7" x14ac:dyDescent="0.3">
      <c r="A191">
        <v>2189</v>
      </c>
      <c r="B191" s="1" t="str">
        <f>VLOOKUP(A191,[1]Cleaned!$A:$J,2,0)</f>
        <v>Anitha Raj</v>
      </c>
      <c r="C191" t="str">
        <f>VLOOKUP(A191,[1]Cleaned!$A:$J,3,0)</f>
        <v>Dresses</v>
      </c>
      <c r="D191" s="2" t="str">
        <f>TEXT(VLOOKUP(A191,[1]Cleaned!$A:$J,4,0),"DD-MMM-YYYY")</f>
        <v>18-Dec-2022</v>
      </c>
      <c r="E191" s="3" t="str">
        <f>TEXT(VLOOKUP(A191,[1]Cleaned!$A:$J,5,0),"DD-MMM-YYYY")</f>
        <v>01-Jan-2023</v>
      </c>
      <c r="F191" t="str">
        <f>VLOOKUP(A191,[1]Cleaned!$A:$J,6,0)</f>
        <v>Hyderabad</v>
      </c>
      <c r="G191">
        <f>VLOOKUP(A191,[1]Cleaned!$A:$J,9,0)</f>
        <v>33684.160000000003</v>
      </c>
    </row>
    <row r="192" spans="1:7" x14ac:dyDescent="0.3">
      <c r="A192">
        <v>2190</v>
      </c>
      <c r="B192" s="1" t="str">
        <f>VLOOKUP(A192,[1]Cleaned!$A:$J,2,0)</f>
        <v>Priya Nair</v>
      </c>
      <c r="C192" t="str">
        <f>VLOOKUP(A192,[1]Cleaned!$A:$J,3,0)</f>
        <v>Jackets</v>
      </c>
      <c r="D192" s="2" t="str">
        <f>TEXT(VLOOKUP(A192,[1]Cleaned!$A:$J,4,0),"DD-MMM-YYYY")</f>
        <v>05-Aug-2022</v>
      </c>
      <c r="E192" s="3" t="str">
        <f>TEXT(VLOOKUP(A192,[1]Cleaned!$A:$J,5,0),"DD-MMM-YYYY")</f>
        <v>10-Aug-2022</v>
      </c>
      <c r="F192" t="str">
        <f>VLOOKUP(A192,[1]Cleaned!$A:$J,6,0)</f>
        <v>Bangalore</v>
      </c>
      <c r="G192">
        <f>VLOOKUP(A192,[1]Cleaned!$A:$J,9,0)</f>
        <v>19338.34</v>
      </c>
    </row>
    <row r="193" spans="1:7" x14ac:dyDescent="0.3">
      <c r="A193">
        <v>2191</v>
      </c>
      <c r="B193" s="1" t="str">
        <f>VLOOKUP(A193,[1]Cleaned!$A:$J,2,0)</f>
        <v>Divya T</v>
      </c>
      <c r="C193" t="str">
        <f>VLOOKUP(A193,[1]Cleaned!$A:$J,3,0)</f>
        <v>Accessories</v>
      </c>
      <c r="D193" s="2" t="str">
        <f>TEXT(VLOOKUP(A193,[1]Cleaned!$A:$J,4,0),"DD-MMM-YYYY")</f>
        <v>27-Nov-2023</v>
      </c>
      <c r="E193" s="3" t="str">
        <f>TEXT(VLOOKUP(A193,[1]Cleaned!$A:$J,5,0),"DD-MMM-YYYY")</f>
        <v>02-Dec-2023</v>
      </c>
      <c r="F193" t="str">
        <f>VLOOKUP(A193,[1]Cleaned!$A:$J,6,0)</f>
        <v>Delhi</v>
      </c>
      <c r="G193">
        <f>VLOOKUP(A193,[1]Cleaned!$A:$J,9,0)</f>
        <v>1976.94</v>
      </c>
    </row>
    <row r="194" spans="1:7" x14ac:dyDescent="0.3">
      <c r="A194">
        <v>2192</v>
      </c>
      <c r="B194" s="1" t="str">
        <f>VLOOKUP(A194,[1]Cleaned!$A:$J,2,0)</f>
        <v>Santhosh P</v>
      </c>
      <c r="C194" t="str">
        <f>VLOOKUP(A194,[1]Cleaned!$A:$J,3,0)</f>
        <v>Shoes</v>
      </c>
      <c r="D194" s="2" t="str">
        <f>TEXT(VLOOKUP(A194,[1]Cleaned!$A:$J,4,0),"DD-MMM-YYYY")</f>
        <v>02-Feb-2023</v>
      </c>
      <c r="E194" s="3" t="str">
        <f>TEXT(VLOOKUP(A194,[1]Cleaned!$A:$J,5,0),"DD-MMM-YYYY")</f>
        <v>16-Feb-2023</v>
      </c>
      <c r="F194" t="str">
        <f>VLOOKUP(A194,[1]Cleaned!$A:$J,6,0)</f>
        <v>Delhi</v>
      </c>
      <c r="G194">
        <f>VLOOKUP(A194,[1]Cleaned!$A:$J,9,0)</f>
        <v>22312.080000000002</v>
      </c>
    </row>
    <row r="195" spans="1:7" x14ac:dyDescent="0.3">
      <c r="A195">
        <v>2193</v>
      </c>
      <c r="B195" s="1" t="str">
        <f>VLOOKUP(A195,[1]Cleaned!$A:$J,2,0)</f>
        <v>Lakshmi S</v>
      </c>
      <c r="C195" t="str">
        <f>VLOOKUP(A195,[1]Cleaned!$A:$J,3,0)</f>
        <v>Jeans</v>
      </c>
      <c r="D195" s="2" t="str">
        <f>TEXT(VLOOKUP(A195,[1]Cleaned!$A:$J,4,0),"DD-MMM-YYYY")</f>
        <v>27-Oct-2022</v>
      </c>
      <c r="E195" s="3" t="str">
        <f>TEXT(VLOOKUP(A195,[1]Cleaned!$A:$J,5,0),"DD-MMM-YYYY")</f>
        <v>02-Nov-2022</v>
      </c>
      <c r="F195" t="str">
        <f>VLOOKUP(A195,[1]Cleaned!$A:$J,6,0)</f>
        <v>Mumbai</v>
      </c>
      <c r="G195">
        <f>VLOOKUP(A195,[1]Cleaned!$A:$J,9,0)</f>
        <v>9393.84</v>
      </c>
    </row>
    <row r="196" spans="1:7" x14ac:dyDescent="0.3">
      <c r="A196">
        <v>2194</v>
      </c>
      <c r="B196" s="1" t="str">
        <f>VLOOKUP(A196,[1]Cleaned!$A:$J,2,0)</f>
        <v>Arjun Reddy</v>
      </c>
      <c r="C196" t="str">
        <f>VLOOKUP(A196,[1]Cleaned!$A:$J,3,0)</f>
        <v>Accessories</v>
      </c>
      <c r="D196" s="2" t="str">
        <f>TEXT(VLOOKUP(A196,[1]Cleaned!$A:$J,4,0),"DD-MMM-YYYY")</f>
        <v>08-Oct-2024</v>
      </c>
      <c r="E196" s="3" t="str">
        <f>TEXT(VLOOKUP(A196,[1]Cleaned!$A:$J,5,0),"DD-MMM-YYYY")</f>
        <v>17-Oct-2024</v>
      </c>
      <c r="F196" t="str">
        <f>VLOOKUP(A196,[1]Cleaned!$A:$J,6,0)</f>
        <v>Ahmedabad</v>
      </c>
      <c r="G196">
        <f>VLOOKUP(A196,[1]Cleaned!$A:$J,9,0)</f>
        <v>28010.639999999999</v>
      </c>
    </row>
    <row r="197" spans="1:7" x14ac:dyDescent="0.3">
      <c r="A197">
        <v>2195</v>
      </c>
      <c r="B197" s="1" t="str">
        <f>VLOOKUP(A197,[1]Cleaned!$A:$J,2,0)</f>
        <v>Balaji N</v>
      </c>
      <c r="C197" t="str">
        <f>VLOOKUP(A197,[1]Cleaned!$A:$J,3,0)</f>
        <v>Dresses</v>
      </c>
      <c r="D197" s="2" t="str">
        <f>TEXT(VLOOKUP(A197,[1]Cleaned!$A:$J,4,0),"DD-MMM-YYYY")</f>
        <v>06-Nov-2022</v>
      </c>
      <c r="E197" s="3" t="str">
        <f>TEXT(VLOOKUP(A197,[1]Cleaned!$A:$J,5,0),"DD-MMM-YYYY")</f>
        <v>15-Nov-2022</v>
      </c>
      <c r="F197" t="str">
        <f>VLOOKUP(A197,[1]Cleaned!$A:$J,6,0)</f>
        <v>Chennai</v>
      </c>
      <c r="G197">
        <f>VLOOKUP(A197,[1]Cleaned!$A:$J,9,0)</f>
        <v>19027.04</v>
      </c>
    </row>
    <row r="198" spans="1:7" x14ac:dyDescent="0.3">
      <c r="A198">
        <v>2196</v>
      </c>
      <c r="B198" s="1" t="str">
        <f>VLOOKUP(A198,[1]Cleaned!$A:$J,2,0)</f>
        <v>Ravi Kumar</v>
      </c>
      <c r="C198" t="str">
        <f>VLOOKUP(A198,[1]Cleaned!$A:$J,3,0)</f>
        <v>Shoes</v>
      </c>
      <c r="D198" s="2" t="str">
        <f>TEXT(VLOOKUP(A198,[1]Cleaned!$A:$J,4,0),"DD-MMM-YYYY")</f>
        <v>26-Apr-2022</v>
      </c>
      <c r="E198" s="3" t="str">
        <f>TEXT(VLOOKUP(A198,[1]Cleaned!$A:$J,5,0),"DD-MMM-YYYY")</f>
        <v>03-May-2022</v>
      </c>
      <c r="F198" t="str">
        <f>VLOOKUP(A198,[1]Cleaned!$A:$J,6,0)</f>
        <v>Hyderabad</v>
      </c>
      <c r="G198">
        <f>VLOOKUP(A198,[1]Cleaned!$A:$J,9,0)</f>
        <v>3517.84</v>
      </c>
    </row>
    <row r="199" spans="1:7" x14ac:dyDescent="0.3">
      <c r="A199">
        <v>2197</v>
      </c>
      <c r="B199" s="1" t="str">
        <f>VLOOKUP(A199,[1]Cleaned!$A:$J,2,0)</f>
        <v>Karthik Vel</v>
      </c>
      <c r="C199" t="str">
        <f>VLOOKUP(A199,[1]Cleaned!$A:$J,3,0)</f>
        <v>Jeans</v>
      </c>
      <c r="D199" s="2" t="str">
        <f>TEXT(VLOOKUP(A199,[1]Cleaned!$A:$J,4,0),"DD-MMM-YYYY")</f>
        <v>26-Jan-2024</v>
      </c>
      <c r="E199" s="3" t="str">
        <f>TEXT(VLOOKUP(A199,[1]Cleaned!$A:$J,5,0),"DD-MMM-YYYY")</f>
        <v>10-Feb-2024</v>
      </c>
      <c r="F199" t="str">
        <f>VLOOKUP(A199,[1]Cleaned!$A:$J,6,0)</f>
        <v>Delhi</v>
      </c>
      <c r="G199">
        <f>VLOOKUP(A199,[1]Cleaned!$A:$J,9,0)</f>
        <v>6659.86</v>
      </c>
    </row>
    <row r="200" spans="1:7" x14ac:dyDescent="0.3">
      <c r="A200">
        <v>2198</v>
      </c>
      <c r="B200" s="1" t="str">
        <f>VLOOKUP(A200,[1]Cleaned!$A:$J,2,0)</f>
        <v>Revathi A</v>
      </c>
      <c r="C200" t="str">
        <f>VLOOKUP(A200,[1]Cleaned!$A:$J,3,0)</f>
        <v>Shoes</v>
      </c>
      <c r="D200" s="2" t="str">
        <f>TEXT(VLOOKUP(A200,[1]Cleaned!$A:$J,4,0),"DD-MMM-YYYY")</f>
        <v>04-Nov-2024</v>
      </c>
      <c r="E200" s="3" t="str">
        <f>TEXT(VLOOKUP(A200,[1]Cleaned!$A:$J,5,0),"DD-MMM-YYYY")</f>
        <v>12-Nov-2024</v>
      </c>
      <c r="F200" t="str">
        <f>VLOOKUP(A200,[1]Cleaned!$A:$J,6,0)</f>
        <v>Bangalore</v>
      </c>
      <c r="G200">
        <f>VLOOKUP(A200,[1]Cleaned!$A:$J,9,0)</f>
        <v>2413.75</v>
      </c>
    </row>
    <row r="201" spans="1:7" x14ac:dyDescent="0.3">
      <c r="A201">
        <v>2199</v>
      </c>
      <c r="B201" s="1" t="str">
        <f>VLOOKUP(A201,[1]Cleaned!$A:$J,2,0)</f>
        <v>Arun Pandi</v>
      </c>
      <c r="C201" t="str">
        <f>VLOOKUP(A201,[1]Cleaned!$A:$J,3,0)</f>
        <v>Shoes</v>
      </c>
      <c r="D201" s="2" t="str">
        <f>TEXT(VLOOKUP(A201,[1]Cleaned!$A:$J,4,0),"DD-MMM-YYYY")</f>
        <v>01-Sep-2024</v>
      </c>
      <c r="E201" s="3" t="str">
        <f>TEXT(VLOOKUP(A201,[1]Cleaned!$A:$J,5,0),"DD-MMM-YYYY")</f>
        <v>11-Sep-2024</v>
      </c>
      <c r="F201" t="str">
        <f>VLOOKUP(A201,[1]Cleaned!$A:$J,6,0)</f>
        <v>Mumbai</v>
      </c>
      <c r="G201">
        <f>VLOOKUP(A201,[1]Cleaned!$A:$J,9,0)</f>
        <v>2417.46</v>
      </c>
    </row>
    <row r="202" spans="1:7" x14ac:dyDescent="0.3">
      <c r="A202">
        <v>2200</v>
      </c>
      <c r="B202" s="1" t="str">
        <f>VLOOKUP(A202,[1]Cleaned!$A:$J,2,0)</f>
        <v>Ganesh R</v>
      </c>
      <c r="C202" t="str">
        <f>VLOOKUP(A202,[1]Cleaned!$A:$J,3,0)</f>
        <v>Jeans</v>
      </c>
      <c r="D202" s="2" t="str">
        <f>TEXT(VLOOKUP(A202,[1]Cleaned!$A:$J,4,0),"DD-MMM-YYYY")</f>
        <v>30-Oct-2024</v>
      </c>
      <c r="E202" s="3" t="str">
        <f>TEXT(VLOOKUP(A202,[1]Cleaned!$A:$J,5,0),"DD-MMM-YYYY")</f>
        <v>11-Nov-2024</v>
      </c>
      <c r="F202" t="str">
        <f>VLOOKUP(A202,[1]Cleaned!$A:$J,6,0)</f>
        <v>Mumbai</v>
      </c>
      <c r="G202">
        <f>VLOOKUP(A202,[1]Cleaned!$A:$J,9,0)</f>
        <v>1464.4</v>
      </c>
    </row>
    <row r="203" spans="1:7" x14ac:dyDescent="0.3">
      <c r="A203">
        <v>2201</v>
      </c>
      <c r="B203" s="1" t="str">
        <f>VLOOKUP(A203,[1]Cleaned!$A:$J,2,0)</f>
        <v>Rahul G</v>
      </c>
      <c r="C203" t="str">
        <f>VLOOKUP(A203,[1]Cleaned!$A:$J,3,0)</f>
        <v>Shoes</v>
      </c>
      <c r="D203" s="2" t="str">
        <f>TEXT(VLOOKUP(A203,[1]Cleaned!$A:$J,4,0),"DD-MMM-YYYY")</f>
        <v>06-Dec-2024</v>
      </c>
      <c r="E203" s="3" t="str">
        <f>TEXT(VLOOKUP(A203,[1]Cleaned!$A:$J,5,0),"DD-MMM-YYYY")</f>
        <v>17-Dec-2024</v>
      </c>
      <c r="F203" t="str">
        <f>VLOOKUP(A203,[1]Cleaned!$A:$J,6,0)</f>
        <v>Mumbai</v>
      </c>
      <c r="G203">
        <f>VLOOKUP(A203,[1]Cleaned!$A:$J,9,0)</f>
        <v>12314.4</v>
      </c>
    </row>
    <row r="204" spans="1:7" x14ac:dyDescent="0.3">
      <c r="A204">
        <v>2202</v>
      </c>
      <c r="B204" s="1" t="str">
        <f>VLOOKUP(A204,[1]Cleaned!$A:$J,2,0)</f>
        <v>Vijay K</v>
      </c>
      <c r="C204" t="str">
        <f>VLOOKUP(A204,[1]Cleaned!$A:$J,3,0)</f>
        <v>Jackets</v>
      </c>
      <c r="D204" s="2" t="str">
        <f>TEXT(VLOOKUP(A204,[1]Cleaned!$A:$J,4,0),"DD-MMM-YYYY")</f>
        <v>24-Nov-2023</v>
      </c>
      <c r="E204" s="3" t="str">
        <f>TEXT(VLOOKUP(A204,[1]Cleaned!$A:$J,5,0),"DD-MMM-YYYY")</f>
        <v>06-Dec-2023</v>
      </c>
      <c r="F204" t="str">
        <f>VLOOKUP(A204,[1]Cleaned!$A:$J,6,0)</f>
        <v>Hyderabad</v>
      </c>
      <c r="G204">
        <f>VLOOKUP(A204,[1]Cleaned!$A:$J,9,0)</f>
        <v>4009.37</v>
      </c>
    </row>
    <row r="205" spans="1:7" x14ac:dyDescent="0.3">
      <c r="A205">
        <v>2203</v>
      </c>
      <c r="B205" s="1" t="str">
        <f>VLOOKUP(A205,[1]Cleaned!$A:$J,2,0)</f>
        <v>Priya Nair</v>
      </c>
      <c r="C205" t="str">
        <f>VLOOKUP(A205,[1]Cleaned!$A:$J,3,0)</f>
        <v>Dresses</v>
      </c>
      <c r="D205" s="2" t="str">
        <f>TEXT(VLOOKUP(A205,[1]Cleaned!$A:$J,4,0),"DD-MMM-YYYY")</f>
        <v>13-Jul-2022</v>
      </c>
      <c r="E205" s="3" t="str">
        <f>TEXT(VLOOKUP(A205,[1]Cleaned!$A:$J,5,0),"DD-MMM-YYYY")</f>
        <v>23-Jul-2022</v>
      </c>
      <c r="F205" t="str">
        <f>VLOOKUP(A205,[1]Cleaned!$A:$J,6,0)</f>
        <v>Pune</v>
      </c>
      <c r="G205">
        <f>VLOOKUP(A205,[1]Cleaned!$A:$J,9,0)</f>
        <v>11448.43</v>
      </c>
    </row>
    <row r="206" spans="1:7" x14ac:dyDescent="0.3">
      <c r="A206">
        <v>2204</v>
      </c>
      <c r="B206" s="1" t="str">
        <f>VLOOKUP(A206,[1]Cleaned!$A:$J,2,0)</f>
        <v>Arun Pandi</v>
      </c>
      <c r="C206" t="str">
        <f>VLOOKUP(A206,[1]Cleaned!$A:$J,3,0)</f>
        <v>Jeans</v>
      </c>
      <c r="D206" s="2" t="str">
        <f>TEXT(VLOOKUP(A206,[1]Cleaned!$A:$J,4,0),"DD-MMM-YYYY")</f>
        <v>17-Oct-2022</v>
      </c>
      <c r="E206" s="3" t="str">
        <f>TEXT(VLOOKUP(A206,[1]Cleaned!$A:$J,5,0),"DD-MMM-YYYY")</f>
        <v>24-Oct-2022</v>
      </c>
      <c r="F206" t="str">
        <f>VLOOKUP(A206,[1]Cleaned!$A:$J,6,0)</f>
        <v>Delhi</v>
      </c>
      <c r="G206">
        <f>VLOOKUP(A206,[1]Cleaned!$A:$J,9,0)</f>
        <v>6342.49</v>
      </c>
    </row>
    <row r="207" spans="1:7" x14ac:dyDescent="0.3">
      <c r="A207">
        <v>2205</v>
      </c>
      <c r="B207" s="1" t="str">
        <f>VLOOKUP(A207,[1]Cleaned!$A:$J,2,0)</f>
        <v>Divya T</v>
      </c>
      <c r="C207" t="str">
        <f>VLOOKUP(A207,[1]Cleaned!$A:$J,3,0)</f>
        <v>Shoes</v>
      </c>
      <c r="D207" s="2" t="str">
        <f>TEXT(VLOOKUP(A207,[1]Cleaned!$A:$J,4,0),"DD-MMM-YYYY")</f>
        <v>11-Feb-2024</v>
      </c>
      <c r="E207" s="3" t="str">
        <f>TEXT(VLOOKUP(A207,[1]Cleaned!$A:$J,5,0),"DD-MMM-YYYY")</f>
        <v>23-Feb-2024</v>
      </c>
      <c r="F207" t="str">
        <f>VLOOKUP(A207,[1]Cleaned!$A:$J,6,0)</f>
        <v>Ahmedabad</v>
      </c>
      <c r="G207">
        <f>VLOOKUP(A207,[1]Cleaned!$A:$J,9,0)</f>
        <v>24731.82</v>
      </c>
    </row>
    <row r="208" spans="1:7" x14ac:dyDescent="0.3">
      <c r="A208">
        <v>2206</v>
      </c>
      <c r="B208" s="1" t="str">
        <f>VLOOKUP(A208,[1]Cleaned!$A:$J,2,0)</f>
        <v>Balaji N</v>
      </c>
      <c r="C208" t="str">
        <f>VLOOKUP(A208,[1]Cleaned!$A:$J,3,0)</f>
        <v>Accessories</v>
      </c>
      <c r="D208" s="2" t="str">
        <f>TEXT(VLOOKUP(A208,[1]Cleaned!$A:$J,4,0),"DD-MMM-YYYY")</f>
        <v>17-May-2024</v>
      </c>
      <c r="E208" s="3" t="str">
        <f>TEXT(VLOOKUP(A208,[1]Cleaned!$A:$J,5,0),"DD-MMM-YYYY")</f>
        <v>27-May-2024</v>
      </c>
      <c r="F208" t="str">
        <f>VLOOKUP(A208,[1]Cleaned!$A:$J,6,0)</f>
        <v>Delhi</v>
      </c>
      <c r="G208">
        <f>VLOOKUP(A208,[1]Cleaned!$A:$J,9,0)</f>
        <v>2004.21</v>
      </c>
    </row>
    <row r="209" spans="1:7" x14ac:dyDescent="0.3">
      <c r="A209">
        <v>2207</v>
      </c>
      <c r="B209" s="1" t="str">
        <f>VLOOKUP(A209,[1]Cleaned!$A:$J,2,0)</f>
        <v>Meena Iyer</v>
      </c>
      <c r="C209" t="str">
        <f>VLOOKUP(A209,[1]Cleaned!$A:$J,3,0)</f>
        <v>Dresses</v>
      </c>
      <c r="D209" s="2" t="str">
        <f>TEXT(VLOOKUP(A209,[1]Cleaned!$A:$J,4,0),"DD-MMM-YYYY")</f>
        <v>22-Sep-2024</v>
      </c>
      <c r="E209" s="3" t="str">
        <f>TEXT(VLOOKUP(A209,[1]Cleaned!$A:$J,5,0),"DD-MMM-YYYY")</f>
        <v>27-Sep-2024</v>
      </c>
      <c r="F209" t="str">
        <f>VLOOKUP(A209,[1]Cleaned!$A:$J,6,0)</f>
        <v>Mumbai</v>
      </c>
      <c r="G209">
        <f>VLOOKUP(A209,[1]Cleaned!$A:$J,9,0)</f>
        <v>3084.72</v>
      </c>
    </row>
    <row r="210" spans="1:7" x14ac:dyDescent="0.3">
      <c r="A210">
        <v>2208</v>
      </c>
      <c r="B210" s="1" t="str">
        <f>VLOOKUP(A210,[1]Cleaned!$A:$J,2,0)</f>
        <v>Suresh M</v>
      </c>
      <c r="C210" t="str">
        <f>VLOOKUP(A210,[1]Cleaned!$A:$J,3,0)</f>
        <v>Shoes</v>
      </c>
      <c r="D210" s="2" t="str">
        <f>TEXT(VLOOKUP(A210,[1]Cleaned!$A:$J,4,0),"DD-MMM-YYYY")</f>
        <v>14-Dec-2024</v>
      </c>
      <c r="E210" s="3" t="str">
        <f>TEXT(VLOOKUP(A210,[1]Cleaned!$A:$J,5,0),"DD-MMM-YYYY")</f>
        <v>16-Dec-2024</v>
      </c>
      <c r="F210" t="str">
        <f>VLOOKUP(A210,[1]Cleaned!$A:$J,6,0)</f>
        <v>Pune</v>
      </c>
      <c r="G210">
        <f>VLOOKUP(A210,[1]Cleaned!$A:$J,9,0)</f>
        <v>26514.3</v>
      </c>
    </row>
    <row r="211" spans="1:7" x14ac:dyDescent="0.3">
      <c r="A211">
        <v>2209</v>
      </c>
      <c r="B211" s="1" t="str">
        <f>VLOOKUP(A211,[1]Cleaned!$A:$J,2,0)</f>
        <v>Revathi A</v>
      </c>
      <c r="C211" t="str">
        <f>VLOOKUP(A211,[1]Cleaned!$A:$J,3,0)</f>
        <v>Jackets</v>
      </c>
      <c r="D211" s="2" t="str">
        <f>TEXT(VLOOKUP(A211,[1]Cleaned!$A:$J,4,0),"DD-MMM-YYYY")</f>
        <v>12-Nov-2022</v>
      </c>
      <c r="E211" s="3" t="str">
        <f>TEXT(VLOOKUP(A211,[1]Cleaned!$A:$J,5,0),"DD-MMM-YYYY")</f>
        <v>16-Nov-2022</v>
      </c>
      <c r="F211" t="str">
        <f>VLOOKUP(A211,[1]Cleaned!$A:$J,6,0)</f>
        <v>Mumbai</v>
      </c>
      <c r="G211">
        <f>VLOOKUP(A211,[1]Cleaned!$A:$J,9,0)</f>
        <v>11068.68</v>
      </c>
    </row>
    <row r="212" spans="1:7" x14ac:dyDescent="0.3">
      <c r="A212">
        <v>2210</v>
      </c>
      <c r="B212" s="1" t="str">
        <f>VLOOKUP(A212,[1]Cleaned!$A:$J,2,0)</f>
        <v>Pooja M</v>
      </c>
      <c r="C212" t="str">
        <f>VLOOKUP(A212,[1]Cleaned!$A:$J,3,0)</f>
        <v>Dresses</v>
      </c>
      <c r="D212" s="2" t="str">
        <f>TEXT(VLOOKUP(A212,[1]Cleaned!$A:$J,4,0),"DD-MMM-YYYY")</f>
        <v>02-May-2023</v>
      </c>
      <c r="E212" s="3" t="str">
        <f>TEXT(VLOOKUP(A212,[1]Cleaned!$A:$J,5,0),"DD-MMM-YYYY")</f>
        <v>11-May-2023</v>
      </c>
      <c r="F212" t="str">
        <f>VLOOKUP(A212,[1]Cleaned!$A:$J,6,0)</f>
        <v>Hyderabad</v>
      </c>
      <c r="G212">
        <f>VLOOKUP(A212,[1]Cleaned!$A:$J,9,0)</f>
        <v>19181.2</v>
      </c>
    </row>
    <row r="213" spans="1:7" x14ac:dyDescent="0.3">
      <c r="A213">
        <v>2211</v>
      </c>
      <c r="B213" s="1" t="str">
        <f>VLOOKUP(A213,[1]Cleaned!$A:$J,2,0)</f>
        <v>Lakshmi S</v>
      </c>
      <c r="C213" t="str">
        <f>VLOOKUP(A213,[1]Cleaned!$A:$J,3,0)</f>
        <v>Shoes</v>
      </c>
      <c r="D213" s="2" t="str">
        <f>TEXT(VLOOKUP(A213,[1]Cleaned!$A:$J,4,0),"DD-MMM-YYYY")</f>
        <v>05-May-2023</v>
      </c>
      <c r="E213" s="3" t="str">
        <f>TEXT(VLOOKUP(A213,[1]Cleaned!$A:$J,5,0),"DD-MMM-YYYY")</f>
        <v>11-May-2023</v>
      </c>
      <c r="F213" t="str">
        <f>VLOOKUP(A213,[1]Cleaned!$A:$J,6,0)</f>
        <v>Ahmedabad</v>
      </c>
      <c r="G213">
        <f>VLOOKUP(A213,[1]Cleaned!$A:$J,9,0)</f>
        <v>36389.440000000002</v>
      </c>
    </row>
    <row r="214" spans="1:7" x14ac:dyDescent="0.3">
      <c r="A214">
        <v>2212</v>
      </c>
      <c r="B214" s="1" t="str">
        <f>VLOOKUP(A214,[1]Cleaned!$A:$J,2,0)</f>
        <v>Sneha R</v>
      </c>
      <c r="C214" t="str">
        <f>VLOOKUP(A214,[1]Cleaned!$A:$J,3,0)</f>
        <v>Accessories</v>
      </c>
      <c r="D214" s="2" t="str">
        <f>TEXT(VLOOKUP(A214,[1]Cleaned!$A:$J,4,0),"DD-MMM-YYYY")</f>
        <v>21-Jun-2024</v>
      </c>
      <c r="E214" s="3" t="str">
        <f>TEXT(VLOOKUP(A214,[1]Cleaned!$A:$J,5,0),"DD-MMM-YYYY")</f>
        <v>30-Jun-2024</v>
      </c>
      <c r="F214" t="str">
        <f>VLOOKUP(A214,[1]Cleaned!$A:$J,6,0)</f>
        <v>Ahmedabad</v>
      </c>
      <c r="G214">
        <f>VLOOKUP(A214,[1]Cleaned!$A:$J,9,0)</f>
        <v>19785.900000000001</v>
      </c>
    </row>
    <row r="215" spans="1:7" x14ac:dyDescent="0.3">
      <c r="A215">
        <v>2213</v>
      </c>
      <c r="B215" s="1" t="str">
        <f>VLOOKUP(A215,[1]Cleaned!$A:$J,2,0)</f>
        <v>Arjun Reddy</v>
      </c>
      <c r="C215" t="str">
        <f>VLOOKUP(A215,[1]Cleaned!$A:$J,3,0)</f>
        <v>T-Shirts</v>
      </c>
      <c r="D215" s="2" t="str">
        <f>TEXT(VLOOKUP(A215,[1]Cleaned!$A:$J,4,0),"DD-MMM-YYYY")</f>
        <v>11-Oct-2022</v>
      </c>
      <c r="E215" s="3" t="str">
        <f>TEXT(VLOOKUP(A215,[1]Cleaned!$A:$J,5,0),"DD-MMM-YYYY")</f>
        <v>26-Oct-2022</v>
      </c>
      <c r="F215" t="str">
        <f>VLOOKUP(A215,[1]Cleaned!$A:$J,6,0)</f>
        <v>Delhi</v>
      </c>
      <c r="G215">
        <f>VLOOKUP(A215,[1]Cleaned!$A:$J,9,0)</f>
        <v>3313.54</v>
      </c>
    </row>
    <row r="216" spans="1:7" x14ac:dyDescent="0.3">
      <c r="A216">
        <v>2214</v>
      </c>
      <c r="B216" s="1" t="str">
        <f>VLOOKUP(A216,[1]Cleaned!$A:$J,2,0)</f>
        <v>Nithya R</v>
      </c>
      <c r="C216" t="str">
        <f>VLOOKUP(A216,[1]Cleaned!$A:$J,3,0)</f>
        <v>Jeans</v>
      </c>
      <c r="D216" s="2" t="str">
        <f>TEXT(VLOOKUP(A216,[1]Cleaned!$A:$J,4,0),"DD-MMM-YYYY")</f>
        <v>22-Nov-2024</v>
      </c>
      <c r="E216" s="3" t="str">
        <f>TEXT(VLOOKUP(A216,[1]Cleaned!$A:$J,5,0),"DD-MMM-YYYY")</f>
        <v>07-Dec-2024</v>
      </c>
      <c r="F216" t="str">
        <f>VLOOKUP(A216,[1]Cleaned!$A:$J,6,0)</f>
        <v>Chennai</v>
      </c>
      <c r="G216">
        <f>VLOOKUP(A216,[1]Cleaned!$A:$J,9,0)</f>
        <v>3471.05</v>
      </c>
    </row>
    <row r="217" spans="1:7" x14ac:dyDescent="0.3">
      <c r="A217">
        <v>2215</v>
      </c>
      <c r="B217" s="1" t="str">
        <f>VLOOKUP(A217,[1]Cleaned!$A:$J,2,0)</f>
        <v>Ravi Kumar</v>
      </c>
      <c r="C217" t="str">
        <f>VLOOKUP(A217,[1]Cleaned!$A:$J,3,0)</f>
        <v>Jackets</v>
      </c>
      <c r="D217" s="2" t="str">
        <f>TEXT(VLOOKUP(A217,[1]Cleaned!$A:$J,4,0),"DD-MMM-YYYY")</f>
        <v>17-Nov-2024</v>
      </c>
      <c r="E217" s="3" t="str">
        <f>TEXT(VLOOKUP(A217,[1]Cleaned!$A:$J,5,0),"DD-MMM-YYYY")</f>
        <v>21-Nov-2024</v>
      </c>
      <c r="F217" t="str">
        <f>VLOOKUP(A217,[1]Cleaned!$A:$J,6,0)</f>
        <v>Ahmedabad</v>
      </c>
      <c r="G217">
        <f>VLOOKUP(A217,[1]Cleaned!$A:$J,9,0)</f>
        <v>5117.3500000000004</v>
      </c>
    </row>
    <row r="218" spans="1:7" x14ac:dyDescent="0.3">
      <c r="A218">
        <v>2216</v>
      </c>
      <c r="B218" s="1" t="str">
        <f>VLOOKUP(A218,[1]Cleaned!$A:$J,2,0)</f>
        <v>Rahul G</v>
      </c>
      <c r="C218" t="str">
        <f>VLOOKUP(A218,[1]Cleaned!$A:$J,3,0)</f>
        <v>Dresses</v>
      </c>
      <c r="D218" s="2" t="str">
        <f>TEXT(VLOOKUP(A218,[1]Cleaned!$A:$J,4,0),"DD-MMM-YYYY")</f>
        <v>24-Feb-2022</v>
      </c>
      <c r="E218" s="3" t="str">
        <f>TEXT(VLOOKUP(A218,[1]Cleaned!$A:$J,5,0),"DD-MMM-YYYY")</f>
        <v>04-Mar-2022</v>
      </c>
      <c r="F218" t="str">
        <f>VLOOKUP(A218,[1]Cleaned!$A:$J,6,0)</f>
        <v>Chennai</v>
      </c>
      <c r="G218">
        <f>VLOOKUP(A218,[1]Cleaned!$A:$J,9,0)</f>
        <v>18616.009999999998</v>
      </c>
    </row>
    <row r="219" spans="1:7" x14ac:dyDescent="0.3">
      <c r="A219">
        <v>2217</v>
      </c>
      <c r="B219" s="1" t="str">
        <f>VLOOKUP(A219,[1]Cleaned!$A:$J,2,0)</f>
        <v>Vijay K</v>
      </c>
      <c r="C219" t="str">
        <f>VLOOKUP(A219,[1]Cleaned!$A:$J,3,0)</f>
        <v>Jeans</v>
      </c>
      <c r="D219" s="2" t="str">
        <f>TEXT(VLOOKUP(A219,[1]Cleaned!$A:$J,4,0),"DD-MMM-YYYY")</f>
        <v>07-Feb-2024</v>
      </c>
      <c r="E219" s="3" t="str">
        <f>TEXT(VLOOKUP(A219,[1]Cleaned!$A:$J,5,0),"DD-MMM-YYYY")</f>
        <v>12-Feb-2024</v>
      </c>
      <c r="F219" t="str">
        <f>VLOOKUP(A219,[1]Cleaned!$A:$J,6,0)</f>
        <v>Chennai</v>
      </c>
      <c r="G219">
        <f>VLOOKUP(A219,[1]Cleaned!$A:$J,9,0)</f>
        <v>28049.279999999999</v>
      </c>
    </row>
    <row r="220" spans="1:7" x14ac:dyDescent="0.3">
      <c r="A220">
        <v>2218</v>
      </c>
      <c r="B220" s="1" t="str">
        <f>VLOOKUP(A220,[1]Cleaned!$A:$J,2,0)</f>
        <v>Deepa K</v>
      </c>
      <c r="C220" t="str">
        <f>VLOOKUP(A220,[1]Cleaned!$A:$J,3,0)</f>
        <v>T-Shirts</v>
      </c>
      <c r="D220" s="2" t="str">
        <f>TEXT(VLOOKUP(A220,[1]Cleaned!$A:$J,4,0),"DD-MMM-YYYY")</f>
        <v>20-Mar-2022</v>
      </c>
      <c r="E220" s="3" t="str">
        <f>TEXT(VLOOKUP(A220,[1]Cleaned!$A:$J,5,0),"DD-MMM-YYYY")</f>
        <v>26-Mar-2022</v>
      </c>
      <c r="F220" t="str">
        <f>VLOOKUP(A220,[1]Cleaned!$A:$J,6,0)</f>
        <v>Ahmedabad</v>
      </c>
      <c r="G220">
        <f>VLOOKUP(A220,[1]Cleaned!$A:$J,9,0)</f>
        <v>28572.32</v>
      </c>
    </row>
    <row r="221" spans="1:7" x14ac:dyDescent="0.3">
      <c r="A221">
        <v>2219</v>
      </c>
      <c r="B221" s="1" t="str">
        <f>VLOOKUP(A221,[1]Cleaned!$A:$J,2,0)</f>
        <v>Prakash V</v>
      </c>
      <c r="C221" t="str">
        <f>VLOOKUP(A221,[1]Cleaned!$A:$J,3,0)</f>
        <v>Accessories</v>
      </c>
      <c r="D221" s="2" t="str">
        <f>TEXT(VLOOKUP(A221,[1]Cleaned!$A:$J,4,0),"DD-MMM-YYYY")</f>
        <v>18-Aug-2024</v>
      </c>
      <c r="E221" s="3" t="str">
        <f>TEXT(VLOOKUP(A221,[1]Cleaned!$A:$J,5,0),"DD-MMM-YYYY")</f>
        <v>27-Aug-2024</v>
      </c>
      <c r="F221" t="str">
        <f>VLOOKUP(A221,[1]Cleaned!$A:$J,6,0)</f>
        <v>Hyderabad</v>
      </c>
      <c r="G221">
        <f>VLOOKUP(A221,[1]Cleaned!$A:$J,9,0)</f>
        <v>4557.53</v>
      </c>
    </row>
    <row r="222" spans="1:7" x14ac:dyDescent="0.3">
      <c r="A222">
        <v>2220</v>
      </c>
      <c r="B222" s="1" t="str">
        <f>VLOOKUP(A222,[1]Cleaned!$A:$J,2,0)</f>
        <v>Ravi Kumar</v>
      </c>
      <c r="C222" t="str">
        <f>VLOOKUP(A222,[1]Cleaned!$A:$J,3,0)</f>
        <v>T-Shirts</v>
      </c>
      <c r="D222" s="2" t="str">
        <f>TEXT(VLOOKUP(A222,[1]Cleaned!$A:$J,4,0),"DD-MMM-YYYY")</f>
        <v>03-Nov-2022</v>
      </c>
      <c r="E222" s="3" t="str">
        <f>TEXT(VLOOKUP(A222,[1]Cleaned!$A:$J,5,0),"DD-MMM-YYYY")</f>
        <v>13-Nov-2022</v>
      </c>
      <c r="F222" t="str">
        <f>VLOOKUP(A222,[1]Cleaned!$A:$J,6,0)</f>
        <v>Pune</v>
      </c>
      <c r="G222">
        <f>VLOOKUP(A222,[1]Cleaned!$A:$J,9,0)</f>
        <v>5758.06</v>
      </c>
    </row>
    <row r="223" spans="1:7" x14ac:dyDescent="0.3">
      <c r="A223">
        <v>2221</v>
      </c>
      <c r="B223" s="1" t="str">
        <f>VLOOKUP(A223,[1]Cleaned!$A:$J,2,0)</f>
        <v>Lakshmi S</v>
      </c>
      <c r="C223" t="str">
        <f>VLOOKUP(A223,[1]Cleaned!$A:$J,3,0)</f>
        <v>Dresses</v>
      </c>
      <c r="D223" s="2" t="str">
        <f>TEXT(VLOOKUP(A223,[1]Cleaned!$A:$J,4,0),"DD-MMM-YYYY")</f>
        <v>07-Sep-2022</v>
      </c>
      <c r="E223" s="3" t="str">
        <f>TEXT(VLOOKUP(A223,[1]Cleaned!$A:$J,5,0),"DD-MMM-YYYY")</f>
        <v>09-Sep-2022</v>
      </c>
      <c r="F223" t="str">
        <f>VLOOKUP(A223,[1]Cleaned!$A:$J,6,0)</f>
        <v>Mumbai</v>
      </c>
      <c r="G223">
        <f>VLOOKUP(A223,[1]Cleaned!$A:$J,9,0)</f>
        <v>23121.49</v>
      </c>
    </row>
    <row r="224" spans="1:7" x14ac:dyDescent="0.3">
      <c r="A224">
        <v>2222</v>
      </c>
      <c r="B224" s="1" t="str">
        <f>VLOOKUP(A224,[1]Cleaned!$A:$J,2,0)</f>
        <v>Priya Nair</v>
      </c>
      <c r="C224" t="str">
        <f>VLOOKUP(A224,[1]Cleaned!$A:$J,3,0)</f>
        <v>Jeans</v>
      </c>
      <c r="D224" s="2" t="str">
        <f>TEXT(VLOOKUP(A224,[1]Cleaned!$A:$J,4,0),"DD-MMM-YYYY")</f>
        <v>20-Oct-2024</v>
      </c>
      <c r="E224" s="3" t="str">
        <f>TEXT(VLOOKUP(A224,[1]Cleaned!$A:$J,5,0),"DD-MMM-YYYY")</f>
        <v>31-Oct-2024</v>
      </c>
      <c r="F224" t="str">
        <f>VLOOKUP(A224,[1]Cleaned!$A:$J,6,0)</f>
        <v>Hyderabad</v>
      </c>
      <c r="G224">
        <f>VLOOKUP(A224,[1]Cleaned!$A:$J,9,0)</f>
        <v>3270.19</v>
      </c>
    </row>
    <row r="225" spans="1:7" x14ac:dyDescent="0.3">
      <c r="A225">
        <v>2223</v>
      </c>
      <c r="B225" s="1" t="str">
        <f>VLOOKUP(A225,[1]Cleaned!$A:$J,2,0)</f>
        <v>Ganesh R</v>
      </c>
      <c r="C225" t="str">
        <f>VLOOKUP(A225,[1]Cleaned!$A:$J,3,0)</f>
        <v>T-Shirts</v>
      </c>
      <c r="D225" s="2" t="str">
        <f>TEXT(VLOOKUP(A225,[1]Cleaned!$A:$J,4,0),"DD-MMM-YYYY")</f>
        <v>20-Aug-2023</v>
      </c>
      <c r="E225" s="3" t="str">
        <f>TEXT(VLOOKUP(A225,[1]Cleaned!$A:$J,5,0),"DD-MMM-YYYY")</f>
        <v>28-Aug-2023</v>
      </c>
      <c r="F225" t="str">
        <f>VLOOKUP(A225,[1]Cleaned!$A:$J,6,0)</f>
        <v>Chennai</v>
      </c>
      <c r="G225">
        <f>VLOOKUP(A225,[1]Cleaned!$A:$J,9,0)</f>
        <v>8583.9</v>
      </c>
    </row>
    <row r="226" spans="1:7" x14ac:dyDescent="0.3">
      <c r="A226">
        <v>2224</v>
      </c>
      <c r="B226" s="1" t="str">
        <f>VLOOKUP(A226,[1]Cleaned!$A:$J,2,0)</f>
        <v>Arjun Reddy</v>
      </c>
      <c r="C226" t="str">
        <f>VLOOKUP(A226,[1]Cleaned!$A:$J,3,0)</f>
        <v>Accessories</v>
      </c>
      <c r="D226" s="2" t="str">
        <f>TEXT(VLOOKUP(A226,[1]Cleaned!$A:$J,4,0),"DD-MMM-YYYY")</f>
        <v>25-Jun-2022</v>
      </c>
      <c r="E226" s="3" t="str">
        <f>TEXT(VLOOKUP(A226,[1]Cleaned!$A:$J,5,0),"DD-MMM-YYYY")</f>
        <v>05-Jul-2022</v>
      </c>
      <c r="F226" t="str">
        <f>VLOOKUP(A226,[1]Cleaned!$A:$J,6,0)</f>
        <v>Delhi</v>
      </c>
      <c r="G226">
        <f>VLOOKUP(A226,[1]Cleaned!$A:$J,9,0)</f>
        <v>9562</v>
      </c>
    </row>
    <row r="227" spans="1:7" x14ac:dyDescent="0.3">
      <c r="A227">
        <v>2225</v>
      </c>
      <c r="B227" s="1" t="str">
        <f>VLOOKUP(A227,[1]Cleaned!$A:$J,2,0)</f>
        <v>Vijay K</v>
      </c>
      <c r="C227" t="str">
        <f>VLOOKUP(A227,[1]Cleaned!$A:$J,3,0)</f>
        <v>Jackets</v>
      </c>
      <c r="D227" s="2" t="str">
        <f>TEXT(VLOOKUP(A227,[1]Cleaned!$A:$J,4,0),"DD-MMM-YYYY")</f>
        <v>31-Mar-2022</v>
      </c>
      <c r="E227" s="3" t="str">
        <f>TEXT(VLOOKUP(A227,[1]Cleaned!$A:$J,5,0),"DD-MMM-YYYY")</f>
        <v>12-Apr-2022</v>
      </c>
      <c r="F227" t="str">
        <f>VLOOKUP(A227,[1]Cleaned!$A:$J,6,0)</f>
        <v>Bangalore</v>
      </c>
      <c r="G227">
        <f>VLOOKUP(A227,[1]Cleaned!$A:$J,9,0)</f>
        <v>8952.9599999999991</v>
      </c>
    </row>
    <row r="228" spans="1:7" x14ac:dyDescent="0.3">
      <c r="A228">
        <v>2226</v>
      </c>
      <c r="B228" s="1" t="str">
        <f>VLOOKUP(A228,[1]Cleaned!$A:$J,2,0)</f>
        <v>Sneha R</v>
      </c>
      <c r="C228" t="str">
        <f>VLOOKUP(A228,[1]Cleaned!$A:$J,3,0)</f>
        <v>Jeans</v>
      </c>
      <c r="D228" s="2" t="str">
        <f>TEXT(VLOOKUP(A228,[1]Cleaned!$A:$J,4,0),"DD-MMM-YYYY")</f>
        <v>08-Dec-2023</v>
      </c>
      <c r="E228" s="3" t="str">
        <f>TEXT(VLOOKUP(A228,[1]Cleaned!$A:$J,5,0),"DD-MMM-YYYY")</f>
        <v>13-Dec-2023</v>
      </c>
      <c r="F228" t="str">
        <f>VLOOKUP(A228,[1]Cleaned!$A:$J,6,0)</f>
        <v>Pune</v>
      </c>
      <c r="G228">
        <f>VLOOKUP(A228,[1]Cleaned!$A:$J,9,0)</f>
        <v>7852.12</v>
      </c>
    </row>
    <row r="229" spans="1:7" x14ac:dyDescent="0.3">
      <c r="A229">
        <v>2227</v>
      </c>
      <c r="B229" s="1" t="str">
        <f>VLOOKUP(A229,[1]Cleaned!$A:$J,2,0)</f>
        <v>Deepa K</v>
      </c>
      <c r="C229" t="str">
        <f>VLOOKUP(A229,[1]Cleaned!$A:$J,3,0)</f>
        <v>Jeans</v>
      </c>
      <c r="D229" s="2" t="str">
        <f>TEXT(VLOOKUP(A229,[1]Cleaned!$A:$J,4,0),"DD-MMM-YYYY")</f>
        <v>23-Dec-2023</v>
      </c>
      <c r="E229" s="3" t="str">
        <f>TEXT(VLOOKUP(A229,[1]Cleaned!$A:$J,5,0),"DD-MMM-YYYY")</f>
        <v>02-Jan-2024</v>
      </c>
      <c r="F229" t="str">
        <f>VLOOKUP(A229,[1]Cleaned!$A:$J,6,0)</f>
        <v>Delhi</v>
      </c>
      <c r="G229">
        <f>VLOOKUP(A229,[1]Cleaned!$A:$J,9,0)</f>
        <v>12608.4</v>
      </c>
    </row>
    <row r="230" spans="1:7" x14ac:dyDescent="0.3">
      <c r="A230">
        <v>2228</v>
      </c>
      <c r="B230" s="1" t="str">
        <f>VLOOKUP(A230,[1]Cleaned!$A:$J,2,0)</f>
        <v>Ganesh R</v>
      </c>
      <c r="C230" t="str">
        <f>VLOOKUP(A230,[1]Cleaned!$A:$J,3,0)</f>
        <v>Jackets</v>
      </c>
      <c r="D230" s="2" t="str">
        <f>TEXT(VLOOKUP(A230,[1]Cleaned!$A:$J,4,0),"DD-MMM-YYYY")</f>
        <v>09-Jan-2023</v>
      </c>
      <c r="E230" s="3" t="str">
        <f>TEXT(VLOOKUP(A230,[1]Cleaned!$A:$J,5,0),"DD-MMM-YYYY")</f>
        <v>23-Jan-2023</v>
      </c>
      <c r="F230" t="str">
        <f>VLOOKUP(A230,[1]Cleaned!$A:$J,6,0)</f>
        <v>Mumbai</v>
      </c>
      <c r="G230">
        <f>VLOOKUP(A230,[1]Cleaned!$A:$J,9,0)</f>
        <v>7330.82</v>
      </c>
    </row>
    <row r="231" spans="1:7" x14ac:dyDescent="0.3">
      <c r="A231">
        <v>2229</v>
      </c>
      <c r="B231" s="1" t="str">
        <f>VLOOKUP(A231,[1]Cleaned!$A:$J,2,0)</f>
        <v>Karthik Vel</v>
      </c>
      <c r="C231" t="str">
        <f>VLOOKUP(A231,[1]Cleaned!$A:$J,3,0)</f>
        <v>Dresses</v>
      </c>
      <c r="D231" s="2" t="str">
        <f>TEXT(VLOOKUP(A231,[1]Cleaned!$A:$J,4,0),"DD-MMM-YYYY")</f>
        <v>17-Feb-2023</v>
      </c>
      <c r="E231" s="3" t="str">
        <f>TEXT(VLOOKUP(A231,[1]Cleaned!$A:$J,5,0),"DD-MMM-YYYY")</f>
        <v>19-Feb-2023</v>
      </c>
      <c r="F231" t="str">
        <f>VLOOKUP(A231,[1]Cleaned!$A:$J,6,0)</f>
        <v>Ahmedabad</v>
      </c>
      <c r="G231">
        <f>VLOOKUP(A231,[1]Cleaned!$A:$J,9,0)</f>
        <v>17852.84</v>
      </c>
    </row>
    <row r="232" spans="1:7" x14ac:dyDescent="0.3">
      <c r="A232">
        <v>2230</v>
      </c>
      <c r="B232" s="1" t="str">
        <f>VLOOKUP(A232,[1]Cleaned!$A:$J,2,0)</f>
        <v>Divya T</v>
      </c>
      <c r="C232" t="str">
        <f>VLOOKUP(A232,[1]Cleaned!$A:$J,3,0)</f>
        <v>Shoes</v>
      </c>
      <c r="D232" s="2" t="str">
        <f>TEXT(VLOOKUP(A232,[1]Cleaned!$A:$J,4,0),"DD-MMM-YYYY")</f>
        <v>26-Mar-2024</v>
      </c>
      <c r="E232" s="3" t="str">
        <f>TEXT(VLOOKUP(A232,[1]Cleaned!$A:$J,5,0),"DD-MMM-YYYY")</f>
        <v>10-Apr-2024</v>
      </c>
      <c r="F232" t="str">
        <f>VLOOKUP(A232,[1]Cleaned!$A:$J,6,0)</f>
        <v>Hyderabad</v>
      </c>
      <c r="G232">
        <f>VLOOKUP(A232,[1]Cleaned!$A:$J,9,0)</f>
        <v>11924.56</v>
      </c>
    </row>
    <row r="233" spans="1:7" x14ac:dyDescent="0.3">
      <c r="A233">
        <v>2231</v>
      </c>
      <c r="B233" s="1" t="str">
        <f>VLOOKUP(A233,[1]Cleaned!$A:$J,2,0)</f>
        <v>Divya T</v>
      </c>
      <c r="C233" t="str">
        <f>VLOOKUP(A233,[1]Cleaned!$A:$J,3,0)</f>
        <v>Dresses</v>
      </c>
      <c r="D233" s="2" t="str">
        <f>TEXT(VLOOKUP(A233,[1]Cleaned!$A:$J,4,0),"DD-MMM-YYYY")</f>
        <v>08-Apr-2022</v>
      </c>
      <c r="E233" s="3" t="str">
        <f>TEXT(VLOOKUP(A233,[1]Cleaned!$A:$J,5,0),"DD-MMM-YYYY")</f>
        <v>23-Apr-2022</v>
      </c>
      <c r="F233" t="str">
        <f>VLOOKUP(A233,[1]Cleaned!$A:$J,6,0)</f>
        <v>Pune</v>
      </c>
      <c r="G233">
        <f>VLOOKUP(A233,[1]Cleaned!$A:$J,9,0)</f>
        <v>9504.7199999999993</v>
      </c>
    </row>
    <row r="234" spans="1:7" x14ac:dyDescent="0.3">
      <c r="A234">
        <v>2232</v>
      </c>
      <c r="B234" s="1" t="str">
        <f>VLOOKUP(A234,[1]Cleaned!$A:$J,2,0)</f>
        <v>Pooja M</v>
      </c>
      <c r="C234" t="str">
        <f>VLOOKUP(A234,[1]Cleaned!$A:$J,3,0)</f>
        <v>Jackets</v>
      </c>
      <c r="D234" s="2" t="str">
        <f>TEXT(VLOOKUP(A234,[1]Cleaned!$A:$J,4,0),"DD-MMM-YYYY")</f>
        <v>19-Jun-2024</v>
      </c>
      <c r="E234" s="3" t="str">
        <f>TEXT(VLOOKUP(A234,[1]Cleaned!$A:$J,5,0),"DD-MMM-YYYY")</f>
        <v>27-Jun-2024</v>
      </c>
      <c r="F234" t="str">
        <f>VLOOKUP(A234,[1]Cleaned!$A:$J,6,0)</f>
        <v>Delhi</v>
      </c>
      <c r="G234">
        <f>VLOOKUP(A234,[1]Cleaned!$A:$J,9,0)</f>
        <v>7896.48</v>
      </c>
    </row>
    <row r="235" spans="1:7" x14ac:dyDescent="0.3">
      <c r="A235">
        <v>2233</v>
      </c>
      <c r="B235" s="1" t="str">
        <f>VLOOKUP(A235,[1]Cleaned!$A:$J,2,0)</f>
        <v>Sneha R</v>
      </c>
      <c r="C235" t="str">
        <f>VLOOKUP(A235,[1]Cleaned!$A:$J,3,0)</f>
        <v>Shoes</v>
      </c>
      <c r="D235" s="2" t="str">
        <f>TEXT(VLOOKUP(A235,[1]Cleaned!$A:$J,4,0),"DD-MMM-YYYY")</f>
        <v>01-Jul-2023</v>
      </c>
      <c r="E235" s="3" t="str">
        <f>TEXT(VLOOKUP(A235,[1]Cleaned!$A:$J,5,0),"DD-MMM-YYYY")</f>
        <v>15-Jul-2023</v>
      </c>
      <c r="F235" t="str">
        <f>VLOOKUP(A235,[1]Cleaned!$A:$J,6,0)</f>
        <v>Chennai</v>
      </c>
      <c r="G235">
        <f>VLOOKUP(A235,[1]Cleaned!$A:$J,9,0)</f>
        <v>4696.72</v>
      </c>
    </row>
    <row r="236" spans="1:7" x14ac:dyDescent="0.3">
      <c r="A236">
        <v>2234</v>
      </c>
      <c r="B236" s="1" t="str">
        <f>VLOOKUP(A236,[1]Cleaned!$A:$J,2,0)</f>
        <v>Nithya R</v>
      </c>
      <c r="C236" t="str">
        <f>VLOOKUP(A236,[1]Cleaned!$A:$J,3,0)</f>
        <v>Dresses</v>
      </c>
      <c r="D236" s="2" t="str">
        <f>TEXT(VLOOKUP(A236,[1]Cleaned!$A:$J,4,0),"DD-MMM-YYYY")</f>
        <v>20-Oct-2023</v>
      </c>
      <c r="E236" s="3" t="str">
        <f>TEXT(VLOOKUP(A236,[1]Cleaned!$A:$J,5,0),"DD-MMM-YYYY")</f>
        <v>23-Oct-2023</v>
      </c>
      <c r="F236" t="str">
        <f>VLOOKUP(A236,[1]Cleaned!$A:$J,6,0)</f>
        <v>Chennai</v>
      </c>
      <c r="G236">
        <f>VLOOKUP(A236,[1]Cleaned!$A:$J,9,0)</f>
        <v>20437.919999999998</v>
      </c>
    </row>
    <row r="237" spans="1:7" x14ac:dyDescent="0.3">
      <c r="A237">
        <v>2235</v>
      </c>
      <c r="B237" s="1" t="str">
        <f>VLOOKUP(A237,[1]Cleaned!$A:$J,2,0)</f>
        <v>Rahul G</v>
      </c>
      <c r="C237" t="str">
        <f>VLOOKUP(A237,[1]Cleaned!$A:$J,3,0)</f>
        <v>Shoes</v>
      </c>
      <c r="D237" s="2" t="str">
        <f>TEXT(VLOOKUP(A237,[1]Cleaned!$A:$J,4,0),"DD-MMM-YYYY")</f>
        <v>22-May-2024</v>
      </c>
      <c r="E237" s="3" t="str">
        <f>TEXT(VLOOKUP(A237,[1]Cleaned!$A:$J,5,0),"DD-MMM-YYYY")</f>
        <v>26-May-2024</v>
      </c>
      <c r="F237" t="str">
        <f>VLOOKUP(A237,[1]Cleaned!$A:$J,6,0)</f>
        <v>Pune</v>
      </c>
      <c r="G237">
        <f>VLOOKUP(A237,[1]Cleaned!$A:$J,9,0)</f>
        <v>15618.16</v>
      </c>
    </row>
    <row r="238" spans="1:7" x14ac:dyDescent="0.3">
      <c r="A238">
        <v>2236</v>
      </c>
      <c r="B238" s="1" t="str">
        <f>VLOOKUP(A238,[1]Cleaned!$A:$J,2,0)</f>
        <v>Uma S</v>
      </c>
      <c r="C238" t="str">
        <f>VLOOKUP(A238,[1]Cleaned!$A:$J,3,0)</f>
        <v>Dresses</v>
      </c>
      <c r="D238" s="2" t="str">
        <f>TEXT(VLOOKUP(A238,[1]Cleaned!$A:$J,4,0),"DD-MMM-YYYY")</f>
        <v>09-Jun-2024</v>
      </c>
      <c r="E238" s="3" t="str">
        <f>TEXT(VLOOKUP(A238,[1]Cleaned!$A:$J,5,0),"DD-MMM-YYYY")</f>
        <v>15-Jun-2024</v>
      </c>
      <c r="F238" t="str">
        <f>VLOOKUP(A238,[1]Cleaned!$A:$J,6,0)</f>
        <v>Pune</v>
      </c>
      <c r="G238">
        <f>VLOOKUP(A238,[1]Cleaned!$A:$J,9,0)</f>
        <v>652.69000000000005</v>
      </c>
    </row>
    <row r="239" spans="1:7" x14ac:dyDescent="0.3">
      <c r="A239">
        <v>2237</v>
      </c>
      <c r="B239" s="1" t="str">
        <f>VLOOKUP(A239,[1]Cleaned!$A:$J,2,0)</f>
        <v>Sneha R</v>
      </c>
      <c r="C239" t="str">
        <f>VLOOKUP(A239,[1]Cleaned!$A:$J,3,0)</f>
        <v>Shoes</v>
      </c>
      <c r="D239" s="2" t="str">
        <f>TEXT(VLOOKUP(A239,[1]Cleaned!$A:$J,4,0),"DD-MMM-YYYY")</f>
        <v>24-Nov-2022</v>
      </c>
      <c r="E239" s="3" t="str">
        <f>TEXT(VLOOKUP(A239,[1]Cleaned!$A:$J,5,0),"DD-MMM-YYYY")</f>
        <v>26-Nov-2022</v>
      </c>
      <c r="F239" t="str">
        <f>VLOOKUP(A239,[1]Cleaned!$A:$J,6,0)</f>
        <v>Mumbai</v>
      </c>
      <c r="G239">
        <f>VLOOKUP(A239,[1]Cleaned!$A:$J,9,0)</f>
        <v>3708.48</v>
      </c>
    </row>
    <row r="240" spans="1:7" x14ac:dyDescent="0.3">
      <c r="A240">
        <v>2238</v>
      </c>
      <c r="B240" s="1" t="str">
        <f>VLOOKUP(A240,[1]Cleaned!$A:$J,2,0)</f>
        <v>Lakshmi S</v>
      </c>
      <c r="C240" t="str">
        <f>VLOOKUP(A240,[1]Cleaned!$A:$J,3,0)</f>
        <v>Accessories</v>
      </c>
      <c r="D240" s="2" t="str">
        <f>TEXT(VLOOKUP(A240,[1]Cleaned!$A:$J,4,0),"DD-MMM-YYYY")</f>
        <v>21-Jan-2024</v>
      </c>
      <c r="E240" s="3" t="str">
        <f>TEXT(VLOOKUP(A240,[1]Cleaned!$A:$J,5,0),"DD-MMM-YYYY")</f>
        <v>28-Jan-2024</v>
      </c>
      <c r="F240" t="str">
        <f>VLOOKUP(A240,[1]Cleaned!$A:$J,6,0)</f>
        <v>Bangalore</v>
      </c>
      <c r="G240">
        <f>VLOOKUP(A240,[1]Cleaned!$A:$J,9,0)</f>
        <v>3143.95</v>
      </c>
    </row>
    <row r="241" spans="1:7" x14ac:dyDescent="0.3">
      <c r="A241">
        <v>2239</v>
      </c>
      <c r="B241" s="1" t="str">
        <f>VLOOKUP(A241,[1]Cleaned!$A:$J,2,0)</f>
        <v>Sneha R</v>
      </c>
      <c r="C241" t="str">
        <f>VLOOKUP(A241,[1]Cleaned!$A:$J,3,0)</f>
        <v>Dresses</v>
      </c>
      <c r="D241" s="2" t="str">
        <f>TEXT(VLOOKUP(A241,[1]Cleaned!$A:$J,4,0),"DD-MMM-YYYY")</f>
        <v>28-Jun-2024</v>
      </c>
      <c r="E241" s="3" t="str">
        <f>TEXT(VLOOKUP(A241,[1]Cleaned!$A:$J,5,0),"DD-MMM-YYYY")</f>
        <v>12-Jul-2024</v>
      </c>
      <c r="F241" t="str">
        <f>VLOOKUP(A241,[1]Cleaned!$A:$J,6,0)</f>
        <v>Chennai</v>
      </c>
      <c r="G241">
        <f>VLOOKUP(A241,[1]Cleaned!$A:$J,9,0)</f>
        <v>8365.3799999999992</v>
      </c>
    </row>
    <row r="242" spans="1:7" x14ac:dyDescent="0.3">
      <c r="A242">
        <v>2240</v>
      </c>
      <c r="B242" s="1" t="str">
        <f>VLOOKUP(A242,[1]Cleaned!$A:$J,2,0)</f>
        <v>Arun Pandi</v>
      </c>
      <c r="C242" t="str">
        <f>VLOOKUP(A242,[1]Cleaned!$A:$J,3,0)</f>
        <v>Accessories</v>
      </c>
      <c r="D242" s="2" t="str">
        <f>TEXT(VLOOKUP(A242,[1]Cleaned!$A:$J,4,0),"DD-MMM-YYYY")</f>
        <v>25-Jul-2023</v>
      </c>
      <c r="E242" s="3" t="str">
        <f>TEXT(VLOOKUP(A242,[1]Cleaned!$A:$J,5,0),"DD-MMM-YYYY")</f>
        <v>30-Jul-2023</v>
      </c>
      <c r="F242" t="str">
        <f>VLOOKUP(A242,[1]Cleaned!$A:$J,6,0)</f>
        <v>Chennai</v>
      </c>
      <c r="G242">
        <f>VLOOKUP(A242,[1]Cleaned!$A:$J,9,0)</f>
        <v>3757.67</v>
      </c>
    </row>
    <row r="243" spans="1:7" x14ac:dyDescent="0.3">
      <c r="A243">
        <v>2241</v>
      </c>
      <c r="B243" s="1" t="str">
        <f>VLOOKUP(A243,[1]Cleaned!$A:$J,2,0)</f>
        <v>Santhosh P</v>
      </c>
      <c r="C243" t="str">
        <f>VLOOKUP(A243,[1]Cleaned!$A:$J,3,0)</f>
        <v>Jackets</v>
      </c>
      <c r="D243" s="2" t="str">
        <f>TEXT(VLOOKUP(A243,[1]Cleaned!$A:$J,4,0),"DD-MMM-YYYY")</f>
        <v>30-Aug-2022</v>
      </c>
      <c r="E243" s="3" t="str">
        <f>TEXT(VLOOKUP(A243,[1]Cleaned!$A:$J,5,0),"DD-MMM-YYYY")</f>
        <v>05-Sep-2022</v>
      </c>
      <c r="F243" t="str">
        <f>VLOOKUP(A243,[1]Cleaned!$A:$J,6,0)</f>
        <v>Ahmedabad</v>
      </c>
      <c r="G243">
        <f>VLOOKUP(A243,[1]Cleaned!$A:$J,9,0)</f>
        <v>18044.900000000001</v>
      </c>
    </row>
    <row r="244" spans="1:7" x14ac:dyDescent="0.3">
      <c r="A244">
        <v>2242</v>
      </c>
      <c r="B244" s="1" t="str">
        <f>VLOOKUP(A244,[1]Cleaned!$A:$J,2,0)</f>
        <v>Revathi A</v>
      </c>
      <c r="C244" t="str">
        <f>VLOOKUP(A244,[1]Cleaned!$A:$J,3,0)</f>
        <v>Dresses</v>
      </c>
      <c r="D244" s="2" t="str">
        <f>TEXT(VLOOKUP(A244,[1]Cleaned!$A:$J,4,0),"DD-MMM-YYYY")</f>
        <v>02-Oct-2024</v>
      </c>
      <c r="E244" s="3" t="str">
        <f>TEXT(VLOOKUP(A244,[1]Cleaned!$A:$J,5,0),"DD-MMM-YYYY")</f>
        <v>07-Oct-2024</v>
      </c>
      <c r="F244" t="str">
        <f>VLOOKUP(A244,[1]Cleaned!$A:$J,6,0)</f>
        <v>Chennai</v>
      </c>
      <c r="G244">
        <f>VLOOKUP(A244,[1]Cleaned!$A:$J,9,0)</f>
        <v>12924.84</v>
      </c>
    </row>
    <row r="245" spans="1:7" x14ac:dyDescent="0.3">
      <c r="A245">
        <v>2243</v>
      </c>
      <c r="B245" s="1" t="str">
        <f>VLOOKUP(A245,[1]Cleaned!$A:$J,2,0)</f>
        <v>Arjun Reddy</v>
      </c>
      <c r="C245" t="str">
        <f>VLOOKUP(A245,[1]Cleaned!$A:$J,3,0)</f>
        <v>Accessories</v>
      </c>
      <c r="D245" s="2" t="str">
        <f>TEXT(VLOOKUP(A245,[1]Cleaned!$A:$J,4,0),"DD-MMM-YYYY")</f>
        <v>30-Jun-2024</v>
      </c>
      <c r="E245" s="3" t="str">
        <f>TEXT(VLOOKUP(A245,[1]Cleaned!$A:$J,5,0),"DD-MMM-YYYY")</f>
        <v>03-Jul-2024</v>
      </c>
      <c r="F245" t="str">
        <f>VLOOKUP(A245,[1]Cleaned!$A:$J,6,0)</f>
        <v>Ahmedabad</v>
      </c>
      <c r="G245">
        <f>VLOOKUP(A245,[1]Cleaned!$A:$J,9,0)</f>
        <v>20633.099999999999</v>
      </c>
    </row>
    <row r="246" spans="1:7" x14ac:dyDescent="0.3">
      <c r="A246">
        <v>2244</v>
      </c>
      <c r="B246" s="1" t="str">
        <f>VLOOKUP(A246,[1]Cleaned!$A:$J,2,0)</f>
        <v>Nithya R</v>
      </c>
      <c r="C246" t="str">
        <f>VLOOKUP(A246,[1]Cleaned!$A:$J,3,0)</f>
        <v>Shoes</v>
      </c>
      <c r="D246" s="2" t="str">
        <f>TEXT(VLOOKUP(A246,[1]Cleaned!$A:$J,4,0),"DD-MMM-YYYY")</f>
        <v>18-Aug-2023</v>
      </c>
      <c r="E246" s="3" t="str">
        <f>TEXT(VLOOKUP(A246,[1]Cleaned!$A:$J,5,0),"DD-MMM-YYYY")</f>
        <v>24-Aug-2023</v>
      </c>
      <c r="F246" t="str">
        <f>VLOOKUP(A246,[1]Cleaned!$A:$J,6,0)</f>
        <v>Ahmedabad</v>
      </c>
      <c r="G246">
        <f>VLOOKUP(A246,[1]Cleaned!$A:$J,9,0)</f>
        <v>10936.5</v>
      </c>
    </row>
    <row r="247" spans="1:7" x14ac:dyDescent="0.3">
      <c r="A247">
        <v>2245</v>
      </c>
      <c r="B247" s="1" t="str">
        <f>VLOOKUP(A247,[1]Cleaned!$A:$J,2,0)</f>
        <v>Sneha R</v>
      </c>
      <c r="C247" t="str">
        <f>VLOOKUP(A247,[1]Cleaned!$A:$J,3,0)</f>
        <v>Shoes</v>
      </c>
      <c r="D247" s="2" t="str">
        <f>TEXT(VLOOKUP(A247,[1]Cleaned!$A:$J,4,0),"DD-MMM-YYYY")</f>
        <v>05-Apr-2023</v>
      </c>
      <c r="E247" s="3" t="str">
        <f>TEXT(VLOOKUP(A247,[1]Cleaned!$A:$J,5,0),"DD-MMM-YYYY")</f>
        <v>08-Apr-2023</v>
      </c>
      <c r="F247" t="str">
        <f>VLOOKUP(A247,[1]Cleaned!$A:$J,6,0)</f>
        <v>Mumbai</v>
      </c>
      <c r="G247">
        <f>VLOOKUP(A247,[1]Cleaned!$A:$J,9,0)</f>
        <v>4237.9799999999996</v>
      </c>
    </row>
    <row r="248" spans="1:7" x14ac:dyDescent="0.3">
      <c r="A248">
        <v>2246</v>
      </c>
      <c r="B248" s="1" t="str">
        <f>VLOOKUP(A248,[1]Cleaned!$A:$J,2,0)</f>
        <v>Anitha Raj</v>
      </c>
      <c r="C248" t="str">
        <f>VLOOKUP(A248,[1]Cleaned!$A:$J,3,0)</f>
        <v>Dresses</v>
      </c>
      <c r="D248" s="2" t="str">
        <f>TEXT(VLOOKUP(A248,[1]Cleaned!$A:$J,4,0),"DD-MMM-YYYY")</f>
        <v>26-Jan-2024</v>
      </c>
      <c r="E248" s="3" t="str">
        <f>TEXT(VLOOKUP(A248,[1]Cleaned!$A:$J,5,0),"DD-MMM-YYYY")</f>
        <v>04-Feb-2024</v>
      </c>
      <c r="F248" t="str">
        <f>VLOOKUP(A248,[1]Cleaned!$A:$J,6,0)</f>
        <v>Ahmedabad</v>
      </c>
      <c r="G248">
        <f>VLOOKUP(A248,[1]Cleaned!$A:$J,9,0)</f>
        <v>9528.48</v>
      </c>
    </row>
    <row r="249" spans="1:7" x14ac:dyDescent="0.3">
      <c r="A249">
        <v>2247</v>
      </c>
      <c r="B249" s="1" t="str">
        <f>VLOOKUP(A249,[1]Cleaned!$A:$J,2,0)</f>
        <v>Priya Nair</v>
      </c>
      <c r="C249" t="str">
        <f>VLOOKUP(A249,[1]Cleaned!$A:$J,3,0)</f>
        <v>Dresses</v>
      </c>
      <c r="D249" s="2" t="str">
        <f>TEXT(VLOOKUP(A249,[1]Cleaned!$A:$J,4,0),"DD-MMM-YYYY")</f>
        <v>26-Mar-2024</v>
      </c>
      <c r="E249" s="3" t="str">
        <f>TEXT(VLOOKUP(A249,[1]Cleaned!$A:$J,5,0),"DD-MMM-YYYY")</f>
        <v>08-Apr-2024</v>
      </c>
      <c r="F249" t="str">
        <f>VLOOKUP(A249,[1]Cleaned!$A:$J,6,0)</f>
        <v>Pune</v>
      </c>
      <c r="G249">
        <f>VLOOKUP(A249,[1]Cleaned!$A:$J,9,0)</f>
        <v>22166.16</v>
      </c>
    </row>
    <row r="250" spans="1:7" x14ac:dyDescent="0.3">
      <c r="A250">
        <v>2248</v>
      </c>
      <c r="B250" s="1" t="str">
        <f>VLOOKUP(A250,[1]Cleaned!$A:$J,2,0)</f>
        <v>Manoj K</v>
      </c>
      <c r="C250" t="str">
        <f>VLOOKUP(A250,[1]Cleaned!$A:$J,3,0)</f>
        <v>Jeans</v>
      </c>
      <c r="D250" s="2" t="str">
        <f>TEXT(VLOOKUP(A250,[1]Cleaned!$A:$J,4,0),"DD-MMM-YYYY")</f>
        <v>14-Sep-2022</v>
      </c>
      <c r="E250" s="3" t="str">
        <f>TEXT(VLOOKUP(A250,[1]Cleaned!$A:$J,5,0),"DD-MMM-YYYY")</f>
        <v>21-Sep-2022</v>
      </c>
      <c r="F250" t="str">
        <f>VLOOKUP(A250,[1]Cleaned!$A:$J,6,0)</f>
        <v>Pune</v>
      </c>
      <c r="G250">
        <f>VLOOKUP(A250,[1]Cleaned!$A:$J,9,0)</f>
        <v>4829.76</v>
      </c>
    </row>
    <row r="251" spans="1:7" x14ac:dyDescent="0.3">
      <c r="A251">
        <v>2249</v>
      </c>
      <c r="B251" s="1" t="str">
        <f>VLOOKUP(A251,[1]Cleaned!$A:$J,2,0)</f>
        <v>Deepa K</v>
      </c>
      <c r="C251" t="str">
        <f>VLOOKUP(A251,[1]Cleaned!$A:$J,3,0)</f>
        <v>Shoes</v>
      </c>
      <c r="D251" s="2" t="str">
        <f>TEXT(VLOOKUP(A251,[1]Cleaned!$A:$J,4,0),"DD-MMM-YYYY")</f>
        <v>08-Jan-2023</v>
      </c>
      <c r="E251" s="3" t="str">
        <f>TEXT(VLOOKUP(A251,[1]Cleaned!$A:$J,5,0),"DD-MMM-YYYY")</f>
        <v>22-Jan-2023</v>
      </c>
      <c r="F251" t="str">
        <f>VLOOKUP(A251,[1]Cleaned!$A:$J,6,0)</f>
        <v>Mumbai</v>
      </c>
      <c r="G251">
        <f>VLOOKUP(A251,[1]Cleaned!$A:$J,9,0)</f>
        <v>18644.22</v>
      </c>
    </row>
    <row r="252" spans="1:7" x14ac:dyDescent="0.3">
      <c r="A252">
        <v>2250</v>
      </c>
      <c r="B252" s="1" t="str">
        <f>VLOOKUP(A252,[1]Cleaned!$A:$J,2,0)</f>
        <v>Suresh M</v>
      </c>
      <c r="C252" t="str">
        <f>VLOOKUP(A252,[1]Cleaned!$A:$J,3,0)</f>
        <v>Shoes</v>
      </c>
      <c r="D252" s="2" t="str">
        <f>TEXT(VLOOKUP(A252,[1]Cleaned!$A:$J,4,0),"DD-MMM-YYYY")</f>
        <v>10-Nov-2022</v>
      </c>
      <c r="E252" s="3" t="str">
        <f>TEXT(VLOOKUP(A252,[1]Cleaned!$A:$J,5,0),"DD-MMM-YYYY")</f>
        <v>16-Nov-2022</v>
      </c>
      <c r="F252" t="str">
        <f>VLOOKUP(A252,[1]Cleaned!$A:$J,6,0)</f>
        <v>Mumbai</v>
      </c>
      <c r="G252">
        <f>VLOOKUP(A252,[1]Cleaned!$A:$J,9,0)</f>
        <v>5449.53</v>
      </c>
    </row>
    <row r="253" spans="1:7" x14ac:dyDescent="0.3">
      <c r="A253">
        <v>2251</v>
      </c>
      <c r="B253" s="1" t="str">
        <f>VLOOKUP(A253,[1]Cleaned!$A:$J,2,0)</f>
        <v>Sneha R</v>
      </c>
      <c r="C253" t="str">
        <f>VLOOKUP(A253,[1]Cleaned!$A:$J,3,0)</f>
        <v>Shoes</v>
      </c>
      <c r="D253" s="2" t="str">
        <f>TEXT(VLOOKUP(A253,[1]Cleaned!$A:$J,4,0),"DD-MMM-YYYY")</f>
        <v>05-Aug-2023</v>
      </c>
      <c r="E253" s="3" t="str">
        <f>TEXT(VLOOKUP(A253,[1]Cleaned!$A:$J,5,0),"DD-MMM-YYYY")</f>
        <v>20-Aug-2023</v>
      </c>
      <c r="F253" t="str">
        <f>VLOOKUP(A253,[1]Cleaned!$A:$J,6,0)</f>
        <v>Chennai</v>
      </c>
      <c r="G253">
        <f>VLOOKUP(A253,[1]Cleaned!$A:$J,9,0)</f>
        <v>6113.1</v>
      </c>
    </row>
    <row r="254" spans="1:7" x14ac:dyDescent="0.3">
      <c r="A254">
        <v>2252</v>
      </c>
      <c r="B254" s="1" t="str">
        <f>VLOOKUP(A254,[1]Cleaned!$A:$J,2,0)</f>
        <v>Deepa K</v>
      </c>
      <c r="C254" t="str">
        <f>VLOOKUP(A254,[1]Cleaned!$A:$J,3,0)</f>
        <v>Accessories</v>
      </c>
      <c r="D254" s="2" t="str">
        <f>TEXT(VLOOKUP(A254,[1]Cleaned!$A:$J,4,0),"DD-MMM-YYYY")</f>
        <v>13-Sep-2023</v>
      </c>
      <c r="E254" s="3" t="str">
        <f>TEXT(VLOOKUP(A254,[1]Cleaned!$A:$J,5,0),"DD-MMM-YYYY")</f>
        <v>24-Sep-2023</v>
      </c>
      <c r="F254" t="str">
        <f>VLOOKUP(A254,[1]Cleaned!$A:$J,6,0)</f>
        <v>Hyderabad</v>
      </c>
      <c r="G254">
        <f>VLOOKUP(A254,[1]Cleaned!$A:$J,9,0)</f>
        <v>5324.18</v>
      </c>
    </row>
    <row r="255" spans="1:7" x14ac:dyDescent="0.3">
      <c r="A255">
        <v>2253</v>
      </c>
      <c r="B255" s="1" t="str">
        <f>VLOOKUP(A255,[1]Cleaned!$A:$J,2,0)</f>
        <v>Manoj K</v>
      </c>
      <c r="C255" t="str">
        <f>VLOOKUP(A255,[1]Cleaned!$A:$J,3,0)</f>
        <v>Shoes</v>
      </c>
      <c r="D255" s="2" t="str">
        <f>TEXT(VLOOKUP(A255,[1]Cleaned!$A:$J,4,0),"DD-MMM-YYYY")</f>
        <v>12-Nov-2022</v>
      </c>
      <c r="E255" s="3" t="str">
        <f>TEXT(VLOOKUP(A255,[1]Cleaned!$A:$J,5,0),"DD-MMM-YYYY")</f>
        <v>16-Nov-2022</v>
      </c>
      <c r="F255" t="str">
        <f>VLOOKUP(A255,[1]Cleaned!$A:$J,6,0)</f>
        <v>Pune</v>
      </c>
      <c r="G255">
        <f>VLOOKUP(A255,[1]Cleaned!$A:$J,9,0)</f>
        <v>25559.34</v>
      </c>
    </row>
    <row r="256" spans="1:7" x14ac:dyDescent="0.3">
      <c r="A256">
        <v>2254</v>
      </c>
      <c r="B256" s="1" t="str">
        <f>VLOOKUP(A256,[1]Cleaned!$A:$J,2,0)</f>
        <v>Anitha Raj</v>
      </c>
      <c r="C256" t="str">
        <f>VLOOKUP(A256,[1]Cleaned!$A:$J,3,0)</f>
        <v>Jeans</v>
      </c>
      <c r="D256" s="2" t="str">
        <f>TEXT(VLOOKUP(A256,[1]Cleaned!$A:$J,4,0),"DD-MMM-YYYY")</f>
        <v>04-Apr-2022</v>
      </c>
      <c r="E256" s="3" t="str">
        <f>TEXT(VLOOKUP(A256,[1]Cleaned!$A:$J,5,0),"DD-MMM-YYYY")</f>
        <v>16-Apr-2022</v>
      </c>
      <c r="F256" t="str">
        <f>VLOOKUP(A256,[1]Cleaned!$A:$J,6,0)</f>
        <v>Ahmedabad</v>
      </c>
      <c r="G256">
        <f>VLOOKUP(A256,[1]Cleaned!$A:$J,9,0)</f>
        <v>16801.55</v>
      </c>
    </row>
    <row r="257" spans="1:7" x14ac:dyDescent="0.3">
      <c r="A257">
        <v>2255</v>
      </c>
      <c r="B257" s="1" t="str">
        <f>VLOOKUP(A257,[1]Cleaned!$A:$J,2,0)</f>
        <v>Revathi A</v>
      </c>
      <c r="C257" t="str">
        <f>VLOOKUP(A257,[1]Cleaned!$A:$J,3,0)</f>
        <v>Accessories</v>
      </c>
      <c r="D257" s="2" t="str">
        <f>TEXT(VLOOKUP(A257,[1]Cleaned!$A:$J,4,0),"DD-MMM-YYYY")</f>
        <v>04-Mar-2022</v>
      </c>
      <c r="E257" s="3" t="str">
        <f>TEXT(VLOOKUP(A257,[1]Cleaned!$A:$J,5,0),"DD-MMM-YYYY")</f>
        <v>13-Mar-2022</v>
      </c>
      <c r="F257" t="str">
        <f>VLOOKUP(A257,[1]Cleaned!$A:$J,6,0)</f>
        <v>Pune</v>
      </c>
      <c r="G257">
        <f>VLOOKUP(A257,[1]Cleaned!$A:$J,9,0)</f>
        <v>16584.8</v>
      </c>
    </row>
    <row r="258" spans="1:7" x14ac:dyDescent="0.3">
      <c r="A258">
        <v>2256</v>
      </c>
      <c r="B258" s="1" t="str">
        <f>VLOOKUP(A258,[1]Cleaned!$A:$J,2,0)</f>
        <v>Kavitha S</v>
      </c>
      <c r="C258" t="str">
        <f>VLOOKUP(A258,[1]Cleaned!$A:$J,3,0)</f>
        <v>T-Shirts</v>
      </c>
      <c r="D258" s="2" t="str">
        <f>TEXT(VLOOKUP(A258,[1]Cleaned!$A:$J,4,0),"DD-MMM-YYYY")</f>
        <v>11-Apr-2024</v>
      </c>
      <c r="E258" s="3" t="str">
        <f>TEXT(VLOOKUP(A258,[1]Cleaned!$A:$J,5,0),"DD-MMM-YYYY")</f>
        <v>17-Apr-2024</v>
      </c>
      <c r="F258" t="str">
        <f>VLOOKUP(A258,[1]Cleaned!$A:$J,6,0)</f>
        <v>Bangalore</v>
      </c>
      <c r="G258">
        <f>VLOOKUP(A258,[1]Cleaned!$A:$J,9,0)</f>
        <v>7072.96</v>
      </c>
    </row>
    <row r="259" spans="1:7" x14ac:dyDescent="0.3">
      <c r="A259">
        <v>2257</v>
      </c>
      <c r="B259" s="1" t="str">
        <f>VLOOKUP(A259,[1]Cleaned!$A:$J,2,0)</f>
        <v>Rahul G</v>
      </c>
      <c r="C259" t="str">
        <f>VLOOKUP(A259,[1]Cleaned!$A:$J,3,0)</f>
        <v>Jackets</v>
      </c>
      <c r="D259" s="2" t="str">
        <f>TEXT(VLOOKUP(A259,[1]Cleaned!$A:$J,4,0),"DD-MMM-YYYY")</f>
        <v>18-Sep-2024</v>
      </c>
      <c r="E259" s="3" t="str">
        <f>TEXT(VLOOKUP(A259,[1]Cleaned!$A:$J,5,0),"DD-MMM-YYYY")</f>
        <v>27-Sep-2024</v>
      </c>
      <c r="F259" t="str">
        <f>VLOOKUP(A259,[1]Cleaned!$A:$J,6,0)</f>
        <v>Mumbai</v>
      </c>
      <c r="G259">
        <f>VLOOKUP(A259,[1]Cleaned!$A:$J,9,0)</f>
        <v>18907.8</v>
      </c>
    </row>
    <row r="260" spans="1:7" x14ac:dyDescent="0.3">
      <c r="A260">
        <v>2258</v>
      </c>
      <c r="B260" s="1" t="str">
        <f>VLOOKUP(A260,[1]Cleaned!$A:$J,2,0)</f>
        <v>Ganesh R</v>
      </c>
      <c r="C260" t="str">
        <f>VLOOKUP(A260,[1]Cleaned!$A:$J,3,0)</f>
        <v>Dresses</v>
      </c>
      <c r="D260" s="2" t="str">
        <f>TEXT(VLOOKUP(A260,[1]Cleaned!$A:$J,4,0),"DD-MMM-YYYY")</f>
        <v>09-Dec-2023</v>
      </c>
      <c r="E260" s="3" t="str">
        <f>TEXT(VLOOKUP(A260,[1]Cleaned!$A:$J,5,0),"DD-MMM-YYYY")</f>
        <v>17-Dec-2023</v>
      </c>
      <c r="F260" t="str">
        <f>VLOOKUP(A260,[1]Cleaned!$A:$J,6,0)</f>
        <v>Mumbai</v>
      </c>
      <c r="G260">
        <f>VLOOKUP(A260,[1]Cleaned!$A:$J,9,0)</f>
        <v>16322.46</v>
      </c>
    </row>
    <row r="261" spans="1:7" x14ac:dyDescent="0.3">
      <c r="A261">
        <v>2259</v>
      </c>
      <c r="B261" s="1" t="str">
        <f>VLOOKUP(A261,[1]Cleaned!$A:$J,2,0)</f>
        <v>Arun Pandi</v>
      </c>
      <c r="C261" t="str">
        <f>VLOOKUP(A261,[1]Cleaned!$A:$J,3,0)</f>
        <v>T-Shirts</v>
      </c>
      <c r="D261" s="2" t="str">
        <f>TEXT(VLOOKUP(A261,[1]Cleaned!$A:$J,4,0),"DD-MMM-YYYY")</f>
        <v>13-Aug-2024</v>
      </c>
      <c r="E261" s="3" t="str">
        <f>TEXT(VLOOKUP(A261,[1]Cleaned!$A:$J,5,0),"DD-MMM-YYYY")</f>
        <v>16-Aug-2024</v>
      </c>
      <c r="F261" t="str">
        <f>VLOOKUP(A261,[1]Cleaned!$A:$J,6,0)</f>
        <v>Delhi</v>
      </c>
      <c r="G261">
        <f>VLOOKUP(A261,[1]Cleaned!$A:$J,9,0)</f>
        <v>11721.76</v>
      </c>
    </row>
    <row r="262" spans="1:7" x14ac:dyDescent="0.3">
      <c r="A262">
        <v>2260</v>
      </c>
      <c r="B262" s="1" t="str">
        <f>VLOOKUP(A262,[1]Cleaned!$A:$J,2,0)</f>
        <v>Karthik Vel</v>
      </c>
      <c r="C262" t="str">
        <f>VLOOKUP(A262,[1]Cleaned!$A:$J,3,0)</f>
        <v>Dresses</v>
      </c>
      <c r="D262" s="2" t="str">
        <f>TEXT(VLOOKUP(A262,[1]Cleaned!$A:$J,4,0),"DD-MMM-YYYY")</f>
        <v>26-Feb-2024</v>
      </c>
      <c r="E262" s="3" t="str">
        <f>TEXT(VLOOKUP(A262,[1]Cleaned!$A:$J,5,0),"DD-MMM-YYYY")</f>
        <v>12-Mar-2024</v>
      </c>
      <c r="F262" t="str">
        <f>VLOOKUP(A262,[1]Cleaned!$A:$J,6,0)</f>
        <v>Hyderabad</v>
      </c>
      <c r="G262">
        <f>VLOOKUP(A262,[1]Cleaned!$A:$J,9,0)</f>
        <v>10268.09</v>
      </c>
    </row>
    <row r="263" spans="1:7" x14ac:dyDescent="0.3">
      <c r="A263">
        <v>2261</v>
      </c>
      <c r="B263" s="1" t="str">
        <f>VLOOKUP(A263,[1]Cleaned!$A:$J,2,0)</f>
        <v>Arun Pandi</v>
      </c>
      <c r="C263" t="str">
        <f>VLOOKUP(A263,[1]Cleaned!$A:$J,3,0)</f>
        <v>Shoes</v>
      </c>
      <c r="D263" s="2" t="str">
        <f>TEXT(VLOOKUP(A263,[1]Cleaned!$A:$J,4,0),"DD-MMM-YYYY")</f>
        <v>03-Oct-2023</v>
      </c>
      <c r="E263" s="3" t="str">
        <f>TEXT(VLOOKUP(A263,[1]Cleaned!$A:$J,5,0),"DD-MMM-YYYY")</f>
        <v>08-Oct-2023</v>
      </c>
      <c r="F263" t="str">
        <f>VLOOKUP(A263,[1]Cleaned!$A:$J,6,0)</f>
        <v>Ahmedabad</v>
      </c>
      <c r="G263">
        <f>VLOOKUP(A263,[1]Cleaned!$A:$J,9,0)</f>
        <v>7925.55</v>
      </c>
    </row>
    <row r="264" spans="1:7" x14ac:dyDescent="0.3">
      <c r="A264">
        <v>2262</v>
      </c>
      <c r="B264" s="1" t="str">
        <f>VLOOKUP(A264,[1]Cleaned!$A:$J,2,0)</f>
        <v>Kavitha S</v>
      </c>
      <c r="C264" t="str">
        <f>VLOOKUP(A264,[1]Cleaned!$A:$J,3,0)</f>
        <v>Dresses</v>
      </c>
      <c r="D264" s="2" t="str">
        <f>TEXT(VLOOKUP(A264,[1]Cleaned!$A:$J,4,0),"DD-MMM-YYYY")</f>
        <v>15-Oct-2024</v>
      </c>
      <c r="E264" s="3" t="str">
        <f>TEXT(VLOOKUP(A264,[1]Cleaned!$A:$J,5,0),"DD-MMM-YYYY")</f>
        <v>17-Oct-2024</v>
      </c>
      <c r="F264" t="str">
        <f>VLOOKUP(A264,[1]Cleaned!$A:$J,6,0)</f>
        <v>Chennai</v>
      </c>
      <c r="G264">
        <f>VLOOKUP(A264,[1]Cleaned!$A:$J,9,0)</f>
        <v>18729.13</v>
      </c>
    </row>
    <row r="265" spans="1:7" x14ac:dyDescent="0.3">
      <c r="A265">
        <v>2263</v>
      </c>
      <c r="B265" s="1" t="str">
        <f>VLOOKUP(A265,[1]Cleaned!$A:$J,2,0)</f>
        <v>Meena Iyer</v>
      </c>
      <c r="C265" t="str">
        <f>VLOOKUP(A265,[1]Cleaned!$A:$J,3,0)</f>
        <v>Shoes</v>
      </c>
      <c r="D265" s="2" t="str">
        <f>TEXT(VLOOKUP(A265,[1]Cleaned!$A:$J,4,0),"DD-MMM-YYYY")</f>
        <v>24-Dec-2023</v>
      </c>
      <c r="E265" s="3" t="str">
        <f>TEXT(VLOOKUP(A265,[1]Cleaned!$A:$J,5,0),"DD-MMM-YYYY")</f>
        <v>26-Dec-2023</v>
      </c>
      <c r="F265" t="str">
        <f>VLOOKUP(A265,[1]Cleaned!$A:$J,6,0)</f>
        <v>Chennai</v>
      </c>
      <c r="G265">
        <f>VLOOKUP(A265,[1]Cleaned!$A:$J,9,0)</f>
        <v>13130</v>
      </c>
    </row>
    <row r="266" spans="1:7" x14ac:dyDescent="0.3">
      <c r="A266">
        <v>2264</v>
      </c>
      <c r="B266" s="1" t="str">
        <f>VLOOKUP(A266,[1]Cleaned!$A:$J,2,0)</f>
        <v>Divya T</v>
      </c>
      <c r="C266" t="str">
        <f>VLOOKUP(A266,[1]Cleaned!$A:$J,3,0)</f>
        <v>Shoes</v>
      </c>
      <c r="D266" s="2" t="str">
        <f>TEXT(VLOOKUP(A266,[1]Cleaned!$A:$J,4,0),"DD-MMM-YYYY")</f>
        <v>17-Jan-2022</v>
      </c>
      <c r="E266" s="3" t="str">
        <f>TEXT(VLOOKUP(A266,[1]Cleaned!$A:$J,5,0),"DD-MMM-YYYY")</f>
        <v>01-Feb-2022</v>
      </c>
      <c r="F266" t="str">
        <f>VLOOKUP(A266,[1]Cleaned!$A:$J,6,0)</f>
        <v>Chennai</v>
      </c>
      <c r="G266">
        <f>VLOOKUP(A266,[1]Cleaned!$A:$J,9,0)</f>
        <v>6506.43</v>
      </c>
    </row>
    <row r="267" spans="1:7" x14ac:dyDescent="0.3">
      <c r="A267">
        <v>2265</v>
      </c>
      <c r="B267" s="1" t="str">
        <f>VLOOKUP(A267,[1]Cleaned!$A:$J,2,0)</f>
        <v>Uma S</v>
      </c>
      <c r="C267" t="str">
        <f>VLOOKUP(A267,[1]Cleaned!$A:$J,3,0)</f>
        <v>Dresses</v>
      </c>
      <c r="D267" s="2" t="str">
        <f>TEXT(VLOOKUP(A267,[1]Cleaned!$A:$J,4,0),"DD-MMM-YYYY")</f>
        <v>05-Apr-2024</v>
      </c>
      <c r="E267" s="3" t="str">
        <f>TEXT(VLOOKUP(A267,[1]Cleaned!$A:$J,5,0),"DD-MMM-YYYY")</f>
        <v>12-Apr-2024</v>
      </c>
      <c r="F267" t="str">
        <f>VLOOKUP(A267,[1]Cleaned!$A:$J,6,0)</f>
        <v>Chennai</v>
      </c>
      <c r="G267">
        <f>VLOOKUP(A267,[1]Cleaned!$A:$J,9,0)</f>
        <v>3783.08</v>
      </c>
    </row>
    <row r="268" spans="1:7" x14ac:dyDescent="0.3">
      <c r="A268">
        <v>2266</v>
      </c>
      <c r="B268" s="1" t="str">
        <f>VLOOKUP(A268,[1]Cleaned!$A:$J,2,0)</f>
        <v>Sneha R</v>
      </c>
      <c r="C268" t="str">
        <f>VLOOKUP(A268,[1]Cleaned!$A:$J,3,0)</f>
        <v>Shoes</v>
      </c>
      <c r="D268" s="2" t="str">
        <f>TEXT(VLOOKUP(A268,[1]Cleaned!$A:$J,4,0),"DD-MMM-YYYY")</f>
        <v>15-Aug-2023</v>
      </c>
      <c r="E268" s="3" t="str">
        <f>TEXT(VLOOKUP(A268,[1]Cleaned!$A:$J,5,0),"DD-MMM-YYYY")</f>
        <v>18-Aug-2023</v>
      </c>
      <c r="F268" t="str">
        <f>VLOOKUP(A268,[1]Cleaned!$A:$J,6,0)</f>
        <v>Bangalore</v>
      </c>
      <c r="G268">
        <f>VLOOKUP(A268,[1]Cleaned!$A:$J,9,0)</f>
        <v>31141.599999999999</v>
      </c>
    </row>
    <row r="269" spans="1:7" x14ac:dyDescent="0.3">
      <c r="A269">
        <v>2267</v>
      </c>
      <c r="B269" s="1" t="str">
        <f>VLOOKUP(A269,[1]Cleaned!$A:$J,2,0)</f>
        <v>Revathi A</v>
      </c>
      <c r="C269" t="str">
        <f>VLOOKUP(A269,[1]Cleaned!$A:$J,3,0)</f>
        <v>Accessories</v>
      </c>
      <c r="D269" s="2" t="str">
        <f>TEXT(VLOOKUP(A269,[1]Cleaned!$A:$J,4,0),"DD-MMM-YYYY")</f>
        <v>01-Sep-2022</v>
      </c>
      <c r="E269" s="3" t="str">
        <f>TEXT(VLOOKUP(A269,[1]Cleaned!$A:$J,5,0),"DD-MMM-YYYY")</f>
        <v>05-Sep-2022</v>
      </c>
      <c r="F269" t="str">
        <f>VLOOKUP(A269,[1]Cleaned!$A:$J,6,0)</f>
        <v>Chennai</v>
      </c>
      <c r="G269">
        <f>VLOOKUP(A269,[1]Cleaned!$A:$J,9,0)</f>
        <v>14378.21</v>
      </c>
    </row>
    <row r="270" spans="1:7" x14ac:dyDescent="0.3">
      <c r="A270">
        <v>2268</v>
      </c>
      <c r="B270" s="1" t="str">
        <f>VLOOKUP(A270,[1]Cleaned!$A:$J,2,0)</f>
        <v>Nithya R</v>
      </c>
      <c r="C270" t="str">
        <f>VLOOKUP(A270,[1]Cleaned!$A:$J,3,0)</f>
        <v>Dresses</v>
      </c>
      <c r="D270" s="2" t="str">
        <f>TEXT(VLOOKUP(A270,[1]Cleaned!$A:$J,4,0),"DD-MMM-YYYY")</f>
        <v>23-Oct-2022</v>
      </c>
      <c r="E270" s="3" t="str">
        <f>TEXT(VLOOKUP(A270,[1]Cleaned!$A:$J,5,0),"DD-MMM-YYYY")</f>
        <v>28-Oct-2022</v>
      </c>
      <c r="F270" t="str">
        <f>VLOOKUP(A270,[1]Cleaned!$A:$J,6,0)</f>
        <v>Hyderabad</v>
      </c>
      <c r="G270">
        <f>VLOOKUP(A270,[1]Cleaned!$A:$J,9,0)</f>
        <v>18552.59</v>
      </c>
    </row>
    <row r="271" spans="1:7" x14ac:dyDescent="0.3">
      <c r="A271">
        <v>2269</v>
      </c>
      <c r="B271" s="1" t="str">
        <f>VLOOKUP(A271,[1]Cleaned!$A:$J,2,0)</f>
        <v>Karthik Vel</v>
      </c>
      <c r="C271" t="str">
        <f>VLOOKUP(A271,[1]Cleaned!$A:$J,3,0)</f>
        <v>T-Shirts</v>
      </c>
      <c r="D271" s="2" t="str">
        <f>TEXT(VLOOKUP(A271,[1]Cleaned!$A:$J,4,0),"DD-MMM-YYYY")</f>
        <v>14-Nov-2023</v>
      </c>
      <c r="E271" s="3" t="str">
        <f>TEXT(VLOOKUP(A271,[1]Cleaned!$A:$J,5,0),"DD-MMM-YYYY")</f>
        <v>28-Nov-2023</v>
      </c>
      <c r="F271" t="str">
        <f>VLOOKUP(A271,[1]Cleaned!$A:$J,6,0)</f>
        <v>Bangalore</v>
      </c>
      <c r="G271">
        <f>VLOOKUP(A271,[1]Cleaned!$A:$J,9,0)</f>
        <v>8000.16</v>
      </c>
    </row>
    <row r="272" spans="1:7" x14ac:dyDescent="0.3">
      <c r="A272">
        <v>2270</v>
      </c>
      <c r="B272" s="1" t="str">
        <f>VLOOKUP(A272,[1]Cleaned!$A:$J,2,0)</f>
        <v>Arun Pandi</v>
      </c>
      <c r="C272" t="str">
        <f>VLOOKUP(A272,[1]Cleaned!$A:$J,3,0)</f>
        <v>Shoes</v>
      </c>
      <c r="D272" s="2" t="str">
        <f>TEXT(VLOOKUP(A272,[1]Cleaned!$A:$J,4,0),"DD-MMM-YYYY")</f>
        <v>15-Oct-2023</v>
      </c>
      <c r="E272" s="3" t="str">
        <f>TEXT(VLOOKUP(A272,[1]Cleaned!$A:$J,5,0),"DD-MMM-YYYY")</f>
        <v>19-Oct-2023</v>
      </c>
      <c r="F272" t="str">
        <f>VLOOKUP(A272,[1]Cleaned!$A:$J,6,0)</f>
        <v>Bangalore</v>
      </c>
      <c r="G272">
        <f>VLOOKUP(A272,[1]Cleaned!$A:$J,9,0)</f>
        <v>15452.55</v>
      </c>
    </row>
    <row r="273" spans="1:7" x14ac:dyDescent="0.3">
      <c r="A273">
        <v>2271</v>
      </c>
      <c r="B273" s="1" t="str">
        <f>VLOOKUP(A273,[1]Cleaned!$A:$J,2,0)</f>
        <v>Ganesh R</v>
      </c>
      <c r="C273" t="str">
        <f>VLOOKUP(A273,[1]Cleaned!$A:$J,3,0)</f>
        <v>Shoes</v>
      </c>
      <c r="D273" s="2" t="str">
        <f>TEXT(VLOOKUP(A273,[1]Cleaned!$A:$J,4,0),"DD-MMM-YYYY")</f>
        <v>06-Sep-2023</v>
      </c>
      <c r="E273" s="3" t="str">
        <f>TEXT(VLOOKUP(A273,[1]Cleaned!$A:$J,5,0),"DD-MMM-YYYY")</f>
        <v>15-Sep-2023</v>
      </c>
      <c r="F273" t="str">
        <f>VLOOKUP(A273,[1]Cleaned!$A:$J,6,0)</f>
        <v>Ahmedabad</v>
      </c>
      <c r="G273">
        <f>VLOOKUP(A273,[1]Cleaned!$A:$J,9,0)</f>
        <v>2031.28</v>
      </c>
    </row>
    <row r="274" spans="1:7" x14ac:dyDescent="0.3">
      <c r="A274">
        <v>2272</v>
      </c>
      <c r="B274" s="1" t="str">
        <f>VLOOKUP(A274,[1]Cleaned!$A:$J,2,0)</f>
        <v>Pooja M</v>
      </c>
      <c r="C274" t="str">
        <f>VLOOKUP(A274,[1]Cleaned!$A:$J,3,0)</f>
        <v>Shoes</v>
      </c>
      <c r="D274" s="2" t="str">
        <f>TEXT(VLOOKUP(A274,[1]Cleaned!$A:$J,4,0),"DD-MMM-YYYY")</f>
        <v>23-Sep-2023</v>
      </c>
      <c r="E274" s="3" t="str">
        <f>TEXT(VLOOKUP(A274,[1]Cleaned!$A:$J,5,0),"DD-MMM-YYYY")</f>
        <v>07-Oct-2023</v>
      </c>
      <c r="F274" t="str">
        <f>VLOOKUP(A274,[1]Cleaned!$A:$J,6,0)</f>
        <v>Pune</v>
      </c>
      <c r="G274">
        <f>VLOOKUP(A274,[1]Cleaned!$A:$J,9,0)</f>
        <v>3105.48</v>
      </c>
    </row>
    <row r="275" spans="1:7" x14ac:dyDescent="0.3">
      <c r="A275">
        <v>2273</v>
      </c>
      <c r="B275" s="1" t="str">
        <f>VLOOKUP(A275,[1]Cleaned!$A:$J,2,0)</f>
        <v>Balaji N</v>
      </c>
      <c r="C275" t="str">
        <f>VLOOKUP(A275,[1]Cleaned!$A:$J,3,0)</f>
        <v>Shoes</v>
      </c>
      <c r="D275" s="2" t="str">
        <f>TEXT(VLOOKUP(A275,[1]Cleaned!$A:$J,4,0),"DD-MMM-YYYY")</f>
        <v>12-Apr-2023</v>
      </c>
      <c r="E275" s="3" t="str">
        <f>TEXT(VLOOKUP(A275,[1]Cleaned!$A:$J,5,0),"DD-MMM-YYYY")</f>
        <v>25-Apr-2023</v>
      </c>
      <c r="F275" t="str">
        <f>VLOOKUP(A275,[1]Cleaned!$A:$J,6,0)</f>
        <v>Chennai</v>
      </c>
      <c r="G275">
        <f>VLOOKUP(A275,[1]Cleaned!$A:$J,9,0)</f>
        <v>8811.2800000000007</v>
      </c>
    </row>
    <row r="276" spans="1:7" x14ac:dyDescent="0.3">
      <c r="A276">
        <v>2274</v>
      </c>
      <c r="B276" s="1" t="str">
        <f>VLOOKUP(A276,[1]Cleaned!$A:$J,2,0)</f>
        <v>Deepa K</v>
      </c>
      <c r="C276" t="str">
        <f>VLOOKUP(A276,[1]Cleaned!$A:$J,3,0)</f>
        <v>Accessories</v>
      </c>
      <c r="D276" s="2" t="str">
        <f>TEXT(VLOOKUP(A276,[1]Cleaned!$A:$J,4,0),"DD-MMM-YYYY")</f>
        <v>12-May-2023</v>
      </c>
      <c r="E276" s="3" t="str">
        <f>TEXT(VLOOKUP(A276,[1]Cleaned!$A:$J,5,0),"DD-MMM-YYYY")</f>
        <v>14-May-2023</v>
      </c>
      <c r="F276" t="str">
        <f>VLOOKUP(A276,[1]Cleaned!$A:$J,6,0)</f>
        <v>Hyderabad</v>
      </c>
      <c r="G276">
        <f>VLOOKUP(A276,[1]Cleaned!$A:$J,9,0)</f>
        <v>2393.38</v>
      </c>
    </row>
    <row r="277" spans="1:7" x14ac:dyDescent="0.3">
      <c r="A277">
        <v>2275</v>
      </c>
      <c r="B277" s="1" t="str">
        <f>VLOOKUP(A277,[1]Cleaned!$A:$J,2,0)</f>
        <v>Arun Pandi</v>
      </c>
      <c r="C277" t="str">
        <f>VLOOKUP(A277,[1]Cleaned!$A:$J,3,0)</f>
        <v>Jackets</v>
      </c>
      <c r="D277" s="2" t="str">
        <f>TEXT(VLOOKUP(A277,[1]Cleaned!$A:$J,4,0),"DD-MMM-YYYY")</f>
        <v>07-Nov-2022</v>
      </c>
      <c r="E277" s="3" t="str">
        <f>TEXT(VLOOKUP(A277,[1]Cleaned!$A:$J,5,0),"DD-MMM-YYYY")</f>
        <v>15-Nov-2022</v>
      </c>
      <c r="F277" t="str">
        <f>VLOOKUP(A277,[1]Cleaned!$A:$J,6,0)</f>
        <v>Pune</v>
      </c>
      <c r="G277">
        <f>VLOOKUP(A277,[1]Cleaned!$A:$J,9,0)</f>
        <v>8915.08</v>
      </c>
    </row>
    <row r="278" spans="1:7" x14ac:dyDescent="0.3">
      <c r="A278">
        <v>2276</v>
      </c>
      <c r="B278" s="1" t="str">
        <f>VLOOKUP(A278,[1]Cleaned!$A:$J,2,0)</f>
        <v>Uma S</v>
      </c>
      <c r="C278" t="str">
        <f>VLOOKUP(A278,[1]Cleaned!$A:$J,3,0)</f>
        <v>Accessories</v>
      </c>
      <c r="D278" s="2" t="str">
        <f>TEXT(VLOOKUP(A278,[1]Cleaned!$A:$J,4,0),"DD-MMM-YYYY")</f>
        <v>08-May-2022</v>
      </c>
      <c r="E278" s="3" t="str">
        <f>TEXT(VLOOKUP(A278,[1]Cleaned!$A:$J,5,0),"DD-MMM-YYYY")</f>
        <v>21-May-2022</v>
      </c>
      <c r="F278" t="str">
        <f>VLOOKUP(A278,[1]Cleaned!$A:$J,6,0)</f>
        <v>Mumbai</v>
      </c>
      <c r="G278">
        <f>VLOOKUP(A278,[1]Cleaned!$A:$J,9,0)</f>
        <v>11744.68</v>
      </c>
    </row>
    <row r="279" spans="1:7" x14ac:dyDescent="0.3">
      <c r="A279">
        <v>2277</v>
      </c>
      <c r="B279" s="1" t="str">
        <f>VLOOKUP(A279,[1]Cleaned!$A:$J,2,0)</f>
        <v>Santhosh P</v>
      </c>
      <c r="C279" t="str">
        <f>VLOOKUP(A279,[1]Cleaned!$A:$J,3,0)</f>
        <v>Jackets</v>
      </c>
      <c r="D279" s="2" t="str">
        <f>TEXT(VLOOKUP(A279,[1]Cleaned!$A:$J,4,0),"DD-MMM-YYYY")</f>
        <v>05-Oct-2023</v>
      </c>
      <c r="E279" s="3" t="str">
        <f>TEXT(VLOOKUP(A279,[1]Cleaned!$A:$J,5,0),"DD-MMM-YYYY")</f>
        <v>09-Oct-2023</v>
      </c>
      <c r="F279" t="str">
        <f>VLOOKUP(A279,[1]Cleaned!$A:$J,6,0)</f>
        <v>Bangalore</v>
      </c>
      <c r="G279">
        <f>VLOOKUP(A279,[1]Cleaned!$A:$J,9,0)</f>
        <v>17204.88</v>
      </c>
    </row>
    <row r="280" spans="1:7" x14ac:dyDescent="0.3">
      <c r="A280">
        <v>2278</v>
      </c>
      <c r="B280" s="1" t="str">
        <f>VLOOKUP(A280,[1]Cleaned!$A:$J,2,0)</f>
        <v>Revathi A</v>
      </c>
      <c r="C280" t="str">
        <f>VLOOKUP(A280,[1]Cleaned!$A:$J,3,0)</f>
        <v>Jackets</v>
      </c>
      <c r="D280" s="2" t="str">
        <f>TEXT(VLOOKUP(A280,[1]Cleaned!$A:$J,4,0),"DD-MMM-YYYY")</f>
        <v>29-Jan-2023</v>
      </c>
      <c r="E280" s="3" t="str">
        <f>TEXT(VLOOKUP(A280,[1]Cleaned!$A:$J,5,0),"DD-MMM-YYYY")</f>
        <v>03-Feb-2023</v>
      </c>
      <c r="F280" t="str">
        <f>VLOOKUP(A280,[1]Cleaned!$A:$J,6,0)</f>
        <v>Delhi</v>
      </c>
      <c r="G280">
        <f>VLOOKUP(A280,[1]Cleaned!$A:$J,9,0)</f>
        <v>6784.4</v>
      </c>
    </row>
    <row r="281" spans="1:7" x14ac:dyDescent="0.3">
      <c r="A281">
        <v>2279</v>
      </c>
      <c r="B281" s="1" t="str">
        <f>VLOOKUP(A281,[1]Cleaned!$A:$J,2,0)</f>
        <v>Prakash V</v>
      </c>
      <c r="C281" t="str">
        <f>VLOOKUP(A281,[1]Cleaned!$A:$J,3,0)</f>
        <v>Dresses</v>
      </c>
      <c r="D281" s="2" t="str">
        <f>TEXT(VLOOKUP(A281,[1]Cleaned!$A:$J,4,0),"DD-MMM-YYYY")</f>
        <v>01-Mar-2023</v>
      </c>
      <c r="E281" s="3" t="str">
        <f>TEXT(VLOOKUP(A281,[1]Cleaned!$A:$J,5,0),"DD-MMM-YYYY")</f>
        <v>14-Mar-2023</v>
      </c>
      <c r="F281" t="str">
        <f>VLOOKUP(A281,[1]Cleaned!$A:$J,6,0)</f>
        <v>Pune</v>
      </c>
      <c r="G281">
        <f>VLOOKUP(A281,[1]Cleaned!$A:$J,9,0)</f>
        <v>14320.72</v>
      </c>
    </row>
    <row r="282" spans="1:7" x14ac:dyDescent="0.3">
      <c r="A282">
        <v>2280</v>
      </c>
      <c r="B282" s="1" t="str">
        <f>VLOOKUP(A282,[1]Cleaned!$A:$J,2,0)</f>
        <v>Nithya R</v>
      </c>
      <c r="C282" t="str">
        <f>VLOOKUP(A282,[1]Cleaned!$A:$J,3,0)</f>
        <v>Accessories</v>
      </c>
      <c r="D282" s="2" t="str">
        <f>TEXT(VLOOKUP(A282,[1]Cleaned!$A:$J,4,0),"DD-MMM-YYYY")</f>
        <v>15-Jul-2023</v>
      </c>
      <c r="E282" s="3" t="str">
        <f>TEXT(VLOOKUP(A282,[1]Cleaned!$A:$J,5,0),"DD-MMM-YYYY")</f>
        <v>21-Jul-2023</v>
      </c>
      <c r="F282" t="str">
        <f>VLOOKUP(A282,[1]Cleaned!$A:$J,6,0)</f>
        <v>Chennai</v>
      </c>
      <c r="G282">
        <f>VLOOKUP(A282,[1]Cleaned!$A:$J,9,0)</f>
        <v>31570.49</v>
      </c>
    </row>
    <row r="283" spans="1:7" x14ac:dyDescent="0.3">
      <c r="A283">
        <v>2281</v>
      </c>
      <c r="B283" s="1" t="str">
        <f>VLOOKUP(A283,[1]Cleaned!$A:$J,2,0)</f>
        <v>Sneha R</v>
      </c>
      <c r="C283" t="str">
        <f>VLOOKUP(A283,[1]Cleaned!$A:$J,3,0)</f>
        <v>T-Shirts</v>
      </c>
      <c r="D283" s="2" t="str">
        <f>TEXT(VLOOKUP(A283,[1]Cleaned!$A:$J,4,0),"DD-MMM-YYYY")</f>
        <v>18-Aug-2023</v>
      </c>
      <c r="E283" s="3" t="str">
        <f>TEXT(VLOOKUP(A283,[1]Cleaned!$A:$J,5,0),"DD-MMM-YYYY")</f>
        <v>20-Aug-2023</v>
      </c>
      <c r="F283" t="str">
        <f>VLOOKUP(A283,[1]Cleaned!$A:$J,6,0)</f>
        <v>Delhi</v>
      </c>
      <c r="G283">
        <f>VLOOKUP(A283,[1]Cleaned!$A:$J,9,0)</f>
        <v>3855.82</v>
      </c>
    </row>
    <row r="284" spans="1:7" x14ac:dyDescent="0.3">
      <c r="A284">
        <v>2282</v>
      </c>
      <c r="B284" s="1" t="str">
        <f>VLOOKUP(A284,[1]Cleaned!$A:$J,2,0)</f>
        <v>Balaji N</v>
      </c>
      <c r="C284" t="str">
        <f>VLOOKUP(A284,[1]Cleaned!$A:$J,3,0)</f>
        <v>Dresses</v>
      </c>
      <c r="D284" s="2" t="str">
        <f>TEXT(VLOOKUP(A284,[1]Cleaned!$A:$J,4,0),"DD-MMM-YYYY")</f>
        <v>08-Sep-2024</v>
      </c>
      <c r="E284" s="3" t="str">
        <f>TEXT(VLOOKUP(A284,[1]Cleaned!$A:$J,5,0),"DD-MMM-YYYY")</f>
        <v>13-Sep-2024</v>
      </c>
      <c r="F284" t="str">
        <f>VLOOKUP(A284,[1]Cleaned!$A:$J,6,0)</f>
        <v>Mumbai</v>
      </c>
      <c r="G284">
        <f>VLOOKUP(A284,[1]Cleaned!$A:$J,9,0)</f>
        <v>23426.05</v>
      </c>
    </row>
    <row r="285" spans="1:7" x14ac:dyDescent="0.3">
      <c r="A285">
        <v>2283</v>
      </c>
      <c r="B285" s="1" t="str">
        <f>VLOOKUP(A285,[1]Cleaned!$A:$J,2,0)</f>
        <v>Deepa K</v>
      </c>
      <c r="C285" t="str">
        <f>VLOOKUP(A285,[1]Cleaned!$A:$J,3,0)</f>
        <v>Jeans</v>
      </c>
      <c r="D285" s="2" t="str">
        <f>TEXT(VLOOKUP(A285,[1]Cleaned!$A:$J,4,0),"DD-MMM-YYYY")</f>
        <v>06-May-2023</v>
      </c>
      <c r="E285" s="3" t="str">
        <f>TEXT(VLOOKUP(A285,[1]Cleaned!$A:$J,5,0),"DD-MMM-YYYY")</f>
        <v>11-May-2023</v>
      </c>
      <c r="F285" t="str">
        <f>VLOOKUP(A285,[1]Cleaned!$A:$J,6,0)</f>
        <v>Chennai</v>
      </c>
      <c r="G285">
        <f>VLOOKUP(A285,[1]Cleaned!$A:$J,9,0)</f>
        <v>13193.36</v>
      </c>
    </row>
    <row r="286" spans="1:7" x14ac:dyDescent="0.3">
      <c r="A286">
        <v>2284</v>
      </c>
      <c r="B286" s="1" t="str">
        <f>VLOOKUP(A286,[1]Cleaned!$A:$J,2,0)</f>
        <v>Suresh M</v>
      </c>
      <c r="C286" t="str">
        <f>VLOOKUP(A286,[1]Cleaned!$A:$J,3,0)</f>
        <v>Jackets</v>
      </c>
      <c r="D286" s="2" t="str">
        <f>TEXT(VLOOKUP(A286,[1]Cleaned!$A:$J,4,0),"DD-MMM-YYYY")</f>
        <v>08-Nov-2023</v>
      </c>
      <c r="E286" s="3" t="str">
        <f>TEXT(VLOOKUP(A286,[1]Cleaned!$A:$J,5,0),"DD-MMM-YYYY")</f>
        <v>21-Nov-2023</v>
      </c>
      <c r="F286" t="str">
        <f>VLOOKUP(A286,[1]Cleaned!$A:$J,6,0)</f>
        <v>Bangalore</v>
      </c>
      <c r="G286">
        <f>VLOOKUP(A286,[1]Cleaned!$A:$J,9,0)</f>
        <v>7003.2</v>
      </c>
    </row>
    <row r="287" spans="1:7" x14ac:dyDescent="0.3">
      <c r="A287">
        <v>2285</v>
      </c>
      <c r="B287" s="1" t="str">
        <f>VLOOKUP(A287,[1]Cleaned!$A:$J,2,0)</f>
        <v>Anitha Raj</v>
      </c>
      <c r="C287" t="str">
        <f>VLOOKUP(A287,[1]Cleaned!$A:$J,3,0)</f>
        <v>Shoes</v>
      </c>
      <c r="D287" s="2" t="str">
        <f>TEXT(VLOOKUP(A287,[1]Cleaned!$A:$J,4,0),"DD-MMM-YYYY")</f>
        <v>20-Nov-2022</v>
      </c>
      <c r="E287" s="3" t="str">
        <f>TEXT(VLOOKUP(A287,[1]Cleaned!$A:$J,5,0),"DD-MMM-YYYY")</f>
        <v>28-Nov-2022</v>
      </c>
      <c r="F287" t="str">
        <f>VLOOKUP(A287,[1]Cleaned!$A:$J,6,0)</f>
        <v>Pune</v>
      </c>
      <c r="G287">
        <f>VLOOKUP(A287,[1]Cleaned!$A:$J,9,0)</f>
        <v>20352.080000000002</v>
      </c>
    </row>
    <row r="288" spans="1:7" x14ac:dyDescent="0.3">
      <c r="A288">
        <v>2286</v>
      </c>
      <c r="B288" s="1" t="str">
        <f>VLOOKUP(A288,[1]Cleaned!$A:$J,2,0)</f>
        <v>Prakash V</v>
      </c>
      <c r="C288" t="str">
        <f>VLOOKUP(A288,[1]Cleaned!$A:$J,3,0)</f>
        <v>Dresses</v>
      </c>
      <c r="D288" s="2" t="str">
        <f>TEXT(VLOOKUP(A288,[1]Cleaned!$A:$J,4,0),"DD-MMM-YYYY")</f>
        <v>20-Oct-2023</v>
      </c>
      <c r="E288" s="3" t="str">
        <f>TEXT(VLOOKUP(A288,[1]Cleaned!$A:$J,5,0),"DD-MMM-YYYY")</f>
        <v>26-Oct-2023</v>
      </c>
      <c r="F288" t="str">
        <f>VLOOKUP(A288,[1]Cleaned!$A:$J,6,0)</f>
        <v>Pune</v>
      </c>
      <c r="G288">
        <f>VLOOKUP(A288,[1]Cleaned!$A:$J,9,0)</f>
        <v>4567.3</v>
      </c>
    </row>
    <row r="289" spans="1:7" x14ac:dyDescent="0.3">
      <c r="A289">
        <v>2287</v>
      </c>
      <c r="B289" s="1" t="str">
        <f>VLOOKUP(A289,[1]Cleaned!$A:$J,2,0)</f>
        <v>Balaji N</v>
      </c>
      <c r="C289" t="str">
        <f>VLOOKUP(A289,[1]Cleaned!$A:$J,3,0)</f>
        <v>Shoes</v>
      </c>
      <c r="D289" s="2" t="str">
        <f>TEXT(VLOOKUP(A289,[1]Cleaned!$A:$J,4,0),"DD-MMM-YYYY")</f>
        <v>21-Apr-2023</v>
      </c>
      <c r="E289" s="3" t="str">
        <f>TEXT(VLOOKUP(A289,[1]Cleaned!$A:$J,5,0),"DD-MMM-YYYY")</f>
        <v>01-May-2023</v>
      </c>
      <c r="F289" t="str">
        <f>VLOOKUP(A289,[1]Cleaned!$A:$J,6,0)</f>
        <v>Pune</v>
      </c>
      <c r="G289">
        <f>VLOOKUP(A289,[1]Cleaned!$A:$J,9,0)</f>
        <v>4592.18</v>
      </c>
    </row>
    <row r="290" spans="1:7" x14ac:dyDescent="0.3">
      <c r="A290">
        <v>2288</v>
      </c>
      <c r="B290" s="1" t="str">
        <f>VLOOKUP(A290,[1]Cleaned!$A:$J,2,0)</f>
        <v>Pooja M</v>
      </c>
      <c r="C290" t="str">
        <f>VLOOKUP(A290,[1]Cleaned!$A:$J,3,0)</f>
        <v>T-Shirts</v>
      </c>
      <c r="D290" s="2" t="str">
        <f>TEXT(VLOOKUP(A290,[1]Cleaned!$A:$J,4,0),"DD-MMM-YYYY")</f>
        <v>16-Mar-2022</v>
      </c>
      <c r="E290" s="3" t="str">
        <f>TEXT(VLOOKUP(A290,[1]Cleaned!$A:$J,5,0),"DD-MMM-YYYY")</f>
        <v>31-Mar-2022</v>
      </c>
      <c r="F290" t="str">
        <f>VLOOKUP(A290,[1]Cleaned!$A:$J,6,0)</f>
        <v>Bangalore</v>
      </c>
      <c r="G290">
        <f>VLOOKUP(A290,[1]Cleaned!$A:$J,9,0)</f>
        <v>9405.2800000000007</v>
      </c>
    </row>
    <row r="291" spans="1:7" x14ac:dyDescent="0.3">
      <c r="A291">
        <v>2289</v>
      </c>
      <c r="B291" s="1" t="str">
        <f>VLOOKUP(A291,[1]Cleaned!$A:$J,2,0)</f>
        <v>Karthik Vel</v>
      </c>
      <c r="C291" t="str">
        <f>VLOOKUP(A291,[1]Cleaned!$A:$J,3,0)</f>
        <v>Jeans</v>
      </c>
      <c r="D291" s="2" t="str">
        <f>TEXT(VLOOKUP(A291,[1]Cleaned!$A:$J,4,0),"DD-MMM-YYYY")</f>
        <v>04-Sep-2023</v>
      </c>
      <c r="E291" s="3" t="str">
        <f>TEXT(VLOOKUP(A291,[1]Cleaned!$A:$J,5,0),"DD-MMM-YYYY")</f>
        <v>15-Sep-2023</v>
      </c>
      <c r="F291" t="str">
        <f>VLOOKUP(A291,[1]Cleaned!$A:$J,6,0)</f>
        <v>Hyderabad</v>
      </c>
      <c r="G291">
        <f>VLOOKUP(A291,[1]Cleaned!$A:$J,9,0)</f>
        <v>9327.48</v>
      </c>
    </row>
    <row r="292" spans="1:7" x14ac:dyDescent="0.3">
      <c r="A292">
        <v>2290</v>
      </c>
      <c r="B292" s="1" t="str">
        <f>VLOOKUP(A292,[1]Cleaned!$A:$J,2,0)</f>
        <v>Divya T</v>
      </c>
      <c r="C292" t="str">
        <f>VLOOKUP(A292,[1]Cleaned!$A:$J,3,0)</f>
        <v>Jackets</v>
      </c>
      <c r="D292" s="2" t="str">
        <f>TEXT(VLOOKUP(A292,[1]Cleaned!$A:$J,4,0),"DD-MMM-YYYY")</f>
        <v>09-Dec-2024</v>
      </c>
      <c r="E292" s="3" t="str">
        <f>TEXT(VLOOKUP(A292,[1]Cleaned!$A:$J,5,0),"DD-MMM-YYYY")</f>
        <v>18-Dec-2024</v>
      </c>
      <c r="F292" t="str">
        <f>VLOOKUP(A292,[1]Cleaned!$A:$J,6,0)</f>
        <v>Mumbai</v>
      </c>
      <c r="G292">
        <f>VLOOKUP(A292,[1]Cleaned!$A:$J,9,0)</f>
        <v>12658.64</v>
      </c>
    </row>
    <row r="293" spans="1:7" x14ac:dyDescent="0.3">
      <c r="A293">
        <v>2291</v>
      </c>
      <c r="B293" s="1" t="str">
        <f>VLOOKUP(A293,[1]Cleaned!$A:$J,2,0)</f>
        <v>Arun Pandi</v>
      </c>
      <c r="C293" t="str">
        <f>VLOOKUP(A293,[1]Cleaned!$A:$J,3,0)</f>
        <v>T-Shirts</v>
      </c>
      <c r="D293" s="2" t="str">
        <f>TEXT(VLOOKUP(A293,[1]Cleaned!$A:$J,4,0),"DD-MMM-YYYY")</f>
        <v>28-Jul-2024</v>
      </c>
      <c r="E293" s="3" t="str">
        <f>TEXT(VLOOKUP(A293,[1]Cleaned!$A:$J,5,0),"DD-MMM-YYYY")</f>
        <v>09-Aug-2024</v>
      </c>
      <c r="F293" t="str">
        <f>VLOOKUP(A293,[1]Cleaned!$A:$J,6,0)</f>
        <v>Delhi</v>
      </c>
      <c r="G293">
        <f>VLOOKUP(A293,[1]Cleaned!$A:$J,9,0)</f>
        <v>1098.5999999999999</v>
      </c>
    </row>
    <row r="294" spans="1:7" x14ac:dyDescent="0.3">
      <c r="A294">
        <v>2292</v>
      </c>
      <c r="B294" s="1" t="str">
        <f>VLOOKUP(A294,[1]Cleaned!$A:$J,2,0)</f>
        <v>Divya T</v>
      </c>
      <c r="C294" t="str">
        <f>VLOOKUP(A294,[1]Cleaned!$A:$J,3,0)</f>
        <v>Shoes</v>
      </c>
      <c r="D294" s="2" t="str">
        <f>TEXT(VLOOKUP(A294,[1]Cleaned!$A:$J,4,0),"DD-MMM-YYYY")</f>
        <v>31-Jan-2023</v>
      </c>
      <c r="E294" s="3" t="str">
        <f>TEXT(VLOOKUP(A294,[1]Cleaned!$A:$J,5,0),"DD-MMM-YYYY")</f>
        <v>04-Feb-2023</v>
      </c>
      <c r="F294" t="str">
        <f>VLOOKUP(A294,[1]Cleaned!$A:$J,6,0)</f>
        <v>Hyderabad</v>
      </c>
      <c r="G294">
        <f>VLOOKUP(A294,[1]Cleaned!$A:$J,9,0)</f>
        <v>29307.95</v>
      </c>
    </row>
    <row r="295" spans="1:7" x14ac:dyDescent="0.3">
      <c r="A295">
        <v>2293</v>
      </c>
      <c r="B295" s="1" t="str">
        <f>VLOOKUP(A295,[1]Cleaned!$A:$J,2,0)</f>
        <v>Priya Nair</v>
      </c>
      <c r="C295" t="str">
        <f>VLOOKUP(A295,[1]Cleaned!$A:$J,3,0)</f>
        <v>Jackets</v>
      </c>
      <c r="D295" s="2" t="str">
        <f>TEXT(VLOOKUP(A295,[1]Cleaned!$A:$J,4,0),"DD-MMM-YYYY")</f>
        <v>15-Jul-2022</v>
      </c>
      <c r="E295" s="3" t="str">
        <f>TEXT(VLOOKUP(A295,[1]Cleaned!$A:$J,5,0),"DD-MMM-YYYY")</f>
        <v>19-Jul-2022</v>
      </c>
      <c r="F295" t="str">
        <f>VLOOKUP(A295,[1]Cleaned!$A:$J,6,0)</f>
        <v>Mumbai</v>
      </c>
      <c r="G295">
        <f>VLOOKUP(A295,[1]Cleaned!$A:$J,9,0)</f>
        <v>14567.44</v>
      </c>
    </row>
    <row r="296" spans="1:7" x14ac:dyDescent="0.3">
      <c r="A296">
        <v>2294</v>
      </c>
      <c r="B296" s="1" t="str">
        <f>VLOOKUP(A296,[1]Cleaned!$A:$J,2,0)</f>
        <v>Anitha Raj</v>
      </c>
      <c r="C296" t="str">
        <f>VLOOKUP(A296,[1]Cleaned!$A:$J,3,0)</f>
        <v>Dresses</v>
      </c>
      <c r="D296" s="2" t="str">
        <f>TEXT(VLOOKUP(A296,[1]Cleaned!$A:$J,4,0),"DD-MMM-YYYY")</f>
        <v>25-Feb-2024</v>
      </c>
      <c r="E296" s="3" t="str">
        <f>TEXT(VLOOKUP(A296,[1]Cleaned!$A:$J,5,0),"DD-MMM-YYYY")</f>
        <v>01-Mar-2024</v>
      </c>
      <c r="F296" t="str">
        <f>VLOOKUP(A296,[1]Cleaned!$A:$J,6,0)</f>
        <v>Bangalore</v>
      </c>
      <c r="G296">
        <f>VLOOKUP(A296,[1]Cleaned!$A:$J,9,0)</f>
        <v>23919.8</v>
      </c>
    </row>
    <row r="297" spans="1:7" x14ac:dyDescent="0.3">
      <c r="A297">
        <v>2295</v>
      </c>
      <c r="B297" s="1" t="str">
        <f>VLOOKUP(A297,[1]Cleaned!$A:$J,2,0)</f>
        <v>Manoj K</v>
      </c>
      <c r="C297" t="str">
        <f>VLOOKUP(A297,[1]Cleaned!$A:$J,3,0)</f>
        <v>Accessories</v>
      </c>
      <c r="D297" s="2" t="str">
        <f>TEXT(VLOOKUP(A297,[1]Cleaned!$A:$J,4,0),"DD-MMM-YYYY")</f>
        <v>24-Jan-2022</v>
      </c>
      <c r="E297" s="3" t="str">
        <f>TEXT(VLOOKUP(A297,[1]Cleaned!$A:$J,5,0),"DD-MMM-YYYY")</f>
        <v>30-Jan-2022</v>
      </c>
      <c r="F297" t="str">
        <f>VLOOKUP(A297,[1]Cleaned!$A:$J,6,0)</f>
        <v>Pune</v>
      </c>
      <c r="G297">
        <f>VLOOKUP(A297,[1]Cleaned!$A:$J,9,0)</f>
        <v>21336.06</v>
      </c>
    </row>
    <row r="298" spans="1:7" x14ac:dyDescent="0.3">
      <c r="A298">
        <v>2296</v>
      </c>
      <c r="B298" s="1" t="str">
        <f>VLOOKUP(A298,[1]Cleaned!$A:$J,2,0)</f>
        <v>Saranya D</v>
      </c>
      <c r="C298" t="str">
        <f>VLOOKUP(A298,[1]Cleaned!$A:$J,3,0)</f>
        <v>Jeans</v>
      </c>
      <c r="D298" s="2" t="str">
        <f>TEXT(VLOOKUP(A298,[1]Cleaned!$A:$J,4,0),"DD-MMM-YYYY")</f>
        <v>11-Aug-2024</v>
      </c>
      <c r="E298" s="3" t="str">
        <f>TEXT(VLOOKUP(A298,[1]Cleaned!$A:$J,5,0),"DD-MMM-YYYY")</f>
        <v>17-Aug-2024</v>
      </c>
      <c r="F298" t="str">
        <f>VLOOKUP(A298,[1]Cleaned!$A:$J,6,0)</f>
        <v>Mumbai</v>
      </c>
      <c r="G298">
        <f>VLOOKUP(A298,[1]Cleaned!$A:$J,9,0)</f>
        <v>24671.85</v>
      </c>
    </row>
    <row r="299" spans="1:7" x14ac:dyDescent="0.3">
      <c r="A299">
        <v>2297</v>
      </c>
      <c r="B299" s="1" t="str">
        <f>VLOOKUP(A299,[1]Cleaned!$A:$J,2,0)</f>
        <v>Ganesh R</v>
      </c>
      <c r="C299" t="str">
        <f>VLOOKUP(A299,[1]Cleaned!$A:$J,3,0)</f>
        <v>Jeans</v>
      </c>
      <c r="D299" s="2" t="str">
        <f>TEXT(VLOOKUP(A299,[1]Cleaned!$A:$J,4,0),"DD-MMM-YYYY")</f>
        <v>28-Aug-2023</v>
      </c>
      <c r="E299" s="3" t="str">
        <f>TEXT(VLOOKUP(A299,[1]Cleaned!$A:$J,5,0),"DD-MMM-YYYY")</f>
        <v>04-Sep-2023</v>
      </c>
      <c r="F299" t="str">
        <f>VLOOKUP(A299,[1]Cleaned!$A:$J,6,0)</f>
        <v>Hyderabad</v>
      </c>
      <c r="G299">
        <f>VLOOKUP(A299,[1]Cleaned!$A:$J,9,0)</f>
        <v>5319.6</v>
      </c>
    </row>
    <row r="300" spans="1:7" x14ac:dyDescent="0.3">
      <c r="A300">
        <v>2298</v>
      </c>
      <c r="B300" s="1" t="str">
        <f>VLOOKUP(A300,[1]Cleaned!$A:$J,2,0)</f>
        <v>Kavitha S</v>
      </c>
      <c r="C300" t="str">
        <f>VLOOKUP(A300,[1]Cleaned!$A:$J,3,0)</f>
        <v>T-Shirts</v>
      </c>
      <c r="D300" s="2" t="str">
        <f>TEXT(VLOOKUP(A300,[1]Cleaned!$A:$J,4,0),"DD-MMM-YYYY")</f>
        <v>20-Jul-2024</v>
      </c>
      <c r="E300" s="3" t="str">
        <f>TEXT(VLOOKUP(A300,[1]Cleaned!$A:$J,5,0),"DD-MMM-YYYY")</f>
        <v>02-Aug-2024</v>
      </c>
      <c r="F300" t="str">
        <f>VLOOKUP(A300,[1]Cleaned!$A:$J,6,0)</f>
        <v>Hyderabad</v>
      </c>
      <c r="G300">
        <f>VLOOKUP(A300,[1]Cleaned!$A:$J,9,0)</f>
        <v>13526.82</v>
      </c>
    </row>
    <row r="301" spans="1:7" x14ac:dyDescent="0.3">
      <c r="A301">
        <v>2299</v>
      </c>
      <c r="B301" s="1" t="str">
        <f>VLOOKUP(A301,[1]Cleaned!$A:$J,2,0)</f>
        <v>Prakash V</v>
      </c>
      <c r="C301" t="str">
        <f>VLOOKUP(A301,[1]Cleaned!$A:$J,3,0)</f>
        <v>Shoes</v>
      </c>
      <c r="D301" s="2" t="str">
        <f>TEXT(VLOOKUP(A301,[1]Cleaned!$A:$J,4,0),"DD-MMM-YYYY")</f>
        <v>24-Mar-2023</v>
      </c>
      <c r="E301" s="3" t="str">
        <f>TEXT(VLOOKUP(A301,[1]Cleaned!$A:$J,5,0),"DD-MMM-YYYY")</f>
        <v>07-Apr-2023</v>
      </c>
      <c r="F301" t="str">
        <f>VLOOKUP(A301,[1]Cleaned!$A:$J,6,0)</f>
        <v>Mumbai</v>
      </c>
      <c r="G301">
        <f>VLOOKUP(A301,[1]Cleaned!$A:$J,9,0)</f>
        <v>5539.76</v>
      </c>
    </row>
    <row r="302" spans="1:7" x14ac:dyDescent="0.3">
      <c r="A302">
        <v>2300</v>
      </c>
      <c r="B302" s="1" t="str">
        <f>VLOOKUP(A302,[1]Cleaned!$A:$J,2,0)</f>
        <v>Priya Nair</v>
      </c>
      <c r="C302" t="str">
        <f>VLOOKUP(A302,[1]Cleaned!$A:$J,3,0)</f>
        <v>Shoes</v>
      </c>
      <c r="D302" s="2" t="str">
        <f>TEXT(VLOOKUP(A302,[1]Cleaned!$A:$J,4,0),"DD-MMM-YYYY")</f>
        <v>18-Aug-2022</v>
      </c>
      <c r="E302" s="3" t="str">
        <f>TEXT(VLOOKUP(A302,[1]Cleaned!$A:$J,5,0),"DD-MMM-YYYY")</f>
        <v>20-Aug-2022</v>
      </c>
      <c r="F302" t="str">
        <f>VLOOKUP(A302,[1]Cleaned!$A:$J,6,0)</f>
        <v>Ahmedabad</v>
      </c>
      <c r="G302">
        <f>VLOOKUP(A302,[1]Cleaned!$A:$J,9,0)</f>
        <v>11966.8</v>
      </c>
    </row>
    <row r="303" spans="1:7" x14ac:dyDescent="0.3">
      <c r="A303">
        <v>2301</v>
      </c>
      <c r="B303" s="1" t="str">
        <f>VLOOKUP(A303,[1]Cleaned!$A:$J,2,0)</f>
        <v>Arjun Reddy</v>
      </c>
      <c r="C303" t="str">
        <f>VLOOKUP(A303,[1]Cleaned!$A:$J,3,0)</f>
        <v>Dresses</v>
      </c>
      <c r="D303" s="2" t="str">
        <f>TEXT(VLOOKUP(A303,[1]Cleaned!$A:$J,4,0),"DD-MMM-YYYY")</f>
        <v>01-Dec-2024</v>
      </c>
      <c r="E303" s="3" t="str">
        <f>TEXT(VLOOKUP(A303,[1]Cleaned!$A:$J,5,0),"DD-MMM-YYYY")</f>
        <v>10-Dec-2024</v>
      </c>
      <c r="F303" t="str">
        <f>VLOOKUP(A303,[1]Cleaned!$A:$J,6,0)</f>
        <v>Chennai</v>
      </c>
      <c r="G303">
        <f>VLOOKUP(A303,[1]Cleaned!$A:$J,9,0)</f>
        <v>14678.04</v>
      </c>
    </row>
    <row r="304" spans="1:7" x14ac:dyDescent="0.3">
      <c r="A304">
        <v>2302</v>
      </c>
      <c r="B304" s="1" t="str">
        <f>VLOOKUP(A304,[1]Cleaned!$A:$J,2,0)</f>
        <v>Priya Nair</v>
      </c>
      <c r="C304" t="str">
        <f>VLOOKUP(A304,[1]Cleaned!$A:$J,3,0)</f>
        <v>Shoes</v>
      </c>
      <c r="D304" s="2" t="str">
        <f>TEXT(VLOOKUP(A304,[1]Cleaned!$A:$J,4,0),"DD-MMM-YYYY")</f>
        <v>01-Jul-2024</v>
      </c>
      <c r="E304" s="3" t="str">
        <f>TEXT(VLOOKUP(A304,[1]Cleaned!$A:$J,5,0),"DD-MMM-YYYY")</f>
        <v>15-Jul-2024</v>
      </c>
      <c r="F304" t="str">
        <f>VLOOKUP(A304,[1]Cleaned!$A:$J,6,0)</f>
        <v>Chennai</v>
      </c>
      <c r="G304">
        <f>VLOOKUP(A304,[1]Cleaned!$A:$J,9,0)</f>
        <v>7361.12</v>
      </c>
    </row>
    <row r="305" spans="1:7" x14ac:dyDescent="0.3">
      <c r="A305">
        <v>2303</v>
      </c>
      <c r="B305" s="1" t="str">
        <f>VLOOKUP(A305,[1]Cleaned!$A:$J,2,0)</f>
        <v>Rahul G</v>
      </c>
      <c r="C305" t="str">
        <f>VLOOKUP(A305,[1]Cleaned!$A:$J,3,0)</f>
        <v>Shoes</v>
      </c>
      <c r="D305" s="2" t="str">
        <f>TEXT(VLOOKUP(A305,[1]Cleaned!$A:$J,4,0),"DD-MMM-YYYY")</f>
        <v>29-Apr-2022</v>
      </c>
      <c r="E305" s="3" t="str">
        <f>TEXT(VLOOKUP(A305,[1]Cleaned!$A:$J,5,0),"DD-MMM-YYYY")</f>
        <v>09-May-2022</v>
      </c>
      <c r="F305" t="str">
        <f>VLOOKUP(A305,[1]Cleaned!$A:$J,6,0)</f>
        <v>Bangalore</v>
      </c>
      <c r="G305">
        <f>VLOOKUP(A305,[1]Cleaned!$A:$J,9,0)</f>
        <v>18497.099999999999</v>
      </c>
    </row>
    <row r="306" spans="1:7" x14ac:dyDescent="0.3">
      <c r="A306">
        <v>2304</v>
      </c>
      <c r="B306" s="1" t="str">
        <f>VLOOKUP(A306,[1]Cleaned!$A:$J,2,0)</f>
        <v>Ravi Kumar</v>
      </c>
      <c r="C306" t="str">
        <f>VLOOKUP(A306,[1]Cleaned!$A:$J,3,0)</f>
        <v>Jeans</v>
      </c>
      <c r="D306" s="2" t="str">
        <f>TEXT(VLOOKUP(A306,[1]Cleaned!$A:$J,4,0),"DD-MMM-YYYY")</f>
        <v>23-Mar-2023</v>
      </c>
      <c r="E306" s="3" t="str">
        <f>TEXT(VLOOKUP(A306,[1]Cleaned!$A:$J,5,0),"DD-MMM-YYYY")</f>
        <v>03-Apr-2023</v>
      </c>
      <c r="F306" t="str">
        <f>VLOOKUP(A306,[1]Cleaned!$A:$J,6,0)</f>
        <v>Chennai</v>
      </c>
      <c r="G306">
        <f>VLOOKUP(A306,[1]Cleaned!$A:$J,9,0)</f>
        <v>2291.38</v>
      </c>
    </row>
    <row r="307" spans="1:7" x14ac:dyDescent="0.3">
      <c r="A307">
        <v>2305</v>
      </c>
      <c r="B307" s="1" t="str">
        <f>VLOOKUP(A307,[1]Cleaned!$A:$J,2,0)</f>
        <v>Nithya R</v>
      </c>
      <c r="C307" t="str">
        <f>VLOOKUP(A307,[1]Cleaned!$A:$J,3,0)</f>
        <v>Jeans</v>
      </c>
      <c r="D307" s="2" t="str">
        <f>TEXT(VLOOKUP(A307,[1]Cleaned!$A:$J,4,0),"DD-MMM-YYYY")</f>
        <v>22-May-2022</v>
      </c>
      <c r="E307" s="3" t="str">
        <f>TEXT(VLOOKUP(A307,[1]Cleaned!$A:$J,5,0),"DD-MMM-YYYY")</f>
        <v>31-May-2022</v>
      </c>
      <c r="F307" t="str">
        <f>VLOOKUP(A307,[1]Cleaned!$A:$J,6,0)</f>
        <v>Chennai</v>
      </c>
      <c r="G307">
        <f>VLOOKUP(A307,[1]Cleaned!$A:$J,9,0)</f>
        <v>11108.35</v>
      </c>
    </row>
    <row r="308" spans="1:7" x14ac:dyDescent="0.3">
      <c r="A308">
        <v>2306</v>
      </c>
      <c r="B308" s="1" t="str">
        <f>VLOOKUP(A308,[1]Cleaned!$A:$J,2,0)</f>
        <v>Prakash V</v>
      </c>
      <c r="C308" t="str">
        <f>VLOOKUP(A308,[1]Cleaned!$A:$J,3,0)</f>
        <v>Accessories</v>
      </c>
      <c r="D308" s="2" t="str">
        <f>TEXT(VLOOKUP(A308,[1]Cleaned!$A:$J,4,0),"DD-MMM-YYYY")</f>
        <v>10-May-2024</v>
      </c>
      <c r="E308" s="3" t="str">
        <f>TEXT(VLOOKUP(A308,[1]Cleaned!$A:$J,5,0),"DD-MMM-YYYY")</f>
        <v>17-May-2024</v>
      </c>
      <c r="F308" t="str">
        <f>VLOOKUP(A308,[1]Cleaned!$A:$J,6,0)</f>
        <v>Bangalore</v>
      </c>
      <c r="G308">
        <f>VLOOKUP(A308,[1]Cleaned!$A:$J,9,0)</f>
        <v>35097.760000000002</v>
      </c>
    </row>
    <row r="309" spans="1:7" x14ac:dyDescent="0.3">
      <c r="A309">
        <v>2307</v>
      </c>
      <c r="B309" s="1" t="str">
        <f>VLOOKUP(A309,[1]Cleaned!$A:$J,2,0)</f>
        <v>Vijay K</v>
      </c>
      <c r="C309" t="str">
        <f>VLOOKUP(A309,[1]Cleaned!$A:$J,3,0)</f>
        <v>Jeans</v>
      </c>
      <c r="D309" s="2" t="str">
        <f>TEXT(VLOOKUP(A309,[1]Cleaned!$A:$J,4,0),"DD-MMM-YYYY")</f>
        <v>30-Sep-2022</v>
      </c>
      <c r="E309" s="3" t="str">
        <f>TEXT(VLOOKUP(A309,[1]Cleaned!$A:$J,5,0),"DD-MMM-YYYY")</f>
        <v>12-Oct-2022</v>
      </c>
      <c r="F309" t="str">
        <f>VLOOKUP(A309,[1]Cleaned!$A:$J,6,0)</f>
        <v>Ahmedabad</v>
      </c>
      <c r="G309">
        <f>VLOOKUP(A309,[1]Cleaned!$A:$J,9,0)</f>
        <v>5145.4799999999996</v>
      </c>
    </row>
    <row r="310" spans="1:7" x14ac:dyDescent="0.3">
      <c r="A310">
        <v>2308</v>
      </c>
      <c r="B310" s="1" t="str">
        <f>VLOOKUP(A310,[1]Cleaned!$A:$J,2,0)</f>
        <v>Santhosh P</v>
      </c>
      <c r="C310" t="str">
        <f>VLOOKUP(A310,[1]Cleaned!$A:$J,3,0)</f>
        <v>T-Shirts</v>
      </c>
      <c r="D310" s="2" t="str">
        <f>TEXT(VLOOKUP(A310,[1]Cleaned!$A:$J,4,0),"DD-MMM-YYYY")</f>
        <v>02-Apr-2023</v>
      </c>
      <c r="E310" s="3" t="str">
        <f>TEXT(VLOOKUP(A310,[1]Cleaned!$A:$J,5,0),"DD-MMM-YYYY")</f>
        <v>17-Apr-2023</v>
      </c>
      <c r="F310" t="str">
        <f>VLOOKUP(A310,[1]Cleaned!$A:$J,6,0)</f>
        <v>Chennai</v>
      </c>
      <c r="G310">
        <f>VLOOKUP(A310,[1]Cleaned!$A:$J,9,0)</f>
        <v>4898.91</v>
      </c>
    </row>
    <row r="311" spans="1:7" x14ac:dyDescent="0.3">
      <c r="A311">
        <v>2309</v>
      </c>
      <c r="B311" s="1" t="str">
        <f>VLOOKUP(A311,[1]Cleaned!$A:$J,2,0)</f>
        <v>Saranya D</v>
      </c>
      <c r="C311" t="str">
        <f>VLOOKUP(A311,[1]Cleaned!$A:$J,3,0)</f>
        <v>Accessories</v>
      </c>
      <c r="D311" s="2" t="str">
        <f>TEXT(VLOOKUP(A311,[1]Cleaned!$A:$J,4,0),"DD-MMM-YYYY")</f>
        <v>18-May-2024</v>
      </c>
      <c r="E311" s="3" t="str">
        <f>TEXT(VLOOKUP(A311,[1]Cleaned!$A:$J,5,0),"DD-MMM-YYYY")</f>
        <v>28-May-2024</v>
      </c>
      <c r="F311" t="str">
        <f>VLOOKUP(A311,[1]Cleaned!$A:$J,6,0)</f>
        <v>Bangalore</v>
      </c>
      <c r="G311">
        <f>VLOOKUP(A311,[1]Cleaned!$A:$J,9,0)</f>
        <v>5853.24</v>
      </c>
    </row>
    <row r="312" spans="1:7" x14ac:dyDescent="0.3">
      <c r="A312">
        <v>2310</v>
      </c>
      <c r="B312" s="1" t="str">
        <f>VLOOKUP(A312,[1]Cleaned!$A:$J,2,0)</f>
        <v>Deepa K</v>
      </c>
      <c r="C312" t="str">
        <f>VLOOKUP(A312,[1]Cleaned!$A:$J,3,0)</f>
        <v>Dresses</v>
      </c>
      <c r="D312" s="2" t="str">
        <f>TEXT(VLOOKUP(A312,[1]Cleaned!$A:$J,4,0),"DD-MMM-YYYY")</f>
        <v>22-Jan-2023</v>
      </c>
      <c r="E312" s="3" t="str">
        <f>TEXT(VLOOKUP(A312,[1]Cleaned!$A:$J,5,0),"DD-MMM-YYYY")</f>
        <v>04-Feb-2023</v>
      </c>
      <c r="F312" t="str">
        <f>VLOOKUP(A312,[1]Cleaned!$A:$J,6,0)</f>
        <v>Ahmedabad</v>
      </c>
      <c r="G312">
        <f>VLOOKUP(A312,[1]Cleaned!$A:$J,9,0)</f>
        <v>902.84</v>
      </c>
    </row>
    <row r="313" spans="1:7" x14ac:dyDescent="0.3">
      <c r="A313">
        <v>2311</v>
      </c>
      <c r="B313" s="1" t="str">
        <f>VLOOKUP(A313,[1]Cleaned!$A:$J,2,0)</f>
        <v>Revathi A</v>
      </c>
      <c r="C313" t="str">
        <f>VLOOKUP(A313,[1]Cleaned!$A:$J,3,0)</f>
        <v>Jeans</v>
      </c>
      <c r="D313" s="2" t="str">
        <f>TEXT(VLOOKUP(A313,[1]Cleaned!$A:$J,4,0),"DD-MMM-YYYY")</f>
        <v>08-May-2023</v>
      </c>
      <c r="E313" s="3" t="str">
        <f>TEXT(VLOOKUP(A313,[1]Cleaned!$A:$J,5,0),"DD-MMM-YYYY")</f>
        <v>13-May-2023</v>
      </c>
      <c r="F313" t="str">
        <f>VLOOKUP(A313,[1]Cleaned!$A:$J,6,0)</f>
        <v>Chennai</v>
      </c>
      <c r="G313">
        <f>VLOOKUP(A313,[1]Cleaned!$A:$J,9,0)</f>
        <v>6183.08</v>
      </c>
    </row>
    <row r="314" spans="1:7" x14ac:dyDescent="0.3">
      <c r="A314">
        <v>2312</v>
      </c>
      <c r="B314" s="1" t="str">
        <f>VLOOKUP(A314,[1]Cleaned!$A:$J,2,0)</f>
        <v>Revathi A</v>
      </c>
      <c r="C314" t="str">
        <f>VLOOKUP(A314,[1]Cleaned!$A:$J,3,0)</f>
        <v>Accessories</v>
      </c>
      <c r="D314" s="2" t="str">
        <f>TEXT(VLOOKUP(A314,[1]Cleaned!$A:$J,4,0),"DD-MMM-YYYY")</f>
        <v>10-Apr-2022</v>
      </c>
      <c r="E314" s="3" t="str">
        <f>TEXT(VLOOKUP(A314,[1]Cleaned!$A:$J,5,0),"DD-MMM-YYYY")</f>
        <v>15-Apr-2022</v>
      </c>
      <c r="F314" t="str">
        <f>VLOOKUP(A314,[1]Cleaned!$A:$J,6,0)</f>
        <v>Pune</v>
      </c>
      <c r="G314">
        <f>VLOOKUP(A314,[1]Cleaned!$A:$J,9,0)</f>
        <v>2190.65</v>
      </c>
    </row>
    <row r="315" spans="1:7" x14ac:dyDescent="0.3">
      <c r="A315">
        <v>2313</v>
      </c>
      <c r="B315" s="1" t="str">
        <f>VLOOKUP(A315,[1]Cleaned!$A:$J,2,0)</f>
        <v>Nithya R</v>
      </c>
      <c r="C315" t="str">
        <f>VLOOKUP(A315,[1]Cleaned!$A:$J,3,0)</f>
        <v>T-Shirts</v>
      </c>
      <c r="D315" s="2" t="str">
        <f>TEXT(VLOOKUP(A315,[1]Cleaned!$A:$J,4,0),"DD-MMM-YYYY")</f>
        <v>26-Apr-2022</v>
      </c>
      <c r="E315" s="3" t="str">
        <f>TEXT(VLOOKUP(A315,[1]Cleaned!$A:$J,5,0),"DD-MMM-YYYY")</f>
        <v>30-Apr-2022</v>
      </c>
      <c r="F315" t="str">
        <f>VLOOKUP(A315,[1]Cleaned!$A:$J,6,0)</f>
        <v>Hyderabad</v>
      </c>
      <c r="G315">
        <f>VLOOKUP(A315,[1]Cleaned!$A:$J,9,0)</f>
        <v>7002.8</v>
      </c>
    </row>
    <row r="316" spans="1:7" x14ac:dyDescent="0.3">
      <c r="A316">
        <v>2314</v>
      </c>
      <c r="B316" s="1" t="str">
        <f>VLOOKUP(A316,[1]Cleaned!$A:$J,2,0)</f>
        <v>Manoj K</v>
      </c>
      <c r="C316" t="str">
        <f>VLOOKUP(A316,[1]Cleaned!$A:$J,3,0)</f>
        <v>Shoes</v>
      </c>
      <c r="D316" s="2" t="str">
        <f>TEXT(VLOOKUP(A316,[1]Cleaned!$A:$J,4,0),"DD-MMM-YYYY")</f>
        <v>19-Oct-2023</v>
      </c>
      <c r="E316" s="3" t="str">
        <f>TEXT(VLOOKUP(A316,[1]Cleaned!$A:$J,5,0),"DD-MMM-YYYY")</f>
        <v>24-Oct-2023</v>
      </c>
      <c r="F316" t="str">
        <f>VLOOKUP(A316,[1]Cleaned!$A:$J,6,0)</f>
        <v>Delhi</v>
      </c>
      <c r="G316">
        <f>VLOOKUP(A316,[1]Cleaned!$A:$J,9,0)</f>
        <v>14798.31</v>
      </c>
    </row>
    <row r="317" spans="1:7" x14ac:dyDescent="0.3">
      <c r="A317">
        <v>2315</v>
      </c>
      <c r="B317" s="1" t="str">
        <f>VLOOKUP(A317,[1]Cleaned!$A:$J,2,0)</f>
        <v>Pooja M</v>
      </c>
      <c r="C317" t="str">
        <f>VLOOKUP(A317,[1]Cleaned!$A:$J,3,0)</f>
        <v>Dresses</v>
      </c>
      <c r="D317" s="2" t="str">
        <f>TEXT(VLOOKUP(A317,[1]Cleaned!$A:$J,4,0),"DD-MMM-YYYY")</f>
        <v>18-Jul-2023</v>
      </c>
      <c r="E317" s="3" t="str">
        <f>TEXT(VLOOKUP(A317,[1]Cleaned!$A:$J,5,0),"DD-MMM-YYYY")</f>
        <v>20-Jul-2023</v>
      </c>
      <c r="F317" t="str">
        <f>VLOOKUP(A317,[1]Cleaned!$A:$J,6,0)</f>
        <v>Hyderabad</v>
      </c>
      <c r="G317">
        <f>VLOOKUP(A317,[1]Cleaned!$A:$J,9,0)</f>
        <v>9726.51</v>
      </c>
    </row>
    <row r="318" spans="1:7" x14ac:dyDescent="0.3">
      <c r="A318">
        <v>2316</v>
      </c>
      <c r="B318" s="1" t="str">
        <f>VLOOKUP(A318,[1]Cleaned!$A:$J,2,0)</f>
        <v>Nithya R</v>
      </c>
      <c r="C318" t="str">
        <f>VLOOKUP(A318,[1]Cleaned!$A:$J,3,0)</f>
        <v>Jackets</v>
      </c>
      <c r="D318" s="2" t="str">
        <f>TEXT(VLOOKUP(A318,[1]Cleaned!$A:$J,4,0),"DD-MMM-YYYY")</f>
        <v>07-Apr-2022</v>
      </c>
      <c r="E318" s="3" t="str">
        <f>TEXT(VLOOKUP(A318,[1]Cleaned!$A:$J,5,0),"DD-MMM-YYYY")</f>
        <v>14-Apr-2022</v>
      </c>
      <c r="F318" t="str">
        <f>VLOOKUP(A318,[1]Cleaned!$A:$J,6,0)</f>
        <v>Pune</v>
      </c>
      <c r="G318">
        <f>VLOOKUP(A318,[1]Cleaned!$A:$J,9,0)</f>
        <v>27952.959999999999</v>
      </c>
    </row>
    <row r="319" spans="1:7" x14ac:dyDescent="0.3">
      <c r="A319">
        <v>2317</v>
      </c>
      <c r="B319" s="1" t="str">
        <f>VLOOKUP(A319,[1]Cleaned!$A:$J,2,0)</f>
        <v>Ganesh R</v>
      </c>
      <c r="C319" t="str">
        <f>VLOOKUP(A319,[1]Cleaned!$A:$J,3,0)</f>
        <v>Jackets</v>
      </c>
      <c r="D319" s="2" t="str">
        <f>TEXT(VLOOKUP(A319,[1]Cleaned!$A:$J,4,0),"DD-MMM-YYYY")</f>
        <v>16-Apr-2024</v>
      </c>
      <c r="E319" s="3" t="str">
        <f>TEXT(VLOOKUP(A319,[1]Cleaned!$A:$J,5,0),"DD-MMM-YYYY")</f>
        <v>20-Apr-2024</v>
      </c>
      <c r="F319" t="str">
        <f>VLOOKUP(A319,[1]Cleaned!$A:$J,6,0)</f>
        <v>Delhi</v>
      </c>
      <c r="G319">
        <f>VLOOKUP(A319,[1]Cleaned!$A:$J,9,0)</f>
        <v>8149.61</v>
      </c>
    </row>
    <row r="320" spans="1:7" x14ac:dyDescent="0.3">
      <c r="A320">
        <v>2318</v>
      </c>
      <c r="B320" s="1" t="str">
        <f>VLOOKUP(A320,[1]Cleaned!$A:$J,2,0)</f>
        <v>Lakshmi S</v>
      </c>
      <c r="C320" t="str">
        <f>VLOOKUP(A320,[1]Cleaned!$A:$J,3,0)</f>
        <v>T-Shirts</v>
      </c>
      <c r="D320" s="2" t="str">
        <f>TEXT(VLOOKUP(A320,[1]Cleaned!$A:$J,4,0),"DD-MMM-YYYY")</f>
        <v>08-Sep-2023</v>
      </c>
      <c r="E320" s="3" t="str">
        <f>TEXT(VLOOKUP(A320,[1]Cleaned!$A:$J,5,0),"DD-MMM-YYYY")</f>
        <v>23-Sep-2023</v>
      </c>
      <c r="F320" t="str">
        <f>VLOOKUP(A320,[1]Cleaned!$A:$J,6,0)</f>
        <v>Pune</v>
      </c>
      <c r="G320">
        <f>VLOOKUP(A320,[1]Cleaned!$A:$J,9,0)</f>
        <v>12261.45</v>
      </c>
    </row>
    <row r="321" spans="1:7" x14ac:dyDescent="0.3">
      <c r="A321">
        <v>2319</v>
      </c>
      <c r="B321" s="1" t="str">
        <f>VLOOKUP(A321,[1]Cleaned!$A:$J,2,0)</f>
        <v>Nithya R</v>
      </c>
      <c r="C321" t="str">
        <f>VLOOKUP(A321,[1]Cleaned!$A:$J,3,0)</f>
        <v>Jackets</v>
      </c>
      <c r="D321" s="2" t="str">
        <f>TEXT(VLOOKUP(A321,[1]Cleaned!$A:$J,4,0),"DD-MMM-YYYY")</f>
        <v>03-May-2024</v>
      </c>
      <c r="E321" s="3" t="str">
        <f>TEXT(VLOOKUP(A321,[1]Cleaned!$A:$J,5,0),"DD-MMM-YYYY")</f>
        <v>13-May-2024</v>
      </c>
      <c r="F321" t="str">
        <f>VLOOKUP(A321,[1]Cleaned!$A:$J,6,0)</f>
        <v>Hyderabad</v>
      </c>
      <c r="G321">
        <f>VLOOKUP(A321,[1]Cleaned!$A:$J,9,0)</f>
        <v>6376.71</v>
      </c>
    </row>
    <row r="322" spans="1:7" x14ac:dyDescent="0.3">
      <c r="A322">
        <v>2320</v>
      </c>
      <c r="B322" s="1" t="str">
        <f>VLOOKUP(A322,[1]Cleaned!$A:$J,2,0)</f>
        <v>Meena Iyer</v>
      </c>
      <c r="C322" t="str">
        <f>VLOOKUP(A322,[1]Cleaned!$A:$J,3,0)</f>
        <v>Dresses</v>
      </c>
      <c r="D322" s="2" t="str">
        <f>TEXT(VLOOKUP(A322,[1]Cleaned!$A:$J,4,0),"DD-MMM-YYYY")</f>
        <v>11-Jun-2022</v>
      </c>
      <c r="E322" s="3" t="str">
        <f>TEXT(VLOOKUP(A322,[1]Cleaned!$A:$J,5,0),"DD-MMM-YYYY")</f>
        <v>20-Jun-2022</v>
      </c>
      <c r="F322" t="str">
        <f>VLOOKUP(A322,[1]Cleaned!$A:$J,6,0)</f>
        <v>Ahmedabad</v>
      </c>
      <c r="G322">
        <f>VLOOKUP(A322,[1]Cleaned!$A:$J,9,0)</f>
        <v>4407.4799999999996</v>
      </c>
    </row>
    <row r="323" spans="1:7" x14ac:dyDescent="0.3">
      <c r="A323">
        <v>2321</v>
      </c>
      <c r="B323" s="1" t="str">
        <f>VLOOKUP(A323,[1]Cleaned!$A:$J,2,0)</f>
        <v>Karthik Vel</v>
      </c>
      <c r="C323" t="str">
        <f>VLOOKUP(A323,[1]Cleaned!$A:$J,3,0)</f>
        <v>Dresses</v>
      </c>
      <c r="D323" s="2" t="str">
        <f>TEXT(VLOOKUP(A323,[1]Cleaned!$A:$J,4,0),"DD-MMM-YYYY")</f>
        <v>12-Feb-2024</v>
      </c>
      <c r="E323" s="3" t="str">
        <f>TEXT(VLOOKUP(A323,[1]Cleaned!$A:$J,5,0),"DD-MMM-YYYY")</f>
        <v>24-Feb-2024</v>
      </c>
      <c r="F323" t="str">
        <f>VLOOKUP(A323,[1]Cleaned!$A:$J,6,0)</f>
        <v>Hyderabad</v>
      </c>
      <c r="G323">
        <f>VLOOKUP(A323,[1]Cleaned!$A:$J,9,0)</f>
        <v>4406.0200000000004</v>
      </c>
    </row>
    <row r="324" spans="1:7" x14ac:dyDescent="0.3">
      <c r="A324">
        <v>2322</v>
      </c>
      <c r="B324" s="1" t="str">
        <f>VLOOKUP(A324,[1]Cleaned!$A:$J,2,0)</f>
        <v>Prakash V</v>
      </c>
      <c r="C324" t="str">
        <f>VLOOKUP(A324,[1]Cleaned!$A:$J,3,0)</f>
        <v>Shoes</v>
      </c>
      <c r="D324" s="2" t="str">
        <f>TEXT(VLOOKUP(A324,[1]Cleaned!$A:$J,4,0),"DD-MMM-YYYY")</f>
        <v>21-Mar-2023</v>
      </c>
      <c r="E324" s="3" t="str">
        <f>TEXT(VLOOKUP(A324,[1]Cleaned!$A:$J,5,0),"DD-MMM-YYYY")</f>
        <v>30-Mar-2023</v>
      </c>
      <c r="F324" t="str">
        <f>VLOOKUP(A324,[1]Cleaned!$A:$J,6,0)</f>
        <v>Mumbai</v>
      </c>
      <c r="G324">
        <f>VLOOKUP(A324,[1]Cleaned!$A:$J,9,0)</f>
        <v>10349.879999999999</v>
      </c>
    </row>
    <row r="325" spans="1:7" x14ac:dyDescent="0.3">
      <c r="A325">
        <v>2323</v>
      </c>
      <c r="B325" s="1" t="str">
        <f>VLOOKUP(A325,[1]Cleaned!$A:$J,2,0)</f>
        <v>Meena Iyer</v>
      </c>
      <c r="C325" t="str">
        <f>VLOOKUP(A325,[1]Cleaned!$A:$J,3,0)</f>
        <v>T-Shirts</v>
      </c>
      <c r="D325" s="2" t="str">
        <f>TEXT(VLOOKUP(A325,[1]Cleaned!$A:$J,4,0),"DD-MMM-YYYY")</f>
        <v>29-Aug-2022</v>
      </c>
      <c r="E325" s="3" t="str">
        <f>TEXT(VLOOKUP(A325,[1]Cleaned!$A:$J,5,0),"DD-MMM-YYYY")</f>
        <v>11-Sep-2022</v>
      </c>
      <c r="F325" t="str">
        <f>VLOOKUP(A325,[1]Cleaned!$A:$J,6,0)</f>
        <v>Ahmedabad</v>
      </c>
      <c r="G325">
        <f>VLOOKUP(A325,[1]Cleaned!$A:$J,9,0)</f>
        <v>36782.959999999999</v>
      </c>
    </row>
    <row r="326" spans="1:7" x14ac:dyDescent="0.3">
      <c r="A326">
        <v>2324</v>
      </c>
      <c r="B326" s="1" t="str">
        <f>VLOOKUP(A326,[1]Cleaned!$A:$J,2,0)</f>
        <v>Vijay K</v>
      </c>
      <c r="C326" t="str">
        <f>VLOOKUP(A326,[1]Cleaned!$A:$J,3,0)</f>
        <v>T-Shirts</v>
      </c>
      <c r="D326" s="2" t="str">
        <f>TEXT(VLOOKUP(A326,[1]Cleaned!$A:$J,4,0),"DD-MMM-YYYY")</f>
        <v>21-Oct-2023</v>
      </c>
      <c r="E326" s="3" t="str">
        <f>TEXT(VLOOKUP(A326,[1]Cleaned!$A:$J,5,0),"DD-MMM-YYYY")</f>
        <v>04-Nov-2023</v>
      </c>
      <c r="F326" t="str">
        <f>VLOOKUP(A326,[1]Cleaned!$A:$J,6,0)</f>
        <v>Delhi</v>
      </c>
      <c r="G326">
        <f>VLOOKUP(A326,[1]Cleaned!$A:$J,9,0)</f>
        <v>17439.66</v>
      </c>
    </row>
    <row r="327" spans="1:7" x14ac:dyDescent="0.3">
      <c r="A327">
        <v>2325</v>
      </c>
      <c r="B327" s="1" t="str">
        <f>VLOOKUP(A327,[1]Cleaned!$A:$J,2,0)</f>
        <v>Divya T</v>
      </c>
      <c r="C327" t="str">
        <f>VLOOKUP(A327,[1]Cleaned!$A:$J,3,0)</f>
        <v>Dresses</v>
      </c>
      <c r="D327" s="2" t="str">
        <f>TEXT(VLOOKUP(A327,[1]Cleaned!$A:$J,4,0),"DD-MMM-YYYY")</f>
        <v>07-Jan-2024</v>
      </c>
      <c r="E327" s="3" t="str">
        <f>TEXT(VLOOKUP(A327,[1]Cleaned!$A:$J,5,0),"DD-MMM-YYYY")</f>
        <v>17-Jan-2024</v>
      </c>
      <c r="F327" t="str">
        <f>VLOOKUP(A327,[1]Cleaned!$A:$J,6,0)</f>
        <v>Bangalore</v>
      </c>
      <c r="G327">
        <f>VLOOKUP(A327,[1]Cleaned!$A:$J,9,0)</f>
        <v>6107.68</v>
      </c>
    </row>
    <row r="328" spans="1:7" x14ac:dyDescent="0.3">
      <c r="A328">
        <v>2326</v>
      </c>
      <c r="B328" s="1" t="str">
        <f>VLOOKUP(A328,[1]Cleaned!$A:$J,2,0)</f>
        <v>Prakash V</v>
      </c>
      <c r="C328" t="str">
        <f>VLOOKUP(A328,[1]Cleaned!$A:$J,3,0)</f>
        <v>Dresses</v>
      </c>
      <c r="D328" s="2" t="str">
        <f>TEXT(VLOOKUP(A328,[1]Cleaned!$A:$J,4,0),"DD-MMM-YYYY")</f>
        <v>21-Feb-2023</v>
      </c>
      <c r="E328" s="3" t="str">
        <f>TEXT(VLOOKUP(A328,[1]Cleaned!$A:$J,5,0),"DD-MMM-YYYY")</f>
        <v>28-Feb-2023</v>
      </c>
      <c r="F328" t="str">
        <f>VLOOKUP(A328,[1]Cleaned!$A:$J,6,0)</f>
        <v>Delhi</v>
      </c>
      <c r="G328">
        <f>VLOOKUP(A328,[1]Cleaned!$A:$J,9,0)</f>
        <v>3604.02</v>
      </c>
    </row>
    <row r="329" spans="1:7" x14ac:dyDescent="0.3">
      <c r="A329">
        <v>2327</v>
      </c>
      <c r="B329" s="1" t="str">
        <f>VLOOKUP(A329,[1]Cleaned!$A:$J,2,0)</f>
        <v>Uma S</v>
      </c>
      <c r="C329" t="str">
        <f>VLOOKUP(A329,[1]Cleaned!$A:$J,3,0)</f>
        <v>T-Shirts</v>
      </c>
      <c r="D329" s="2" t="str">
        <f>TEXT(VLOOKUP(A329,[1]Cleaned!$A:$J,4,0),"DD-MMM-YYYY")</f>
        <v>03-Feb-2022</v>
      </c>
      <c r="E329" s="3" t="str">
        <f>TEXT(VLOOKUP(A329,[1]Cleaned!$A:$J,5,0),"DD-MMM-YYYY")</f>
        <v>09-Feb-2022</v>
      </c>
      <c r="F329" t="str">
        <f>VLOOKUP(A329,[1]Cleaned!$A:$J,6,0)</f>
        <v>Hyderabad</v>
      </c>
      <c r="G329">
        <f>VLOOKUP(A329,[1]Cleaned!$A:$J,9,0)</f>
        <v>11811.8</v>
      </c>
    </row>
    <row r="330" spans="1:7" x14ac:dyDescent="0.3">
      <c r="A330">
        <v>2328</v>
      </c>
      <c r="B330" s="1" t="str">
        <f>VLOOKUP(A330,[1]Cleaned!$A:$J,2,0)</f>
        <v>Arun Pandi</v>
      </c>
      <c r="C330" t="str">
        <f>VLOOKUP(A330,[1]Cleaned!$A:$J,3,0)</f>
        <v>T-Shirts</v>
      </c>
      <c r="D330" s="2" t="str">
        <f>TEXT(VLOOKUP(A330,[1]Cleaned!$A:$J,4,0),"DD-MMM-YYYY")</f>
        <v>17-Feb-2024</v>
      </c>
      <c r="E330" s="3" t="str">
        <f>TEXT(VLOOKUP(A330,[1]Cleaned!$A:$J,5,0),"DD-MMM-YYYY")</f>
        <v>28-Feb-2024</v>
      </c>
      <c r="F330" t="str">
        <f>VLOOKUP(A330,[1]Cleaned!$A:$J,6,0)</f>
        <v>Ahmedabad</v>
      </c>
      <c r="G330">
        <f>VLOOKUP(A330,[1]Cleaned!$A:$J,9,0)</f>
        <v>10586.88</v>
      </c>
    </row>
    <row r="331" spans="1:7" x14ac:dyDescent="0.3">
      <c r="A331">
        <v>2329</v>
      </c>
      <c r="B331" s="1" t="str">
        <f>VLOOKUP(A331,[1]Cleaned!$A:$J,2,0)</f>
        <v>Ravi Kumar</v>
      </c>
      <c r="C331" t="str">
        <f>VLOOKUP(A331,[1]Cleaned!$A:$J,3,0)</f>
        <v>Jackets</v>
      </c>
      <c r="D331" s="2" t="str">
        <f>TEXT(VLOOKUP(A331,[1]Cleaned!$A:$J,4,0),"DD-MMM-YYYY")</f>
        <v>01-Oct-2024</v>
      </c>
      <c r="E331" s="3" t="str">
        <f>TEXT(VLOOKUP(A331,[1]Cleaned!$A:$J,5,0),"DD-MMM-YYYY")</f>
        <v>10-Oct-2024</v>
      </c>
      <c r="F331" t="str">
        <f>VLOOKUP(A331,[1]Cleaned!$A:$J,6,0)</f>
        <v>Mumbai</v>
      </c>
      <c r="G331">
        <f>VLOOKUP(A331,[1]Cleaned!$A:$J,9,0)</f>
        <v>6573.3</v>
      </c>
    </row>
    <row r="332" spans="1:7" x14ac:dyDescent="0.3">
      <c r="A332">
        <v>2330</v>
      </c>
      <c r="B332" s="1" t="str">
        <f>VLOOKUP(A332,[1]Cleaned!$A:$J,2,0)</f>
        <v>Arjun Reddy</v>
      </c>
      <c r="C332" t="str">
        <f>VLOOKUP(A332,[1]Cleaned!$A:$J,3,0)</f>
        <v>Shoes</v>
      </c>
      <c r="D332" s="2" t="str">
        <f>TEXT(VLOOKUP(A332,[1]Cleaned!$A:$J,4,0),"DD-MMM-YYYY")</f>
        <v>01-May-2022</v>
      </c>
      <c r="E332" s="3" t="str">
        <f>TEXT(VLOOKUP(A332,[1]Cleaned!$A:$J,5,0),"DD-MMM-YYYY")</f>
        <v>11-May-2022</v>
      </c>
      <c r="F332" t="str">
        <f>VLOOKUP(A332,[1]Cleaned!$A:$J,6,0)</f>
        <v>Chennai</v>
      </c>
      <c r="G332">
        <f>VLOOKUP(A332,[1]Cleaned!$A:$J,9,0)</f>
        <v>9484.76</v>
      </c>
    </row>
    <row r="333" spans="1:7" x14ac:dyDescent="0.3">
      <c r="A333">
        <v>2331</v>
      </c>
      <c r="B333" s="1" t="str">
        <f>VLOOKUP(A333,[1]Cleaned!$A:$J,2,0)</f>
        <v>Prakash V</v>
      </c>
      <c r="C333" t="str">
        <f>VLOOKUP(A333,[1]Cleaned!$A:$J,3,0)</f>
        <v>Jeans</v>
      </c>
      <c r="D333" s="2" t="str">
        <f>TEXT(VLOOKUP(A333,[1]Cleaned!$A:$J,4,0),"DD-MMM-YYYY")</f>
        <v>24-Apr-2024</v>
      </c>
      <c r="E333" s="3" t="str">
        <f>TEXT(VLOOKUP(A333,[1]Cleaned!$A:$J,5,0),"DD-MMM-YYYY")</f>
        <v>28-Apr-2024</v>
      </c>
      <c r="F333" t="str">
        <f>VLOOKUP(A333,[1]Cleaned!$A:$J,6,0)</f>
        <v>Ahmedabad</v>
      </c>
      <c r="G333">
        <f>VLOOKUP(A333,[1]Cleaned!$A:$J,9,0)</f>
        <v>2477.8000000000002</v>
      </c>
    </row>
    <row r="334" spans="1:7" x14ac:dyDescent="0.3">
      <c r="A334">
        <v>2332</v>
      </c>
      <c r="B334" s="1" t="str">
        <f>VLOOKUP(A334,[1]Cleaned!$A:$J,2,0)</f>
        <v>Anitha Raj</v>
      </c>
      <c r="C334" t="str">
        <f>VLOOKUP(A334,[1]Cleaned!$A:$J,3,0)</f>
        <v>T-Shirts</v>
      </c>
      <c r="D334" s="2" t="str">
        <f>TEXT(VLOOKUP(A334,[1]Cleaned!$A:$J,4,0),"DD-MMM-YYYY")</f>
        <v>01-Nov-2024</v>
      </c>
      <c r="E334" s="3" t="str">
        <f>TEXT(VLOOKUP(A334,[1]Cleaned!$A:$J,5,0),"DD-MMM-YYYY")</f>
        <v>10-Nov-2024</v>
      </c>
      <c r="F334" t="str">
        <f>VLOOKUP(A334,[1]Cleaned!$A:$J,6,0)</f>
        <v>Delhi</v>
      </c>
      <c r="G334">
        <f>VLOOKUP(A334,[1]Cleaned!$A:$J,9,0)</f>
        <v>3203.83</v>
      </c>
    </row>
    <row r="335" spans="1:7" x14ac:dyDescent="0.3">
      <c r="A335">
        <v>2333</v>
      </c>
      <c r="B335" s="1" t="str">
        <f>VLOOKUP(A335,[1]Cleaned!$A:$J,2,0)</f>
        <v>Saranya D</v>
      </c>
      <c r="C335" t="str">
        <f>VLOOKUP(A335,[1]Cleaned!$A:$J,3,0)</f>
        <v>Jackets</v>
      </c>
      <c r="D335" s="2" t="str">
        <f>TEXT(VLOOKUP(A335,[1]Cleaned!$A:$J,4,0),"DD-MMM-YYYY")</f>
        <v>02-Feb-2022</v>
      </c>
      <c r="E335" s="3" t="str">
        <f>TEXT(VLOOKUP(A335,[1]Cleaned!$A:$J,5,0),"DD-MMM-YYYY")</f>
        <v>04-Feb-2022</v>
      </c>
      <c r="F335" t="str">
        <f>VLOOKUP(A335,[1]Cleaned!$A:$J,6,0)</f>
        <v>Hyderabad</v>
      </c>
      <c r="G335">
        <f>VLOOKUP(A335,[1]Cleaned!$A:$J,9,0)</f>
        <v>2489.9</v>
      </c>
    </row>
    <row r="336" spans="1:7" x14ac:dyDescent="0.3">
      <c r="A336">
        <v>2334</v>
      </c>
      <c r="B336" s="1" t="str">
        <f>VLOOKUP(A336,[1]Cleaned!$A:$J,2,0)</f>
        <v>Nithya R</v>
      </c>
      <c r="C336" t="str">
        <f>VLOOKUP(A336,[1]Cleaned!$A:$J,3,0)</f>
        <v>Dresses</v>
      </c>
      <c r="D336" s="2" t="str">
        <f>TEXT(VLOOKUP(A336,[1]Cleaned!$A:$J,4,0),"DD-MMM-YYYY")</f>
        <v>05-Feb-2022</v>
      </c>
      <c r="E336" s="3" t="str">
        <f>TEXT(VLOOKUP(A336,[1]Cleaned!$A:$J,5,0),"DD-MMM-YYYY")</f>
        <v>15-Feb-2022</v>
      </c>
      <c r="F336" t="str">
        <f>VLOOKUP(A336,[1]Cleaned!$A:$J,6,0)</f>
        <v>Ahmedabad</v>
      </c>
      <c r="G336">
        <f>VLOOKUP(A336,[1]Cleaned!$A:$J,9,0)</f>
        <v>28622.93</v>
      </c>
    </row>
    <row r="337" spans="1:7" x14ac:dyDescent="0.3">
      <c r="A337">
        <v>2335</v>
      </c>
      <c r="B337" s="1" t="str">
        <f>VLOOKUP(A337,[1]Cleaned!$A:$J,2,0)</f>
        <v>Suresh M</v>
      </c>
      <c r="C337" t="str">
        <f>VLOOKUP(A337,[1]Cleaned!$A:$J,3,0)</f>
        <v>Jeans</v>
      </c>
      <c r="D337" s="2" t="str">
        <f>TEXT(VLOOKUP(A337,[1]Cleaned!$A:$J,4,0),"DD-MMM-YYYY")</f>
        <v>09-Dec-2024</v>
      </c>
      <c r="E337" s="3" t="str">
        <f>TEXT(VLOOKUP(A337,[1]Cleaned!$A:$J,5,0),"DD-MMM-YYYY")</f>
        <v>13-Dec-2024</v>
      </c>
      <c r="F337" t="str">
        <f>VLOOKUP(A337,[1]Cleaned!$A:$J,6,0)</f>
        <v>Mumbai</v>
      </c>
      <c r="G337">
        <f>VLOOKUP(A337,[1]Cleaned!$A:$J,9,0)</f>
        <v>12851.88</v>
      </c>
    </row>
    <row r="338" spans="1:7" x14ac:dyDescent="0.3">
      <c r="A338">
        <v>2336</v>
      </c>
      <c r="B338" s="1" t="str">
        <f>VLOOKUP(A338,[1]Cleaned!$A:$J,2,0)</f>
        <v>Sneha R</v>
      </c>
      <c r="C338" t="str">
        <f>VLOOKUP(A338,[1]Cleaned!$A:$J,3,0)</f>
        <v>Dresses</v>
      </c>
      <c r="D338" s="2" t="str">
        <f>TEXT(VLOOKUP(A338,[1]Cleaned!$A:$J,4,0),"DD-MMM-YYYY")</f>
        <v>23-Mar-2024</v>
      </c>
      <c r="E338" s="3" t="str">
        <f>TEXT(VLOOKUP(A338,[1]Cleaned!$A:$J,5,0),"DD-MMM-YYYY")</f>
        <v>26-Mar-2024</v>
      </c>
      <c r="F338" t="str">
        <f>VLOOKUP(A338,[1]Cleaned!$A:$J,6,0)</f>
        <v>Delhi</v>
      </c>
      <c r="G338">
        <f>VLOOKUP(A338,[1]Cleaned!$A:$J,9,0)</f>
        <v>17201.03</v>
      </c>
    </row>
    <row r="339" spans="1:7" x14ac:dyDescent="0.3">
      <c r="A339">
        <v>2337</v>
      </c>
      <c r="B339" s="1" t="str">
        <f>VLOOKUP(A339,[1]Cleaned!$A:$J,2,0)</f>
        <v>Ganesh R</v>
      </c>
      <c r="C339" t="str">
        <f>VLOOKUP(A339,[1]Cleaned!$A:$J,3,0)</f>
        <v>T-Shirts</v>
      </c>
      <c r="D339" s="2" t="str">
        <f>TEXT(VLOOKUP(A339,[1]Cleaned!$A:$J,4,0),"DD-MMM-YYYY")</f>
        <v>07-Sep-2023</v>
      </c>
      <c r="E339" s="3" t="str">
        <f>TEXT(VLOOKUP(A339,[1]Cleaned!$A:$J,5,0),"DD-MMM-YYYY")</f>
        <v>19-Sep-2023</v>
      </c>
      <c r="F339" t="str">
        <f>VLOOKUP(A339,[1]Cleaned!$A:$J,6,0)</f>
        <v>Ahmedabad</v>
      </c>
      <c r="G339">
        <f>VLOOKUP(A339,[1]Cleaned!$A:$J,9,0)</f>
        <v>6745.12</v>
      </c>
    </row>
    <row r="340" spans="1:7" x14ac:dyDescent="0.3">
      <c r="A340">
        <v>2338</v>
      </c>
      <c r="B340" s="1" t="str">
        <f>VLOOKUP(A340,[1]Cleaned!$A:$J,2,0)</f>
        <v>Priya Nair</v>
      </c>
      <c r="C340" t="str">
        <f>VLOOKUP(A340,[1]Cleaned!$A:$J,3,0)</f>
        <v>Jackets</v>
      </c>
      <c r="D340" s="2" t="str">
        <f>TEXT(VLOOKUP(A340,[1]Cleaned!$A:$J,4,0),"DD-MMM-YYYY")</f>
        <v>16-Feb-2024</v>
      </c>
      <c r="E340" s="3" t="str">
        <f>TEXT(VLOOKUP(A340,[1]Cleaned!$A:$J,5,0),"DD-MMM-YYYY")</f>
        <v>24-Feb-2024</v>
      </c>
      <c r="F340" t="str">
        <f>VLOOKUP(A340,[1]Cleaned!$A:$J,6,0)</f>
        <v>Hyderabad</v>
      </c>
      <c r="G340">
        <f>VLOOKUP(A340,[1]Cleaned!$A:$J,9,0)</f>
        <v>4509.92</v>
      </c>
    </row>
    <row r="341" spans="1:7" x14ac:dyDescent="0.3">
      <c r="A341">
        <v>2339</v>
      </c>
      <c r="B341" s="1" t="str">
        <f>VLOOKUP(A341,[1]Cleaned!$A:$J,2,0)</f>
        <v>Ganesh R</v>
      </c>
      <c r="C341" t="str">
        <f>VLOOKUP(A341,[1]Cleaned!$A:$J,3,0)</f>
        <v>T-Shirts</v>
      </c>
      <c r="D341" s="2" t="str">
        <f>TEXT(VLOOKUP(A341,[1]Cleaned!$A:$J,4,0),"DD-MMM-YYYY")</f>
        <v>19-Jun-2022</v>
      </c>
      <c r="E341" s="3" t="str">
        <f>TEXT(VLOOKUP(A341,[1]Cleaned!$A:$J,5,0),"DD-MMM-YYYY")</f>
        <v>28-Jun-2022</v>
      </c>
      <c r="F341" t="str">
        <f>VLOOKUP(A341,[1]Cleaned!$A:$J,6,0)</f>
        <v>Ahmedabad</v>
      </c>
      <c r="G341">
        <f>VLOOKUP(A341,[1]Cleaned!$A:$J,9,0)</f>
        <v>23317.42</v>
      </c>
    </row>
    <row r="342" spans="1:7" x14ac:dyDescent="0.3">
      <c r="A342">
        <v>2340</v>
      </c>
      <c r="B342" s="1" t="str">
        <f>VLOOKUP(A342,[1]Cleaned!$A:$J,2,0)</f>
        <v>Manoj K</v>
      </c>
      <c r="C342" t="str">
        <f>VLOOKUP(A342,[1]Cleaned!$A:$J,3,0)</f>
        <v>Jeans</v>
      </c>
      <c r="D342" s="2" t="str">
        <f>TEXT(VLOOKUP(A342,[1]Cleaned!$A:$J,4,0),"DD-MMM-YYYY")</f>
        <v>17-Dec-2024</v>
      </c>
      <c r="E342" s="3" t="str">
        <f>TEXT(VLOOKUP(A342,[1]Cleaned!$A:$J,5,0),"DD-MMM-YYYY")</f>
        <v>19-Dec-2024</v>
      </c>
      <c r="F342" t="str">
        <f>VLOOKUP(A342,[1]Cleaned!$A:$J,6,0)</f>
        <v>Mumbai</v>
      </c>
      <c r="G342">
        <f>VLOOKUP(A342,[1]Cleaned!$A:$J,9,0)</f>
        <v>18143.919999999998</v>
      </c>
    </row>
    <row r="343" spans="1:7" x14ac:dyDescent="0.3">
      <c r="A343">
        <v>2341</v>
      </c>
      <c r="B343" s="1" t="str">
        <f>VLOOKUP(A343,[1]Cleaned!$A:$J,2,0)</f>
        <v>Ravi Kumar</v>
      </c>
      <c r="C343" t="str">
        <f>VLOOKUP(A343,[1]Cleaned!$A:$J,3,0)</f>
        <v>Jeans</v>
      </c>
      <c r="D343" s="2" t="str">
        <f>TEXT(VLOOKUP(A343,[1]Cleaned!$A:$J,4,0),"DD-MMM-YYYY")</f>
        <v>02-Jun-2022</v>
      </c>
      <c r="E343" s="3" t="str">
        <f>TEXT(VLOOKUP(A343,[1]Cleaned!$A:$J,5,0),"DD-MMM-YYYY")</f>
        <v>14-Jun-2022</v>
      </c>
      <c r="F343" t="str">
        <f>VLOOKUP(A343,[1]Cleaned!$A:$J,6,0)</f>
        <v>Delhi</v>
      </c>
      <c r="G343">
        <f>VLOOKUP(A343,[1]Cleaned!$A:$J,9,0)</f>
        <v>1142.97</v>
      </c>
    </row>
    <row r="344" spans="1:7" x14ac:dyDescent="0.3">
      <c r="A344">
        <v>2342</v>
      </c>
      <c r="B344" s="1" t="str">
        <f>VLOOKUP(A344,[1]Cleaned!$A:$J,2,0)</f>
        <v>Anitha Raj</v>
      </c>
      <c r="C344" t="str">
        <f>VLOOKUP(A344,[1]Cleaned!$A:$J,3,0)</f>
        <v>T-Shirts</v>
      </c>
      <c r="D344" s="2" t="str">
        <f>TEXT(VLOOKUP(A344,[1]Cleaned!$A:$J,4,0),"DD-MMM-YYYY")</f>
        <v>23-Oct-2022</v>
      </c>
      <c r="E344" s="3" t="str">
        <f>TEXT(VLOOKUP(A344,[1]Cleaned!$A:$J,5,0),"DD-MMM-YYYY")</f>
        <v>06-Nov-2022</v>
      </c>
      <c r="F344" t="str">
        <f>VLOOKUP(A344,[1]Cleaned!$A:$J,6,0)</f>
        <v>Ahmedabad</v>
      </c>
      <c r="G344">
        <f>VLOOKUP(A344,[1]Cleaned!$A:$J,9,0)</f>
        <v>32659.97</v>
      </c>
    </row>
    <row r="345" spans="1:7" x14ac:dyDescent="0.3">
      <c r="A345">
        <v>2343</v>
      </c>
      <c r="B345" s="1" t="str">
        <f>VLOOKUP(A345,[1]Cleaned!$A:$J,2,0)</f>
        <v>Arjun Reddy</v>
      </c>
      <c r="C345" t="str">
        <f>VLOOKUP(A345,[1]Cleaned!$A:$J,3,0)</f>
        <v>Shoes</v>
      </c>
      <c r="D345" s="2" t="str">
        <f>TEXT(VLOOKUP(A345,[1]Cleaned!$A:$J,4,0),"DD-MMM-YYYY")</f>
        <v>08-May-2023</v>
      </c>
      <c r="E345" s="3" t="str">
        <f>TEXT(VLOOKUP(A345,[1]Cleaned!$A:$J,5,0),"DD-MMM-YYYY")</f>
        <v>19-May-2023</v>
      </c>
      <c r="F345" t="str">
        <f>VLOOKUP(A345,[1]Cleaned!$A:$J,6,0)</f>
        <v>Ahmedabad</v>
      </c>
      <c r="G345">
        <f>VLOOKUP(A345,[1]Cleaned!$A:$J,9,0)</f>
        <v>24374.42</v>
      </c>
    </row>
    <row r="346" spans="1:7" x14ac:dyDescent="0.3">
      <c r="A346">
        <v>2344</v>
      </c>
      <c r="B346" s="1" t="str">
        <f>VLOOKUP(A346,[1]Cleaned!$A:$J,2,0)</f>
        <v>Vijay K</v>
      </c>
      <c r="C346" t="str">
        <f>VLOOKUP(A346,[1]Cleaned!$A:$J,3,0)</f>
        <v>Accessories</v>
      </c>
      <c r="D346" s="2" t="str">
        <f>TEXT(VLOOKUP(A346,[1]Cleaned!$A:$J,4,0),"DD-MMM-YYYY")</f>
        <v>14-Oct-2022</v>
      </c>
      <c r="E346" s="3" t="str">
        <f>TEXT(VLOOKUP(A346,[1]Cleaned!$A:$J,5,0),"DD-MMM-YYYY")</f>
        <v>28-Oct-2022</v>
      </c>
      <c r="F346" t="str">
        <f>VLOOKUP(A346,[1]Cleaned!$A:$J,6,0)</f>
        <v>Pune</v>
      </c>
      <c r="G346">
        <f>VLOOKUP(A346,[1]Cleaned!$A:$J,9,0)</f>
        <v>5307.46</v>
      </c>
    </row>
    <row r="347" spans="1:7" x14ac:dyDescent="0.3">
      <c r="A347">
        <v>2345</v>
      </c>
      <c r="B347" s="1" t="str">
        <f>VLOOKUP(A347,[1]Cleaned!$A:$J,2,0)</f>
        <v>Karthik Vel</v>
      </c>
      <c r="C347" t="str">
        <f>VLOOKUP(A347,[1]Cleaned!$A:$J,3,0)</f>
        <v>Jeans</v>
      </c>
      <c r="D347" s="2" t="str">
        <f>TEXT(VLOOKUP(A347,[1]Cleaned!$A:$J,4,0),"DD-MMM-YYYY")</f>
        <v>14-Jun-2024</v>
      </c>
      <c r="E347" s="3" t="str">
        <f>TEXT(VLOOKUP(A347,[1]Cleaned!$A:$J,5,0),"DD-MMM-YYYY")</f>
        <v>19-Jun-2024</v>
      </c>
      <c r="F347" t="str">
        <f>VLOOKUP(A347,[1]Cleaned!$A:$J,6,0)</f>
        <v>Ahmedabad</v>
      </c>
      <c r="G347">
        <f>VLOOKUP(A347,[1]Cleaned!$A:$J,9,0)</f>
        <v>3801.58</v>
      </c>
    </row>
    <row r="348" spans="1:7" x14ac:dyDescent="0.3">
      <c r="A348">
        <v>2346</v>
      </c>
      <c r="B348" s="1" t="str">
        <f>VLOOKUP(A348,[1]Cleaned!$A:$J,2,0)</f>
        <v>Prakash V</v>
      </c>
      <c r="C348" t="str">
        <f>VLOOKUP(A348,[1]Cleaned!$A:$J,3,0)</f>
        <v>Dresses</v>
      </c>
      <c r="D348" s="2" t="str">
        <f>TEXT(VLOOKUP(A348,[1]Cleaned!$A:$J,4,0),"DD-MMM-YYYY")</f>
        <v>02-Mar-2022</v>
      </c>
      <c r="E348" s="3" t="str">
        <f>TEXT(VLOOKUP(A348,[1]Cleaned!$A:$J,5,0),"DD-MMM-YYYY")</f>
        <v>14-Mar-2022</v>
      </c>
      <c r="F348" t="str">
        <f>VLOOKUP(A348,[1]Cleaned!$A:$J,6,0)</f>
        <v>Delhi</v>
      </c>
      <c r="G348">
        <f>VLOOKUP(A348,[1]Cleaned!$A:$J,9,0)</f>
        <v>20846.72</v>
      </c>
    </row>
    <row r="349" spans="1:7" x14ac:dyDescent="0.3">
      <c r="A349">
        <v>2347</v>
      </c>
      <c r="B349" s="1" t="str">
        <f>VLOOKUP(A349,[1]Cleaned!$A:$J,2,0)</f>
        <v>Nithya R</v>
      </c>
      <c r="C349" t="str">
        <f>VLOOKUP(A349,[1]Cleaned!$A:$J,3,0)</f>
        <v>Jackets</v>
      </c>
      <c r="D349" s="2" t="str">
        <f>TEXT(VLOOKUP(A349,[1]Cleaned!$A:$J,4,0),"DD-MMM-YYYY")</f>
        <v>03-Jun-2024</v>
      </c>
      <c r="E349" s="3" t="str">
        <f>TEXT(VLOOKUP(A349,[1]Cleaned!$A:$J,5,0),"DD-MMM-YYYY")</f>
        <v>07-Jun-2024</v>
      </c>
      <c r="F349" t="str">
        <f>VLOOKUP(A349,[1]Cleaned!$A:$J,6,0)</f>
        <v>Pune</v>
      </c>
      <c r="G349">
        <f>VLOOKUP(A349,[1]Cleaned!$A:$J,9,0)</f>
        <v>4919.32</v>
      </c>
    </row>
    <row r="350" spans="1:7" x14ac:dyDescent="0.3">
      <c r="A350">
        <v>2348</v>
      </c>
      <c r="B350" s="1" t="str">
        <f>VLOOKUP(A350,[1]Cleaned!$A:$J,2,0)</f>
        <v>Lakshmi S</v>
      </c>
      <c r="C350" t="str">
        <f>VLOOKUP(A350,[1]Cleaned!$A:$J,3,0)</f>
        <v>Accessories</v>
      </c>
      <c r="D350" s="2" t="str">
        <f>TEXT(VLOOKUP(A350,[1]Cleaned!$A:$J,4,0),"DD-MMM-YYYY")</f>
        <v>31-May-2022</v>
      </c>
      <c r="E350" s="3" t="str">
        <f>TEXT(VLOOKUP(A350,[1]Cleaned!$A:$J,5,0),"DD-MMM-YYYY")</f>
        <v>03-Jun-2022</v>
      </c>
      <c r="F350" t="str">
        <f>VLOOKUP(A350,[1]Cleaned!$A:$J,6,0)</f>
        <v>Delhi</v>
      </c>
      <c r="G350">
        <f>VLOOKUP(A350,[1]Cleaned!$A:$J,9,0)</f>
        <v>6258</v>
      </c>
    </row>
    <row r="351" spans="1:7" x14ac:dyDescent="0.3">
      <c r="A351">
        <v>2349</v>
      </c>
      <c r="B351" s="1" t="str">
        <f>VLOOKUP(A351,[1]Cleaned!$A:$J,2,0)</f>
        <v>Uma S</v>
      </c>
      <c r="C351" t="str">
        <f>VLOOKUP(A351,[1]Cleaned!$A:$J,3,0)</f>
        <v>Jackets</v>
      </c>
      <c r="D351" s="2" t="str">
        <f>TEXT(VLOOKUP(A351,[1]Cleaned!$A:$J,4,0),"DD-MMM-YYYY")</f>
        <v>11-Oct-2023</v>
      </c>
      <c r="E351" s="3" t="str">
        <f>TEXT(VLOOKUP(A351,[1]Cleaned!$A:$J,5,0),"DD-MMM-YYYY")</f>
        <v>18-Oct-2023</v>
      </c>
      <c r="F351" t="str">
        <f>VLOOKUP(A351,[1]Cleaned!$A:$J,6,0)</f>
        <v>Chennai</v>
      </c>
      <c r="G351">
        <f>VLOOKUP(A351,[1]Cleaned!$A:$J,9,0)</f>
        <v>648.84</v>
      </c>
    </row>
    <row r="352" spans="1:7" x14ac:dyDescent="0.3">
      <c r="A352">
        <v>2350</v>
      </c>
      <c r="B352" s="1" t="str">
        <f>VLOOKUP(A352,[1]Cleaned!$A:$J,2,0)</f>
        <v>Rahul G</v>
      </c>
      <c r="C352" t="str">
        <f>VLOOKUP(A352,[1]Cleaned!$A:$J,3,0)</f>
        <v>Dresses</v>
      </c>
      <c r="D352" s="2" t="str">
        <f>TEXT(VLOOKUP(A352,[1]Cleaned!$A:$J,4,0),"DD-MMM-YYYY")</f>
        <v>07-Jul-2023</v>
      </c>
      <c r="E352" s="3" t="str">
        <f>TEXT(VLOOKUP(A352,[1]Cleaned!$A:$J,5,0),"DD-MMM-YYYY")</f>
        <v>10-Jul-2023</v>
      </c>
      <c r="F352" t="str">
        <f>VLOOKUP(A352,[1]Cleaned!$A:$J,6,0)</f>
        <v>Mumbai</v>
      </c>
      <c r="G352">
        <f>VLOOKUP(A352,[1]Cleaned!$A:$J,9,0)</f>
        <v>2361.48</v>
      </c>
    </row>
    <row r="353" spans="1:7" x14ac:dyDescent="0.3">
      <c r="A353">
        <v>2351</v>
      </c>
      <c r="B353" s="1" t="str">
        <f>VLOOKUP(A353,[1]Cleaned!$A:$J,2,0)</f>
        <v>Nithya R</v>
      </c>
      <c r="C353" t="str">
        <f>VLOOKUP(A353,[1]Cleaned!$A:$J,3,0)</f>
        <v>Shoes</v>
      </c>
      <c r="D353" s="2" t="str">
        <f>TEXT(VLOOKUP(A353,[1]Cleaned!$A:$J,4,0),"DD-MMM-YYYY")</f>
        <v>15-Nov-2024</v>
      </c>
      <c r="E353" s="3" t="str">
        <f>TEXT(VLOOKUP(A353,[1]Cleaned!$A:$J,5,0),"DD-MMM-YYYY")</f>
        <v>23-Nov-2024</v>
      </c>
      <c r="F353" t="str">
        <f>VLOOKUP(A353,[1]Cleaned!$A:$J,6,0)</f>
        <v>Chennai</v>
      </c>
      <c r="G353">
        <f>VLOOKUP(A353,[1]Cleaned!$A:$J,9,0)</f>
        <v>721.21</v>
      </c>
    </row>
    <row r="354" spans="1:7" x14ac:dyDescent="0.3">
      <c r="A354">
        <v>2352</v>
      </c>
      <c r="B354" s="1" t="str">
        <f>VLOOKUP(A354,[1]Cleaned!$A:$J,2,0)</f>
        <v>Revathi A</v>
      </c>
      <c r="C354" t="str">
        <f>VLOOKUP(A354,[1]Cleaned!$A:$J,3,0)</f>
        <v>Shoes</v>
      </c>
      <c r="D354" s="2" t="str">
        <f>TEXT(VLOOKUP(A354,[1]Cleaned!$A:$J,4,0),"DD-MMM-YYYY")</f>
        <v>27-Oct-2023</v>
      </c>
      <c r="E354" s="3" t="str">
        <f>TEXT(VLOOKUP(A354,[1]Cleaned!$A:$J,5,0),"DD-MMM-YYYY")</f>
        <v>11-Nov-2023</v>
      </c>
      <c r="F354" t="str">
        <f>VLOOKUP(A354,[1]Cleaned!$A:$J,6,0)</f>
        <v>Bangalore</v>
      </c>
      <c r="G354">
        <f>VLOOKUP(A354,[1]Cleaned!$A:$J,9,0)</f>
        <v>1671.68</v>
      </c>
    </row>
    <row r="355" spans="1:7" x14ac:dyDescent="0.3">
      <c r="A355">
        <v>2353</v>
      </c>
      <c r="B355" s="1" t="str">
        <f>VLOOKUP(A355,[1]Cleaned!$A:$J,2,0)</f>
        <v>Prakash V</v>
      </c>
      <c r="C355" t="str">
        <f>VLOOKUP(A355,[1]Cleaned!$A:$J,3,0)</f>
        <v>Jeans</v>
      </c>
      <c r="D355" s="2" t="str">
        <f>TEXT(VLOOKUP(A355,[1]Cleaned!$A:$J,4,0),"DD-MMM-YYYY")</f>
        <v>13-May-2023</v>
      </c>
      <c r="E355" s="3" t="str">
        <f>TEXT(VLOOKUP(A355,[1]Cleaned!$A:$J,5,0),"DD-MMM-YYYY")</f>
        <v>24-May-2023</v>
      </c>
      <c r="F355" t="str">
        <f>VLOOKUP(A355,[1]Cleaned!$A:$J,6,0)</f>
        <v>Hyderabad</v>
      </c>
      <c r="G355">
        <f>VLOOKUP(A355,[1]Cleaned!$A:$J,9,0)</f>
        <v>10562.97</v>
      </c>
    </row>
    <row r="356" spans="1:7" x14ac:dyDescent="0.3">
      <c r="A356">
        <v>2354</v>
      </c>
      <c r="B356" s="1" t="str">
        <f>VLOOKUP(A356,[1]Cleaned!$A:$J,2,0)</f>
        <v>Deepa K</v>
      </c>
      <c r="C356" t="str">
        <f>VLOOKUP(A356,[1]Cleaned!$A:$J,3,0)</f>
        <v>Dresses</v>
      </c>
      <c r="D356" s="2" t="str">
        <f>TEXT(VLOOKUP(A356,[1]Cleaned!$A:$J,4,0),"DD-MMM-YYYY")</f>
        <v>09-Sep-2023</v>
      </c>
      <c r="E356" s="3" t="str">
        <f>TEXT(VLOOKUP(A356,[1]Cleaned!$A:$J,5,0),"DD-MMM-YYYY")</f>
        <v>15-Sep-2023</v>
      </c>
      <c r="F356" t="str">
        <f>VLOOKUP(A356,[1]Cleaned!$A:$J,6,0)</f>
        <v>Bangalore</v>
      </c>
      <c r="G356">
        <f>VLOOKUP(A356,[1]Cleaned!$A:$J,9,0)</f>
        <v>1792.08</v>
      </c>
    </row>
    <row r="357" spans="1:7" x14ac:dyDescent="0.3">
      <c r="A357">
        <v>2355</v>
      </c>
      <c r="B357" s="1" t="str">
        <f>VLOOKUP(A357,[1]Cleaned!$A:$J,2,0)</f>
        <v>Ravi Kumar</v>
      </c>
      <c r="C357" t="str">
        <f>VLOOKUP(A357,[1]Cleaned!$A:$J,3,0)</f>
        <v>Jackets</v>
      </c>
      <c r="D357" s="2" t="str">
        <f>TEXT(VLOOKUP(A357,[1]Cleaned!$A:$J,4,0),"DD-MMM-YYYY")</f>
        <v>06-Sep-2023</v>
      </c>
      <c r="E357" s="3" t="str">
        <f>TEXT(VLOOKUP(A357,[1]Cleaned!$A:$J,5,0),"DD-MMM-YYYY")</f>
        <v>15-Sep-2023</v>
      </c>
      <c r="F357" t="str">
        <f>VLOOKUP(A357,[1]Cleaned!$A:$J,6,0)</f>
        <v>Ahmedabad</v>
      </c>
      <c r="G357">
        <f>VLOOKUP(A357,[1]Cleaned!$A:$J,9,0)</f>
        <v>3994.58</v>
      </c>
    </row>
    <row r="358" spans="1:7" x14ac:dyDescent="0.3">
      <c r="A358">
        <v>2356</v>
      </c>
      <c r="B358" s="1" t="str">
        <f>VLOOKUP(A358,[1]Cleaned!$A:$J,2,0)</f>
        <v>Uma S</v>
      </c>
      <c r="C358" t="str">
        <f>VLOOKUP(A358,[1]Cleaned!$A:$J,3,0)</f>
        <v>Accessories</v>
      </c>
      <c r="D358" s="2" t="str">
        <f>TEXT(VLOOKUP(A358,[1]Cleaned!$A:$J,4,0),"DD-MMM-YYYY")</f>
        <v>12-Oct-2024</v>
      </c>
      <c r="E358" s="3" t="str">
        <f>TEXT(VLOOKUP(A358,[1]Cleaned!$A:$J,5,0),"DD-MMM-YYYY")</f>
        <v>23-Oct-2024</v>
      </c>
      <c r="F358" t="str">
        <f>VLOOKUP(A358,[1]Cleaned!$A:$J,6,0)</f>
        <v>Hyderabad</v>
      </c>
      <c r="G358">
        <f>VLOOKUP(A358,[1]Cleaned!$A:$J,9,0)</f>
        <v>9807.7999999999993</v>
      </c>
    </row>
    <row r="359" spans="1:7" x14ac:dyDescent="0.3">
      <c r="A359">
        <v>2357</v>
      </c>
      <c r="B359" s="1" t="str">
        <f>VLOOKUP(A359,[1]Cleaned!$A:$J,2,0)</f>
        <v>Divya T</v>
      </c>
      <c r="C359" t="str">
        <f>VLOOKUP(A359,[1]Cleaned!$A:$J,3,0)</f>
        <v>Jeans</v>
      </c>
      <c r="D359" s="2" t="str">
        <f>TEXT(VLOOKUP(A359,[1]Cleaned!$A:$J,4,0),"DD-MMM-YYYY")</f>
        <v>21-Mar-2024</v>
      </c>
      <c r="E359" s="3" t="str">
        <f>TEXT(VLOOKUP(A359,[1]Cleaned!$A:$J,5,0),"DD-MMM-YYYY")</f>
        <v>28-Mar-2024</v>
      </c>
      <c r="F359" t="str">
        <f>VLOOKUP(A359,[1]Cleaned!$A:$J,6,0)</f>
        <v>Ahmedabad</v>
      </c>
      <c r="G359">
        <f>VLOOKUP(A359,[1]Cleaned!$A:$J,9,0)</f>
        <v>28554.12</v>
      </c>
    </row>
    <row r="360" spans="1:7" x14ac:dyDescent="0.3">
      <c r="A360">
        <v>2358</v>
      </c>
      <c r="B360" s="1" t="str">
        <f>VLOOKUP(A360,[1]Cleaned!$A:$J,2,0)</f>
        <v>Rahul G</v>
      </c>
      <c r="C360" t="str">
        <f>VLOOKUP(A360,[1]Cleaned!$A:$J,3,0)</f>
        <v>Dresses</v>
      </c>
      <c r="D360" s="2" t="str">
        <f>TEXT(VLOOKUP(A360,[1]Cleaned!$A:$J,4,0),"DD-MMM-YYYY")</f>
        <v>31-May-2024</v>
      </c>
      <c r="E360" s="3" t="str">
        <f>TEXT(VLOOKUP(A360,[1]Cleaned!$A:$J,5,0),"DD-MMM-YYYY")</f>
        <v>15-Jun-2024</v>
      </c>
      <c r="F360" t="str">
        <f>VLOOKUP(A360,[1]Cleaned!$A:$J,6,0)</f>
        <v>Ahmedabad</v>
      </c>
      <c r="G360">
        <f>VLOOKUP(A360,[1]Cleaned!$A:$J,9,0)</f>
        <v>5136.1499999999996</v>
      </c>
    </row>
    <row r="361" spans="1:7" x14ac:dyDescent="0.3">
      <c r="A361">
        <v>2359</v>
      </c>
      <c r="B361" s="1" t="str">
        <f>VLOOKUP(A361,[1]Cleaned!$A:$J,2,0)</f>
        <v>Kavitha S</v>
      </c>
      <c r="C361" t="str">
        <f>VLOOKUP(A361,[1]Cleaned!$A:$J,3,0)</f>
        <v>Dresses</v>
      </c>
      <c r="D361" s="2" t="str">
        <f>TEXT(VLOOKUP(A361,[1]Cleaned!$A:$J,4,0),"DD-MMM-YYYY")</f>
        <v>30-Dec-2022</v>
      </c>
      <c r="E361" s="3" t="str">
        <f>TEXT(VLOOKUP(A361,[1]Cleaned!$A:$J,5,0),"DD-MMM-YYYY")</f>
        <v>07-Jan-2023</v>
      </c>
      <c r="F361" t="str">
        <f>VLOOKUP(A361,[1]Cleaned!$A:$J,6,0)</f>
        <v>Delhi</v>
      </c>
      <c r="G361">
        <f>VLOOKUP(A361,[1]Cleaned!$A:$J,9,0)</f>
        <v>18769.55</v>
      </c>
    </row>
    <row r="362" spans="1:7" x14ac:dyDescent="0.3">
      <c r="A362">
        <v>2360</v>
      </c>
      <c r="B362" s="1" t="str">
        <f>VLOOKUP(A362,[1]Cleaned!$A:$J,2,0)</f>
        <v>Manoj K</v>
      </c>
      <c r="C362" t="str">
        <f>VLOOKUP(A362,[1]Cleaned!$A:$J,3,0)</f>
        <v>T-Shirts</v>
      </c>
      <c r="D362" s="2" t="str">
        <f>TEXT(VLOOKUP(A362,[1]Cleaned!$A:$J,4,0),"DD-MMM-YYYY")</f>
        <v>30-Oct-2023</v>
      </c>
      <c r="E362" s="3" t="str">
        <f>TEXT(VLOOKUP(A362,[1]Cleaned!$A:$J,5,0),"DD-MMM-YYYY")</f>
        <v>07-Nov-2023</v>
      </c>
      <c r="F362" t="str">
        <f>VLOOKUP(A362,[1]Cleaned!$A:$J,6,0)</f>
        <v>Delhi</v>
      </c>
      <c r="G362">
        <f>VLOOKUP(A362,[1]Cleaned!$A:$J,9,0)</f>
        <v>14108.99</v>
      </c>
    </row>
    <row r="363" spans="1:7" x14ac:dyDescent="0.3">
      <c r="A363">
        <v>2361</v>
      </c>
      <c r="B363" s="1" t="str">
        <f>VLOOKUP(A363,[1]Cleaned!$A:$J,2,0)</f>
        <v>Manoj K</v>
      </c>
      <c r="C363" t="str">
        <f>VLOOKUP(A363,[1]Cleaned!$A:$J,3,0)</f>
        <v>Shoes</v>
      </c>
      <c r="D363" s="2" t="str">
        <f>TEXT(VLOOKUP(A363,[1]Cleaned!$A:$J,4,0),"DD-MMM-YYYY")</f>
        <v>04-Jan-2023</v>
      </c>
      <c r="E363" s="3" t="str">
        <f>TEXT(VLOOKUP(A363,[1]Cleaned!$A:$J,5,0),"DD-MMM-YYYY")</f>
        <v>16-Jan-2023</v>
      </c>
      <c r="F363" t="str">
        <f>VLOOKUP(A363,[1]Cleaned!$A:$J,6,0)</f>
        <v>Ahmedabad</v>
      </c>
      <c r="G363">
        <f>VLOOKUP(A363,[1]Cleaned!$A:$J,9,0)</f>
        <v>4779.12</v>
      </c>
    </row>
    <row r="364" spans="1:7" x14ac:dyDescent="0.3">
      <c r="A364">
        <v>2362</v>
      </c>
      <c r="B364" s="1" t="str">
        <f>VLOOKUP(A364,[1]Cleaned!$A:$J,2,0)</f>
        <v>Ganesh R</v>
      </c>
      <c r="C364" t="str">
        <f>VLOOKUP(A364,[1]Cleaned!$A:$J,3,0)</f>
        <v>T-Shirts</v>
      </c>
      <c r="D364" s="2" t="str">
        <f>TEXT(VLOOKUP(A364,[1]Cleaned!$A:$J,4,0),"DD-MMM-YYYY")</f>
        <v>16-Jun-2024</v>
      </c>
      <c r="E364" s="3" t="str">
        <f>TEXT(VLOOKUP(A364,[1]Cleaned!$A:$J,5,0),"DD-MMM-YYYY")</f>
        <v>30-Jun-2024</v>
      </c>
      <c r="F364" t="str">
        <f>VLOOKUP(A364,[1]Cleaned!$A:$J,6,0)</f>
        <v>Delhi</v>
      </c>
      <c r="G364">
        <f>VLOOKUP(A364,[1]Cleaned!$A:$J,9,0)</f>
        <v>8298.2800000000007</v>
      </c>
    </row>
    <row r="365" spans="1:7" x14ac:dyDescent="0.3">
      <c r="A365">
        <v>2363</v>
      </c>
      <c r="B365" s="1" t="str">
        <f>VLOOKUP(A365,[1]Cleaned!$A:$J,2,0)</f>
        <v>Saranya D</v>
      </c>
      <c r="C365" t="str">
        <f>VLOOKUP(A365,[1]Cleaned!$A:$J,3,0)</f>
        <v>Jackets</v>
      </c>
      <c r="D365" s="2" t="str">
        <f>TEXT(VLOOKUP(A365,[1]Cleaned!$A:$J,4,0),"DD-MMM-YYYY")</f>
        <v>13-Oct-2022</v>
      </c>
      <c r="E365" s="3" t="str">
        <f>TEXT(VLOOKUP(A365,[1]Cleaned!$A:$J,5,0),"DD-MMM-YYYY")</f>
        <v>25-Oct-2022</v>
      </c>
      <c r="F365" t="str">
        <f>VLOOKUP(A365,[1]Cleaned!$A:$J,6,0)</f>
        <v>Delhi</v>
      </c>
      <c r="G365">
        <f>VLOOKUP(A365,[1]Cleaned!$A:$J,9,0)</f>
        <v>5950.4</v>
      </c>
    </row>
    <row r="366" spans="1:7" x14ac:dyDescent="0.3">
      <c r="A366">
        <v>2364</v>
      </c>
      <c r="B366" s="1" t="str">
        <f>VLOOKUP(A366,[1]Cleaned!$A:$J,2,0)</f>
        <v>Ganesh R</v>
      </c>
      <c r="C366" t="str">
        <f>VLOOKUP(A366,[1]Cleaned!$A:$J,3,0)</f>
        <v>Jackets</v>
      </c>
      <c r="D366" s="2" t="str">
        <f>TEXT(VLOOKUP(A366,[1]Cleaned!$A:$J,4,0),"DD-MMM-YYYY")</f>
        <v>12-Feb-2024</v>
      </c>
      <c r="E366" s="3" t="str">
        <f>TEXT(VLOOKUP(A366,[1]Cleaned!$A:$J,5,0),"DD-MMM-YYYY")</f>
        <v>15-Feb-2024</v>
      </c>
      <c r="F366" t="str">
        <f>VLOOKUP(A366,[1]Cleaned!$A:$J,6,0)</f>
        <v>Bangalore</v>
      </c>
      <c r="G366">
        <f>VLOOKUP(A366,[1]Cleaned!$A:$J,9,0)</f>
        <v>24292.400000000001</v>
      </c>
    </row>
    <row r="367" spans="1:7" x14ac:dyDescent="0.3">
      <c r="A367">
        <v>2365</v>
      </c>
      <c r="B367" s="1" t="str">
        <f>VLOOKUP(A367,[1]Cleaned!$A:$J,2,0)</f>
        <v>Nithya R</v>
      </c>
      <c r="C367" t="str">
        <f>VLOOKUP(A367,[1]Cleaned!$A:$J,3,0)</f>
        <v>Jeans</v>
      </c>
      <c r="D367" s="2" t="str">
        <f>TEXT(VLOOKUP(A367,[1]Cleaned!$A:$J,4,0),"DD-MMM-YYYY")</f>
        <v>07-Jan-2024</v>
      </c>
      <c r="E367" s="3" t="str">
        <f>TEXT(VLOOKUP(A367,[1]Cleaned!$A:$J,5,0),"DD-MMM-YYYY")</f>
        <v>20-Jan-2024</v>
      </c>
      <c r="F367" t="str">
        <f>VLOOKUP(A367,[1]Cleaned!$A:$J,6,0)</f>
        <v>Ahmedabad</v>
      </c>
      <c r="G367">
        <f>VLOOKUP(A367,[1]Cleaned!$A:$J,9,0)</f>
        <v>1628.08</v>
      </c>
    </row>
    <row r="368" spans="1:7" x14ac:dyDescent="0.3">
      <c r="A368">
        <v>2366</v>
      </c>
      <c r="B368" s="1" t="str">
        <f>VLOOKUP(A368,[1]Cleaned!$A:$J,2,0)</f>
        <v>Saranya D</v>
      </c>
      <c r="C368" t="str">
        <f>VLOOKUP(A368,[1]Cleaned!$A:$J,3,0)</f>
        <v>Accessories</v>
      </c>
      <c r="D368" s="2" t="str">
        <f>TEXT(VLOOKUP(A368,[1]Cleaned!$A:$J,4,0),"DD-MMM-YYYY")</f>
        <v>29-Dec-2023</v>
      </c>
      <c r="E368" s="3" t="str">
        <f>TEXT(VLOOKUP(A368,[1]Cleaned!$A:$J,5,0),"DD-MMM-YYYY")</f>
        <v>02-Jan-2024</v>
      </c>
      <c r="F368" t="str">
        <f>VLOOKUP(A368,[1]Cleaned!$A:$J,6,0)</f>
        <v>Pune</v>
      </c>
      <c r="G368">
        <f>VLOOKUP(A368,[1]Cleaned!$A:$J,9,0)</f>
        <v>2947.14</v>
      </c>
    </row>
    <row r="369" spans="1:7" x14ac:dyDescent="0.3">
      <c r="A369">
        <v>2367</v>
      </c>
      <c r="B369" s="1" t="str">
        <f>VLOOKUP(A369,[1]Cleaned!$A:$J,2,0)</f>
        <v>Prakash V</v>
      </c>
      <c r="C369" t="str">
        <f>VLOOKUP(A369,[1]Cleaned!$A:$J,3,0)</f>
        <v>Dresses</v>
      </c>
      <c r="D369" s="2" t="str">
        <f>TEXT(VLOOKUP(A369,[1]Cleaned!$A:$J,4,0),"DD-MMM-YYYY")</f>
        <v>31-May-2024</v>
      </c>
      <c r="E369" s="3" t="str">
        <f>TEXT(VLOOKUP(A369,[1]Cleaned!$A:$J,5,0),"DD-MMM-YYYY")</f>
        <v>03-Jun-2024</v>
      </c>
      <c r="F369" t="str">
        <f>VLOOKUP(A369,[1]Cleaned!$A:$J,6,0)</f>
        <v>Chennai</v>
      </c>
      <c r="G369">
        <f>VLOOKUP(A369,[1]Cleaned!$A:$J,9,0)</f>
        <v>3032.14</v>
      </c>
    </row>
    <row r="370" spans="1:7" x14ac:dyDescent="0.3">
      <c r="A370">
        <v>2368</v>
      </c>
      <c r="B370" s="1" t="str">
        <f>VLOOKUP(A370,[1]Cleaned!$A:$J,2,0)</f>
        <v>Rahul G</v>
      </c>
      <c r="C370" t="str">
        <f>VLOOKUP(A370,[1]Cleaned!$A:$J,3,0)</f>
        <v>Dresses</v>
      </c>
      <c r="D370" s="2" t="str">
        <f>TEXT(VLOOKUP(A370,[1]Cleaned!$A:$J,4,0),"DD-MMM-YYYY")</f>
        <v>12-Mar-2024</v>
      </c>
      <c r="E370" s="3" t="str">
        <f>TEXT(VLOOKUP(A370,[1]Cleaned!$A:$J,5,0),"DD-MMM-YYYY")</f>
        <v>21-Mar-2024</v>
      </c>
      <c r="F370" t="str">
        <f>VLOOKUP(A370,[1]Cleaned!$A:$J,6,0)</f>
        <v>Ahmedabad</v>
      </c>
      <c r="G370">
        <f>VLOOKUP(A370,[1]Cleaned!$A:$J,9,0)</f>
        <v>5764.05</v>
      </c>
    </row>
    <row r="371" spans="1:7" x14ac:dyDescent="0.3">
      <c r="A371">
        <v>2369</v>
      </c>
      <c r="B371" s="1" t="str">
        <f>VLOOKUP(A371,[1]Cleaned!$A:$J,2,0)</f>
        <v>Kavitha S</v>
      </c>
      <c r="C371" t="str">
        <f>VLOOKUP(A371,[1]Cleaned!$A:$J,3,0)</f>
        <v>Jeans</v>
      </c>
      <c r="D371" s="2" t="str">
        <f>TEXT(VLOOKUP(A371,[1]Cleaned!$A:$J,4,0),"DD-MMM-YYYY")</f>
        <v>29-Aug-2023</v>
      </c>
      <c r="E371" s="3" t="str">
        <f>TEXT(VLOOKUP(A371,[1]Cleaned!$A:$J,5,0),"DD-MMM-YYYY")</f>
        <v>06-Sep-2023</v>
      </c>
      <c r="F371" t="str">
        <f>VLOOKUP(A371,[1]Cleaned!$A:$J,6,0)</f>
        <v>Chennai</v>
      </c>
      <c r="G371">
        <f>VLOOKUP(A371,[1]Cleaned!$A:$J,9,0)</f>
        <v>8414.3799999999992</v>
      </c>
    </row>
    <row r="372" spans="1:7" x14ac:dyDescent="0.3">
      <c r="A372">
        <v>2370</v>
      </c>
      <c r="B372" s="1" t="str">
        <f>VLOOKUP(A372,[1]Cleaned!$A:$J,2,0)</f>
        <v>Sneha R</v>
      </c>
      <c r="C372" t="str">
        <f>VLOOKUP(A372,[1]Cleaned!$A:$J,3,0)</f>
        <v>Dresses</v>
      </c>
      <c r="D372" s="2" t="str">
        <f>TEXT(VLOOKUP(A372,[1]Cleaned!$A:$J,4,0),"DD-MMM-YYYY")</f>
        <v>04-Dec-2023</v>
      </c>
      <c r="E372" s="3" t="str">
        <f>TEXT(VLOOKUP(A372,[1]Cleaned!$A:$J,5,0),"DD-MMM-YYYY")</f>
        <v>13-Dec-2023</v>
      </c>
      <c r="F372" t="str">
        <f>VLOOKUP(A372,[1]Cleaned!$A:$J,6,0)</f>
        <v>Ahmedabad</v>
      </c>
      <c r="G372">
        <f>VLOOKUP(A372,[1]Cleaned!$A:$J,9,0)</f>
        <v>10996.96</v>
      </c>
    </row>
    <row r="373" spans="1:7" x14ac:dyDescent="0.3">
      <c r="A373">
        <v>2371</v>
      </c>
      <c r="B373" s="1" t="str">
        <f>VLOOKUP(A373,[1]Cleaned!$A:$J,2,0)</f>
        <v>Kavitha S</v>
      </c>
      <c r="C373" t="str">
        <f>VLOOKUP(A373,[1]Cleaned!$A:$J,3,0)</f>
        <v>Jeans</v>
      </c>
      <c r="D373" s="2" t="str">
        <f>TEXT(VLOOKUP(A373,[1]Cleaned!$A:$J,4,0),"DD-MMM-YYYY")</f>
        <v>16-Jun-2024</v>
      </c>
      <c r="E373" s="3" t="str">
        <f>TEXT(VLOOKUP(A373,[1]Cleaned!$A:$J,5,0),"DD-MMM-YYYY")</f>
        <v>29-Jun-2024</v>
      </c>
      <c r="F373" t="str">
        <f>VLOOKUP(A373,[1]Cleaned!$A:$J,6,0)</f>
        <v>Pune</v>
      </c>
      <c r="G373">
        <f>VLOOKUP(A373,[1]Cleaned!$A:$J,9,0)</f>
        <v>14390.96</v>
      </c>
    </row>
    <row r="374" spans="1:7" x14ac:dyDescent="0.3">
      <c r="A374">
        <v>2372</v>
      </c>
      <c r="B374" s="1" t="str">
        <f>VLOOKUP(A374,[1]Cleaned!$A:$J,2,0)</f>
        <v>Karthik Vel</v>
      </c>
      <c r="C374" t="str">
        <f>VLOOKUP(A374,[1]Cleaned!$A:$J,3,0)</f>
        <v>Accessories</v>
      </c>
      <c r="D374" s="2" t="str">
        <f>TEXT(VLOOKUP(A374,[1]Cleaned!$A:$J,4,0),"DD-MMM-YYYY")</f>
        <v>24-Aug-2022</v>
      </c>
      <c r="E374" s="3" t="str">
        <f>TEXT(VLOOKUP(A374,[1]Cleaned!$A:$J,5,0),"DD-MMM-YYYY")</f>
        <v>26-Aug-2022</v>
      </c>
      <c r="F374" t="str">
        <f>VLOOKUP(A374,[1]Cleaned!$A:$J,6,0)</f>
        <v>Ahmedabad</v>
      </c>
      <c r="G374">
        <f>VLOOKUP(A374,[1]Cleaned!$A:$J,9,0)</f>
        <v>20072.759999999998</v>
      </c>
    </row>
    <row r="375" spans="1:7" x14ac:dyDescent="0.3">
      <c r="A375">
        <v>2373</v>
      </c>
      <c r="B375" s="1" t="str">
        <f>VLOOKUP(A375,[1]Cleaned!$A:$J,2,0)</f>
        <v>Uma S</v>
      </c>
      <c r="C375" t="str">
        <f>VLOOKUP(A375,[1]Cleaned!$A:$J,3,0)</f>
        <v>T-Shirts</v>
      </c>
      <c r="D375" s="2" t="str">
        <f>TEXT(VLOOKUP(A375,[1]Cleaned!$A:$J,4,0),"DD-MMM-YYYY")</f>
        <v>22-Nov-2024</v>
      </c>
      <c r="E375" s="3" t="str">
        <f>TEXT(VLOOKUP(A375,[1]Cleaned!$A:$J,5,0),"DD-MMM-YYYY")</f>
        <v>26-Nov-2024</v>
      </c>
      <c r="F375" t="str">
        <f>VLOOKUP(A375,[1]Cleaned!$A:$J,6,0)</f>
        <v>Hyderabad</v>
      </c>
      <c r="G375">
        <f>VLOOKUP(A375,[1]Cleaned!$A:$J,9,0)</f>
        <v>5566.95</v>
      </c>
    </row>
    <row r="376" spans="1:7" x14ac:dyDescent="0.3">
      <c r="A376">
        <v>2374</v>
      </c>
      <c r="B376" s="1" t="str">
        <f>VLOOKUP(A376,[1]Cleaned!$A:$J,2,0)</f>
        <v>Rahul G</v>
      </c>
      <c r="C376" t="str">
        <f>VLOOKUP(A376,[1]Cleaned!$A:$J,3,0)</f>
        <v>T-Shirts</v>
      </c>
      <c r="D376" s="2" t="str">
        <f>TEXT(VLOOKUP(A376,[1]Cleaned!$A:$J,4,0),"DD-MMM-YYYY")</f>
        <v>09-Apr-2024</v>
      </c>
      <c r="E376" s="3" t="str">
        <f>TEXT(VLOOKUP(A376,[1]Cleaned!$A:$J,5,0),"DD-MMM-YYYY")</f>
        <v>21-Apr-2024</v>
      </c>
      <c r="F376" t="str">
        <f>VLOOKUP(A376,[1]Cleaned!$A:$J,6,0)</f>
        <v>Mumbai</v>
      </c>
      <c r="G376">
        <f>VLOOKUP(A376,[1]Cleaned!$A:$J,9,0)</f>
        <v>9930.75</v>
      </c>
    </row>
    <row r="377" spans="1:7" x14ac:dyDescent="0.3">
      <c r="A377">
        <v>2375</v>
      </c>
      <c r="B377" s="1" t="str">
        <f>VLOOKUP(A377,[1]Cleaned!$A:$J,2,0)</f>
        <v>Vijay K</v>
      </c>
      <c r="C377" t="str">
        <f>VLOOKUP(A377,[1]Cleaned!$A:$J,3,0)</f>
        <v>Jeans</v>
      </c>
      <c r="D377" s="2" t="str">
        <f>TEXT(VLOOKUP(A377,[1]Cleaned!$A:$J,4,0),"DD-MMM-YYYY")</f>
        <v>09-Feb-2023</v>
      </c>
      <c r="E377" s="3" t="str">
        <f>TEXT(VLOOKUP(A377,[1]Cleaned!$A:$J,5,0),"DD-MMM-YYYY")</f>
        <v>18-Feb-2023</v>
      </c>
      <c r="F377" t="str">
        <f>VLOOKUP(A377,[1]Cleaned!$A:$J,6,0)</f>
        <v>Hyderabad</v>
      </c>
      <c r="G377">
        <f>VLOOKUP(A377,[1]Cleaned!$A:$J,9,0)</f>
        <v>14892.71</v>
      </c>
    </row>
    <row r="378" spans="1:7" x14ac:dyDescent="0.3">
      <c r="A378">
        <v>2376</v>
      </c>
      <c r="B378" s="1" t="str">
        <f>VLOOKUP(A378,[1]Cleaned!$A:$J,2,0)</f>
        <v>Meena Iyer</v>
      </c>
      <c r="C378" t="str">
        <f>VLOOKUP(A378,[1]Cleaned!$A:$J,3,0)</f>
        <v>Dresses</v>
      </c>
      <c r="D378" s="2" t="str">
        <f>TEXT(VLOOKUP(A378,[1]Cleaned!$A:$J,4,0),"DD-MMM-YYYY")</f>
        <v>09-May-2022</v>
      </c>
      <c r="E378" s="3" t="str">
        <f>TEXT(VLOOKUP(A378,[1]Cleaned!$A:$J,5,0),"DD-MMM-YYYY")</f>
        <v>20-May-2022</v>
      </c>
      <c r="F378" t="str">
        <f>VLOOKUP(A378,[1]Cleaned!$A:$J,6,0)</f>
        <v>Chennai</v>
      </c>
      <c r="G378">
        <f>VLOOKUP(A378,[1]Cleaned!$A:$J,9,0)</f>
        <v>6057.69</v>
      </c>
    </row>
    <row r="379" spans="1:7" x14ac:dyDescent="0.3">
      <c r="A379">
        <v>2377</v>
      </c>
      <c r="B379" s="1" t="str">
        <f>VLOOKUP(A379,[1]Cleaned!$A:$J,2,0)</f>
        <v>Rahul G</v>
      </c>
      <c r="C379" t="str">
        <f>VLOOKUP(A379,[1]Cleaned!$A:$J,3,0)</f>
        <v>Jeans</v>
      </c>
      <c r="D379" s="2" t="str">
        <f>TEXT(VLOOKUP(A379,[1]Cleaned!$A:$J,4,0),"DD-MMM-YYYY")</f>
        <v>22-Jun-2023</v>
      </c>
      <c r="E379" s="3" t="str">
        <f>TEXT(VLOOKUP(A379,[1]Cleaned!$A:$J,5,0),"DD-MMM-YYYY")</f>
        <v>04-Jul-2023</v>
      </c>
      <c r="F379" t="str">
        <f>VLOOKUP(A379,[1]Cleaned!$A:$J,6,0)</f>
        <v>Ahmedabad</v>
      </c>
      <c r="G379">
        <f>VLOOKUP(A379,[1]Cleaned!$A:$J,9,0)</f>
        <v>22242.080000000002</v>
      </c>
    </row>
    <row r="380" spans="1:7" x14ac:dyDescent="0.3">
      <c r="A380">
        <v>2378</v>
      </c>
      <c r="B380" s="1" t="str">
        <f>VLOOKUP(A380,[1]Cleaned!$A:$J,2,0)</f>
        <v>Revathi A</v>
      </c>
      <c r="C380" t="str">
        <f>VLOOKUP(A380,[1]Cleaned!$A:$J,3,0)</f>
        <v>Jackets</v>
      </c>
      <c r="D380" s="2" t="str">
        <f>TEXT(VLOOKUP(A380,[1]Cleaned!$A:$J,4,0),"DD-MMM-YYYY")</f>
        <v>14-Mar-2024</v>
      </c>
      <c r="E380" s="3" t="str">
        <f>TEXT(VLOOKUP(A380,[1]Cleaned!$A:$J,5,0),"DD-MMM-YYYY")</f>
        <v>25-Mar-2024</v>
      </c>
      <c r="F380" t="str">
        <f>VLOOKUP(A380,[1]Cleaned!$A:$J,6,0)</f>
        <v>Chennai</v>
      </c>
      <c r="G380">
        <f>VLOOKUP(A380,[1]Cleaned!$A:$J,9,0)</f>
        <v>11725.98</v>
      </c>
    </row>
    <row r="381" spans="1:7" x14ac:dyDescent="0.3">
      <c r="A381">
        <v>2379</v>
      </c>
      <c r="B381" s="1" t="str">
        <f>VLOOKUP(A381,[1]Cleaned!$A:$J,2,0)</f>
        <v>Revathi A</v>
      </c>
      <c r="C381" t="str">
        <f>VLOOKUP(A381,[1]Cleaned!$A:$J,3,0)</f>
        <v>T-Shirts</v>
      </c>
      <c r="D381" s="2" t="str">
        <f>TEXT(VLOOKUP(A381,[1]Cleaned!$A:$J,4,0),"DD-MMM-YYYY")</f>
        <v>02-Sep-2023</v>
      </c>
      <c r="E381" s="3" t="str">
        <f>TEXT(VLOOKUP(A381,[1]Cleaned!$A:$J,5,0),"DD-MMM-YYYY")</f>
        <v>13-Sep-2023</v>
      </c>
      <c r="F381" t="str">
        <f>VLOOKUP(A381,[1]Cleaned!$A:$J,6,0)</f>
        <v>Hyderabad</v>
      </c>
      <c r="G381">
        <f>VLOOKUP(A381,[1]Cleaned!$A:$J,9,0)</f>
        <v>6917.84</v>
      </c>
    </row>
    <row r="382" spans="1:7" x14ac:dyDescent="0.3">
      <c r="A382">
        <v>2380</v>
      </c>
      <c r="B382" s="1" t="str">
        <f>VLOOKUP(A382,[1]Cleaned!$A:$J,2,0)</f>
        <v>Suresh M</v>
      </c>
      <c r="C382" t="str">
        <f>VLOOKUP(A382,[1]Cleaned!$A:$J,3,0)</f>
        <v>T-Shirts</v>
      </c>
      <c r="D382" s="2" t="str">
        <f>TEXT(VLOOKUP(A382,[1]Cleaned!$A:$J,4,0),"DD-MMM-YYYY")</f>
        <v>18-Sep-2023</v>
      </c>
      <c r="E382" s="3" t="str">
        <f>TEXT(VLOOKUP(A382,[1]Cleaned!$A:$J,5,0),"DD-MMM-YYYY")</f>
        <v>21-Sep-2023</v>
      </c>
      <c r="F382" t="str">
        <f>VLOOKUP(A382,[1]Cleaned!$A:$J,6,0)</f>
        <v>Mumbai</v>
      </c>
      <c r="G382">
        <f>VLOOKUP(A382,[1]Cleaned!$A:$J,9,0)</f>
        <v>21354.9</v>
      </c>
    </row>
    <row r="383" spans="1:7" x14ac:dyDescent="0.3">
      <c r="A383">
        <v>2381</v>
      </c>
      <c r="B383" s="1" t="str">
        <f>VLOOKUP(A383,[1]Cleaned!$A:$J,2,0)</f>
        <v>Pooja M</v>
      </c>
      <c r="C383" t="str">
        <f>VLOOKUP(A383,[1]Cleaned!$A:$J,3,0)</f>
        <v>Shoes</v>
      </c>
      <c r="D383" s="2" t="str">
        <f>TEXT(VLOOKUP(A383,[1]Cleaned!$A:$J,4,0),"DD-MMM-YYYY")</f>
        <v>10-Oct-2022</v>
      </c>
      <c r="E383" s="3" t="str">
        <f>TEXT(VLOOKUP(A383,[1]Cleaned!$A:$J,5,0),"DD-MMM-YYYY")</f>
        <v>21-Oct-2022</v>
      </c>
      <c r="F383" t="str">
        <f>VLOOKUP(A383,[1]Cleaned!$A:$J,6,0)</f>
        <v>Bangalore</v>
      </c>
      <c r="G383">
        <f>VLOOKUP(A383,[1]Cleaned!$A:$J,9,0)</f>
        <v>8211.2800000000007</v>
      </c>
    </row>
    <row r="384" spans="1:7" x14ac:dyDescent="0.3">
      <c r="A384">
        <v>2382</v>
      </c>
      <c r="B384" s="1" t="str">
        <f>VLOOKUP(A384,[1]Cleaned!$A:$J,2,0)</f>
        <v>Nithya R</v>
      </c>
      <c r="C384" t="str">
        <f>VLOOKUP(A384,[1]Cleaned!$A:$J,3,0)</f>
        <v>T-Shirts</v>
      </c>
      <c r="D384" s="2" t="str">
        <f>TEXT(VLOOKUP(A384,[1]Cleaned!$A:$J,4,0),"DD-MMM-YYYY")</f>
        <v>29-Sep-2024</v>
      </c>
      <c r="E384" s="3" t="str">
        <f>TEXT(VLOOKUP(A384,[1]Cleaned!$A:$J,5,0),"DD-MMM-YYYY")</f>
        <v>05-Oct-2024</v>
      </c>
      <c r="F384" t="str">
        <f>VLOOKUP(A384,[1]Cleaned!$A:$J,6,0)</f>
        <v>Mumbai</v>
      </c>
      <c r="G384">
        <f>VLOOKUP(A384,[1]Cleaned!$A:$J,9,0)</f>
        <v>5335.59</v>
      </c>
    </row>
    <row r="385" spans="1:7" x14ac:dyDescent="0.3">
      <c r="A385">
        <v>2383</v>
      </c>
      <c r="B385" s="1" t="str">
        <f>VLOOKUP(A385,[1]Cleaned!$A:$J,2,0)</f>
        <v>Revathi A</v>
      </c>
      <c r="C385" t="str">
        <f>VLOOKUP(A385,[1]Cleaned!$A:$J,3,0)</f>
        <v>Jeans</v>
      </c>
      <c r="D385" s="2" t="str">
        <f>TEXT(VLOOKUP(A385,[1]Cleaned!$A:$J,4,0),"DD-MMM-YYYY")</f>
        <v>06-Jan-2024</v>
      </c>
      <c r="E385" s="3" t="str">
        <f>TEXT(VLOOKUP(A385,[1]Cleaned!$A:$J,5,0),"DD-MMM-YYYY")</f>
        <v>08-Jan-2024</v>
      </c>
      <c r="F385" t="str">
        <f>VLOOKUP(A385,[1]Cleaned!$A:$J,6,0)</f>
        <v>Bangalore</v>
      </c>
      <c r="G385">
        <f>VLOOKUP(A385,[1]Cleaned!$A:$J,9,0)</f>
        <v>3651.3</v>
      </c>
    </row>
    <row r="386" spans="1:7" x14ac:dyDescent="0.3">
      <c r="A386">
        <v>2384</v>
      </c>
      <c r="B386" s="1" t="str">
        <f>VLOOKUP(A386,[1]Cleaned!$A:$J,2,0)</f>
        <v>Nithya R</v>
      </c>
      <c r="C386" t="str">
        <f>VLOOKUP(A386,[1]Cleaned!$A:$J,3,0)</f>
        <v>Shoes</v>
      </c>
      <c r="D386" s="2" t="str">
        <f>TEXT(VLOOKUP(A386,[1]Cleaned!$A:$J,4,0),"DD-MMM-YYYY")</f>
        <v>10-Oct-2024</v>
      </c>
      <c r="E386" s="3" t="str">
        <f>TEXT(VLOOKUP(A386,[1]Cleaned!$A:$J,5,0),"DD-MMM-YYYY")</f>
        <v>18-Oct-2024</v>
      </c>
      <c r="F386" t="str">
        <f>VLOOKUP(A386,[1]Cleaned!$A:$J,6,0)</f>
        <v>Pune</v>
      </c>
      <c r="G386">
        <f>VLOOKUP(A386,[1]Cleaned!$A:$J,9,0)</f>
        <v>18027.68</v>
      </c>
    </row>
    <row r="387" spans="1:7" x14ac:dyDescent="0.3">
      <c r="A387">
        <v>2385</v>
      </c>
      <c r="B387" s="1" t="str">
        <f>VLOOKUP(A387,[1]Cleaned!$A:$J,2,0)</f>
        <v>Kavitha S</v>
      </c>
      <c r="C387" t="str">
        <f>VLOOKUP(A387,[1]Cleaned!$A:$J,3,0)</f>
        <v>T-Shirts</v>
      </c>
      <c r="D387" s="2" t="str">
        <f>TEXT(VLOOKUP(A387,[1]Cleaned!$A:$J,4,0),"DD-MMM-YYYY")</f>
        <v>19-Jun-2022</v>
      </c>
      <c r="E387" s="3" t="str">
        <f>TEXT(VLOOKUP(A387,[1]Cleaned!$A:$J,5,0),"DD-MMM-YYYY")</f>
        <v>30-Jun-2022</v>
      </c>
      <c r="F387" t="str">
        <f>VLOOKUP(A387,[1]Cleaned!$A:$J,6,0)</f>
        <v>Chennai</v>
      </c>
      <c r="G387">
        <f>VLOOKUP(A387,[1]Cleaned!$A:$J,9,0)</f>
        <v>6691.28</v>
      </c>
    </row>
    <row r="388" spans="1:7" x14ac:dyDescent="0.3">
      <c r="A388">
        <v>2386</v>
      </c>
      <c r="B388" s="1" t="str">
        <f>VLOOKUP(A388,[1]Cleaned!$A:$J,2,0)</f>
        <v>Lakshmi S</v>
      </c>
      <c r="C388" t="str">
        <f>VLOOKUP(A388,[1]Cleaned!$A:$J,3,0)</f>
        <v>Shoes</v>
      </c>
      <c r="D388" s="2" t="str">
        <f>TEXT(VLOOKUP(A388,[1]Cleaned!$A:$J,4,0),"DD-MMM-YYYY")</f>
        <v>15-Aug-2023</v>
      </c>
      <c r="E388" s="3" t="str">
        <f>TEXT(VLOOKUP(A388,[1]Cleaned!$A:$J,5,0),"DD-MMM-YYYY")</f>
        <v>19-Aug-2023</v>
      </c>
      <c r="F388" t="str">
        <f>VLOOKUP(A388,[1]Cleaned!$A:$J,6,0)</f>
        <v>Ahmedabad</v>
      </c>
      <c r="G388">
        <f>VLOOKUP(A388,[1]Cleaned!$A:$J,9,0)</f>
        <v>23668.48</v>
      </c>
    </row>
    <row r="389" spans="1:7" x14ac:dyDescent="0.3">
      <c r="A389">
        <v>2387</v>
      </c>
      <c r="B389" s="1" t="str">
        <f>VLOOKUP(A389,[1]Cleaned!$A:$J,2,0)</f>
        <v>Nithya R</v>
      </c>
      <c r="C389" t="str">
        <f>VLOOKUP(A389,[1]Cleaned!$A:$J,3,0)</f>
        <v>Shoes</v>
      </c>
      <c r="D389" s="2" t="str">
        <f>TEXT(VLOOKUP(A389,[1]Cleaned!$A:$J,4,0),"DD-MMM-YYYY")</f>
        <v>20-Aug-2022</v>
      </c>
      <c r="E389" s="3" t="str">
        <f>TEXT(VLOOKUP(A389,[1]Cleaned!$A:$J,5,0),"DD-MMM-YYYY")</f>
        <v>31-Aug-2022</v>
      </c>
      <c r="F389" t="str">
        <f>VLOOKUP(A389,[1]Cleaned!$A:$J,6,0)</f>
        <v>Chennai</v>
      </c>
      <c r="G389">
        <f>VLOOKUP(A389,[1]Cleaned!$A:$J,9,0)</f>
        <v>19715.150000000001</v>
      </c>
    </row>
    <row r="390" spans="1:7" x14ac:dyDescent="0.3">
      <c r="A390">
        <v>2388</v>
      </c>
      <c r="B390" s="1" t="str">
        <f>VLOOKUP(A390,[1]Cleaned!$A:$J,2,0)</f>
        <v>Nithya R</v>
      </c>
      <c r="C390" t="str">
        <f>VLOOKUP(A390,[1]Cleaned!$A:$J,3,0)</f>
        <v>Jeans</v>
      </c>
      <c r="D390" s="2" t="str">
        <f>TEXT(VLOOKUP(A390,[1]Cleaned!$A:$J,4,0),"DD-MMM-YYYY")</f>
        <v>22-Jun-2024</v>
      </c>
      <c r="E390" s="3" t="str">
        <f>TEXT(VLOOKUP(A390,[1]Cleaned!$A:$J,5,0),"DD-MMM-YYYY")</f>
        <v>02-Jul-2024</v>
      </c>
      <c r="F390" t="str">
        <f>VLOOKUP(A390,[1]Cleaned!$A:$J,6,0)</f>
        <v>Mumbai</v>
      </c>
      <c r="G390">
        <f>VLOOKUP(A390,[1]Cleaned!$A:$J,9,0)</f>
        <v>5469.52</v>
      </c>
    </row>
    <row r="391" spans="1:7" x14ac:dyDescent="0.3">
      <c r="A391">
        <v>2389</v>
      </c>
      <c r="B391" s="1" t="str">
        <f>VLOOKUP(A391,[1]Cleaned!$A:$J,2,0)</f>
        <v>Divya T</v>
      </c>
      <c r="C391" t="str">
        <f>VLOOKUP(A391,[1]Cleaned!$A:$J,3,0)</f>
        <v>Jeans</v>
      </c>
      <c r="D391" s="2" t="str">
        <f>TEXT(VLOOKUP(A391,[1]Cleaned!$A:$J,4,0),"DD-MMM-YYYY")</f>
        <v>10-Jul-2024</v>
      </c>
      <c r="E391" s="3" t="str">
        <f>TEXT(VLOOKUP(A391,[1]Cleaned!$A:$J,5,0),"DD-MMM-YYYY")</f>
        <v>16-Jul-2024</v>
      </c>
      <c r="F391" t="str">
        <f>VLOOKUP(A391,[1]Cleaned!$A:$J,6,0)</f>
        <v>Delhi</v>
      </c>
      <c r="G391">
        <f>VLOOKUP(A391,[1]Cleaned!$A:$J,9,0)</f>
        <v>4727.26</v>
      </c>
    </row>
    <row r="392" spans="1:7" x14ac:dyDescent="0.3">
      <c r="A392">
        <v>2390</v>
      </c>
      <c r="B392" s="1" t="str">
        <f>VLOOKUP(A392,[1]Cleaned!$A:$J,2,0)</f>
        <v>Prakash V</v>
      </c>
      <c r="C392" t="str">
        <f>VLOOKUP(A392,[1]Cleaned!$A:$J,3,0)</f>
        <v>T-Shirts</v>
      </c>
      <c r="D392" s="2" t="str">
        <f>TEXT(VLOOKUP(A392,[1]Cleaned!$A:$J,4,0),"DD-MMM-YYYY")</f>
        <v>06-Mar-2023</v>
      </c>
      <c r="E392" s="3" t="str">
        <f>TEXT(VLOOKUP(A392,[1]Cleaned!$A:$J,5,0),"DD-MMM-YYYY")</f>
        <v>20-Mar-2023</v>
      </c>
      <c r="F392" t="str">
        <f>VLOOKUP(A392,[1]Cleaned!$A:$J,6,0)</f>
        <v>Pune</v>
      </c>
      <c r="G392">
        <f>VLOOKUP(A392,[1]Cleaned!$A:$J,9,0)</f>
        <v>26081.58</v>
      </c>
    </row>
    <row r="393" spans="1:7" x14ac:dyDescent="0.3">
      <c r="A393">
        <v>2391</v>
      </c>
      <c r="B393" s="1" t="str">
        <f>VLOOKUP(A393,[1]Cleaned!$A:$J,2,0)</f>
        <v>Arjun Reddy</v>
      </c>
      <c r="C393" t="str">
        <f>VLOOKUP(A393,[1]Cleaned!$A:$J,3,0)</f>
        <v>Shoes</v>
      </c>
      <c r="D393" s="2" t="str">
        <f>TEXT(VLOOKUP(A393,[1]Cleaned!$A:$J,4,0),"DD-MMM-YYYY")</f>
        <v>13-Oct-2022</v>
      </c>
      <c r="E393" s="3" t="str">
        <f>TEXT(VLOOKUP(A393,[1]Cleaned!$A:$J,5,0),"DD-MMM-YYYY")</f>
        <v>27-Oct-2022</v>
      </c>
      <c r="F393" t="str">
        <f>VLOOKUP(A393,[1]Cleaned!$A:$J,6,0)</f>
        <v>Mumbai</v>
      </c>
      <c r="G393">
        <f>VLOOKUP(A393,[1]Cleaned!$A:$J,9,0)</f>
        <v>16342.28</v>
      </c>
    </row>
    <row r="394" spans="1:7" x14ac:dyDescent="0.3">
      <c r="A394">
        <v>2392</v>
      </c>
      <c r="B394" s="1" t="str">
        <f>VLOOKUP(A394,[1]Cleaned!$A:$J,2,0)</f>
        <v>Nithya R</v>
      </c>
      <c r="C394" t="str">
        <f>VLOOKUP(A394,[1]Cleaned!$A:$J,3,0)</f>
        <v>Dresses</v>
      </c>
      <c r="D394" s="2" t="str">
        <f>TEXT(VLOOKUP(A394,[1]Cleaned!$A:$J,4,0),"DD-MMM-YYYY")</f>
        <v>11-Dec-2022</v>
      </c>
      <c r="E394" s="3" t="str">
        <f>TEXT(VLOOKUP(A394,[1]Cleaned!$A:$J,5,0),"DD-MMM-YYYY")</f>
        <v>18-Dec-2022</v>
      </c>
      <c r="F394" t="str">
        <f>VLOOKUP(A394,[1]Cleaned!$A:$J,6,0)</f>
        <v>Pune</v>
      </c>
      <c r="G394">
        <f>VLOOKUP(A394,[1]Cleaned!$A:$J,9,0)</f>
        <v>8299.35</v>
      </c>
    </row>
    <row r="395" spans="1:7" x14ac:dyDescent="0.3">
      <c r="A395">
        <v>2393</v>
      </c>
      <c r="B395" s="1" t="str">
        <f>VLOOKUP(A395,[1]Cleaned!$A:$J,2,0)</f>
        <v>Santhosh P</v>
      </c>
      <c r="C395" t="str">
        <f>VLOOKUP(A395,[1]Cleaned!$A:$J,3,0)</f>
        <v>Accessories</v>
      </c>
      <c r="D395" s="2" t="str">
        <f>TEXT(VLOOKUP(A395,[1]Cleaned!$A:$J,4,0),"DD-MMM-YYYY")</f>
        <v>15-Jul-2022</v>
      </c>
      <c r="E395" s="3" t="str">
        <f>TEXT(VLOOKUP(A395,[1]Cleaned!$A:$J,5,0),"DD-MMM-YYYY")</f>
        <v>19-Jul-2022</v>
      </c>
      <c r="F395" t="str">
        <f>VLOOKUP(A395,[1]Cleaned!$A:$J,6,0)</f>
        <v>Ahmedabad</v>
      </c>
      <c r="G395">
        <f>VLOOKUP(A395,[1]Cleaned!$A:$J,9,0)</f>
        <v>32327.47</v>
      </c>
    </row>
    <row r="396" spans="1:7" x14ac:dyDescent="0.3">
      <c r="A396">
        <v>2394</v>
      </c>
      <c r="B396" s="1" t="str">
        <f>VLOOKUP(A396,[1]Cleaned!$A:$J,2,0)</f>
        <v>Balaji N</v>
      </c>
      <c r="C396" t="str">
        <f>VLOOKUP(A396,[1]Cleaned!$A:$J,3,0)</f>
        <v>T-Shirts</v>
      </c>
      <c r="D396" s="2" t="str">
        <f>TEXT(VLOOKUP(A396,[1]Cleaned!$A:$J,4,0),"DD-MMM-YYYY")</f>
        <v>29-Sep-2022</v>
      </c>
      <c r="E396" s="3" t="str">
        <f>TEXT(VLOOKUP(A396,[1]Cleaned!$A:$J,5,0),"DD-MMM-YYYY")</f>
        <v>04-Oct-2022</v>
      </c>
      <c r="F396" t="str">
        <f>VLOOKUP(A396,[1]Cleaned!$A:$J,6,0)</f>
        <v>Mumbai</v>
      </c>
      <c r="G396">
        <f>VLOOKUP(A396,[1]Cleaned!$A:$J,9,0)</f>
        <v>25163.16</v>
      </c>
    </row>
    <row r="397" spans="1:7" x14ac:dyDescent="0.3">
      <c r="A397">
        <v>2395</v>
      </c>
      <c r="B397" s="1" t="str">
        <f>VLOOKUP(A397,[1]Cleaned!$A:$J,2,0)</f>
        <v>Kavitha S</v>
      </c>
      <c r="C397" t="str">
        <f>VLOOKUP(A397,[1]Cleaned!$A:$J,3,0)</f>
        <v>T-Shirts</v>
      </c>
      <c r="D397" s="2" t="str">
        <f>TEXT(VLOOKUP(A397,[1]Cleaned!$A:$J,4,0),"DD-MMM-YYYY")</f>
        <v>05-Jul-2023</v>
      </c>
      <c r="E397" s="3" t="str">
        <f>TEXT(VLOOKUP(A397,[1]Cleaned!$A:$J,5,0),"DD-MMM-YYYY")</f>
        <v>17-Jul-2023</v>
      </c>
      <c r="F397" t="str">
        <f>VLOOKUP(A397,[1]Cleaned!$A:$J,6,0)</f>
        <v>Bangalore</v>
      </c>
      <c r="G397">
        <f>VLOOKUP(A397,[1]Cleaned!$A:$J,9,0)</f>
        <v>16970.52</v>
      </c>
    </row>
    <row r="398" spans="1:7" x14ac:dyDescent="0.3">
      <c r="A398">
        <v>2396</v>
      </c>
      <c r="B398" s="1" t="str">
        <f>VLOOKUP(A398,[1]Cleaned!$A:$J,2,0)</f>
        <v>Vijay K</v>
      </c>
      <c r="C398" t="str">
        <f>VLOOKUP(A398,[1]Cleaned!$A:$J,3,0)</f>
        <v>Shoes</v>
      </c>
      <c r="D398" s="2" t="str">
        <f>TEXT(VLOOKUP(A398,[1]Cleaned!$A:$J,4,0),"DD-MMM-YYYY")</f>
        <v>24-Jul-2023</v>
      </c>
      <c r="E398" s="3" t="str">
        <f>TEXT(VLOOKUP(A398,[1]Cleaned!$A:$J,5,0),"DD-MMM-YYYY")</f>
        <v>06-Aug-2023</v>
      </c>
      <c r="F398" t="str">
        <f>VLOOKUP(A398,[1]Cleaned!$A:$J,6,0)</f>
        <v>Delhi</v>
      </c>
      <c r="G398">
        <f>VLOOKUP(A398,[1]Cleaned!$A:$J,9,0)</f>
        <v>38129.519999999997</v>
      </c>
    </row>
    <row r="399" spans="1:7" x14ac:dyDescent="0.3">
      <c r="A399">
        <v>2397</v>
      </c>
      <c r="B399" s="1" t="str">
        <f>VLOOKUP(A399,[1]Cleaned!$A:$J,2,0)</f>
        <v>Manoj K</v>
      </c>
      <c r="C399" t="str">
        <f>VLOOKUP(A399,[1]Cleaned!$A:$J,3,0)</f>
        <v>Jeans</v>
      </c>
      <c r="D399" s="2" t="str">
        <f>TEXT(VLOOKUP(A399,[1]Cleaned!$A:$J,4,0),"DD-MMM-YYYY")</f>
        <v>10-Jul-2022</v>
      </c>
      <c r="E399" s="3" t="str">
        <f>TEXT(VLOOKUP(A399,[1]Cleaned!$A:$J,5,0),"DD-MMM-YYYY")</f>
        <v>23-Jul-2022</v>
      </c>
      <c r="F399" t="str">
        <f>VLOOKUP(A399,[1]Cleaned!$A:$J,6,0)</f>
        <v>Bangalore</v>
      </c>
      <c r="G399">
        <f>VLOOKUP(A399,[1]Cleaned!$A:$J,9,0)</f>
        <v>25773</v>
      </c>
    </row>
    <row r="400" spans="1:7" x14ac:dyDescent="0.3">
      <c r="A400">
        <v>2398</v>
      </c>
      <c r="B400" s="1" t="str">
        <f>VLOOKUP(A400,[1]Cleaned!$A:$J,2,0)</f>
        <v>Meena Iyer</v>
      </c>
      <c r="C400" t="str">
        <f>VLOOKUP(A400,[1]Cleaned!$A:$J,3,0)</f>
        <v>Jackets</v>
      </c>
      <c r="D400" s="2" t="str">
        <f>TEXT(VLOOKUP(A400,[1]Cleaned!$A:$J,4,0),"DD-MMM-YYYY")</f>
        <v>10-Mar-2023</v>
      </c>
      <c r="E400" s="3" t="str">
        <f>TEXT(VLOOKUP(A400,[1]Cleaned!$A:$J,5,0),"DD-MMM-YYYY")</f>
        <v>19-Mar-2023</v>
      </c>
      <c r="F400" t="str">
        <f>VLOOKUP(A400,[1]Cleaned!$A:$J,6,0)</f>
        <v>Delhi</v>
      </c>
      <c r="G400">
        <f>VLOOKUP(A400,[1]Cleaned!$A:$J,9,0)</f>
        <v>25159.32</v>
      </c>
    </row>
    <row r="401" spans="1:7" x14ac:dyDescent="0.3">
      <c r="A401">
        <v>2399</v>
      </c>
      <c r="B401" s="1" t="str">
        <f>VLOOKUP(A401,[1]Cleaned!$A:$J,2,0)</f>
        <v>Nithya R</v>
      </c>
      <c r="C401" t="str">
        <f>VLOOKUP(A401,[1]Cleaned!$A:$J,3,0)</f>
        <v>Shoes</v>
      </c>
      <c r="D401" s="2" t="str">
        <f>TEXT(VLOOKUP(A401,[1]Cleaned!$A:$J,4,0),"DD-MMM-YYYY")</f>
        <v>25-Sep-2022</v>
      </c>
      <c r="E401" s="3" t="str">
        <f>TEXT(VLOOKUP(A401,[1]Cleaned!$A:$J,5,0),"DD-MMM-YYYY")</f>
        <v>06-Oct-2022</v>
      </c>
      <c r="F401" t="str">
        <f>VLOOKUP(A401,[1]Cleaned!$A:$J,6,0)</f>
        <v>Ahmedabad</v>
      </c>
      <c r="G401">
        <f>VLOOKUP(A401,[1]Cleaned!$A:$J,9,0)</f>
        <v>32040.240000000002</v>
      </c>
    </row>
    <row r="402" spans="1:7" x14ac:dyDescent="0.3">
      <c r="A402">
        <v>2400</v>
      </c>
      <c r="B402" s="1" t="str">
        <f>VLOOKUP(A402,[1]Cleaned!$A:$J,2,0)</f>
        <v>Karthik Vel</v>
      </c>
      <c r="C402" t="str">
        <f>VLOOKUP(A402,[1]Cleaned!$A:$J,3,0)</f>
        <v>Jeans</v>
      </c>
      <c r="D402" s="2" t="str">
        <f>TEXT(VLOOKUP(A402,[1]Cleaned!$A:$J,4,0),"DD-MMM-YYYY")</f>
        <v>30-Jul-2024</v>
      </c>
      <c r="E402" s="3" t="str">
        <f>TEXT(VLOOKUP(A402,[1]Cleaned!$A:$J,5,0),"DD-MMM-YYYY")</f>
        <v>01-Aug-2024</v>
      </c>
      <c r="F402" t="str">
        <f>VLOOKUP(A402,[1]Cleaned!$A:$J,6,0)</f>
        <v>Chennai</v>
      </c>
      <c r="G402">
        <f>VLOOKUP(A402,[1]Cleaned!$A:$J,9,0)</f>
        <v>7122.12</v>
      </c>
    </row>
    <row r="403" spans="1:7" x14ac:dyDescent="0.3">
      <c r="A403">
        <v>2401</v>
      </c>
      <c r="B403" s="1" t="str">
        <f>VLOOKUP(A403,[1]Cleaned!$A:$J,2,0)</f>
        <v>Pooja M</v>
      </c>
      <c r="C403" t="str">
        <f>VLOOKUP(A403,[1]Cleaned!$A:$J,3,0)</f>
        <v>T-Shirts</v>
      </c>
      <c r="D403" s="2" t="str">
        <f>TEXT(VLOOKUP(A403,[1]Cleaned!$A:$J,4,0),"DD-MMM-YYYY")</f>
        <v>28-Sep-2022</v>
      </c>
      <c r="E403" s="3" t="str">
        <f>TEXT(VLOOKUP(A403,[1]Cleaned!$A:$J,5,0),"DD-MMM-YYYY")</f>
        <v>10-Oct-2022</v>
      </c>
      <c r="F403" t="str">
        <f>VLOOKUP(A403,[1]Cleaned!$A:$J,6,0)</f>
        <v>Delhi</v>
      </c>
      <c r="G403">
        <f>VLOOKUP(A403,[1]Cleaned!$A:$J,9,0)</f>
        <v>13229.37</v>
      </c>
    </row>
    <row r="404" spans="1:7" x14ac:dyDescent="0.3">
      <c r="A404">
        <v>2402</v>
      </c>
      <c r="B404" s="1" t="str">
        <f>VLOOKUP(A404,[1]Cleaned!$A:$J,2,0)</f>
        <v>Priya Nair</v>
      </c>
      <c r="C404" t="str">
        <f>VLOOKUP(A404,[1]Cleaned!$A:$J,3,0)</f>
        <v>Accessories</v>
      </c>
      <c r="D404" s="2" t="str">
        <f>TEXT(VLOOKUP(A404,[1]Cleaned!$A:$J,4,0),"DD-MMM-YYYY")</f>
        <v>09-Jan-2024</v>
      </c>
      <c r="E404" s="3" t="str">
        <f>TEXT(VLOOKUP(A404,[1]Cleaned!$A:$J,5,0),"DD-MMM-YYYY")</f>
        <v>15-Jan-2024</v>
      </c>
      <c r="F404" t="str">
        <f>VLOOKUP(A404,[1]Cleaned!$A:$J,6,0)</f>
        <v>Chennai</v>
      </c>
      <c r="G404">
        <f>VLOOKUP(A404,[1]Cleaned!$A:$J,9,0)</f>
        <v>20539.14</v>
      </c>
    </row>
    <row r="405" spans="1:7" x14ac:dyDescent="0.3">
      <c r="A405">
        <v>2403</v>
      </c>
      <c r="B405" s="1" t="str">
        <f>VLOOKUP(A405,[1]Cleaned!$A:$J,2,0)</f>
        <v>Karthik Vel</v>
      </c>
      <c r="C405" t="str">
        <f>VLOOKUP(A405,[1]Cleaned!$A:$J,3,0)</f>
        <v>Jackets</v>
      </c>
      <c r="D405" s="2" t="str">
        <f>TEXT(VLOOKUP(A405,[1]Cleaned!$A:$J,4,0),"DD-MMM-YYYY")</f>
        <v>18-Sep-2023</v>
      </c>
      <c r="E405" s="3" t="str">
        <f>TEXT(VLOOKUP(A405,[1]Cleaned!$A:$J,5,0),"DD-MMM-YYYY")</f>
        <v>01-Oct-2023</v>
      </c>
      <c r="F405" t="str">
        <f>VLOOKUP(A405,[1]Cleaned!$A:$J,6,0)</f>
        <v>Pune</v>
      </c>
      <c r="G405">
        <f>VLOOKUP(A405,[1]Cleaned!$A:$J,9,0)</f>
        <v>9269.56</v>
      </c>
    </row>
    <row r="406" spans="1:7" x14ac:dyDescent="0.3">
      <c r="A406">
        <v>2404</v>
      </c>
      <c r="B406" s="1" t="str">
        <f>VLOOKUP(A406,[1]Cleaned!$A:$J,2,0)</f>
        <v>Ganesh R</v>
      </c>
      <c r="C406" t="str">
        <f>VLOOKUP(A406,[1]Cleaned!$A:$J,3,0)</f>
        <v>Jeans</v>
      </c>
      <c r="D406" s="2" t="str">
        <f>TEXT(VLOOKUP(A406,[1]Cleaned!$A:$J,4,0),"DD-MMM-YYYY")</f>
        <v>03-Jan-2022</v>
      </c>
      <c r="E406" s="3" t="str">
        <f>TEXT(VLOOKUP(A406,[1]Cleaned!$A:$J,5,0),"DD-MMM-YYYY")</f>
        <v>08-Jan-2022</v>
      </c>
      <c r="F406" t="str">
        <f>VLOOKUP(A406,[1]Cleaned!$A:$J,6,0)</f>
        <v>Bangalore</v>
      </c>
      <c r="G406">
        <f>VLOOKUP(A406,[1]Cleaned!$A:$J,9,0)</f>
        <v>1847.38</v>
      </c>
    </row>
    <row r="407" spans="1:7" x14ac:dyDescent="0.3">
      <c r="A407">
        <v>2405</v>
      </c>
      <c r="B407" s="1" t="str">
        <f>VLOOKUP(A407,[1]Cleaned!$A:$J,2,0)</f>
        <v>Santhosh P</v>
      </c>
      <c r="C407" t="str">
        <f>VLOOKUP(A407,[1]Cleaned!$A:$J,3,0)</f>
        <v>Accessories</v>
      </c>
      <c r="D407" s="2" t="str">
        <f>TEXT(VLOOKUP(A407,[1]Cleaned!$A:$J,4,0),"DD-MMM-YYYY")</f>
        <v>30-Jun-2024</v>
      </c>
      <c r="E407" s="3" t="str">
        <f>TEXT(VLOOKUP(A407,[1]Cleaned!$A:$J,5,0),"DD-MMM-YYYY")</f>
        <v>02-Jul-2024</v>
      </c>
      <c r="F407" t="str">
        <f>VLOOKUP(A407,[1]Cleaned!$A:$J,6,0)</f>
        <v>Chennai</v>
      </c>
      <c r="G407">
        <f>VLOOKUP(A407,[1]Cleaned!$A:$J,9,0)</f>
        <v>24842.46</v>
      </c>
    </row>
    <row r="408" spans="1:7" x14ac:dyDescent="0.3">
      <c r="A408">
        <v>2406</v>
      </c>
      <c r="B408" s="1" t="str">
        <f>VLOOKUP(A408,[1]Cleaned!$A:$J,2,0)</f>
        <v>Ganesh R</v>
      </c>
      <c r="C408" t="str">
        <f>VLOOKUP(A408,[1]Cleaned!$A:$J,3,0)</f>
        <v>T-Shirts</v>
      </c>
      <c r="D408" s="2" t="str">
        <f>TEXT(VLOOKUP(A408,[1]Cleaned!$A:$J,4,0),"DD-MMM-YYYY")</f>
        <v>05-Sep-2024</v>
      </c>
      <c r="E408" s="3" t="str">
        <f>TEXT(VLOOKUP(A408,[1]Cleaned!$A:$J,5,0),"DD-MMM-YYYY")</f>
        <v>08-Sep-2024</v>
      </c>
      <c r="F408" t="str">
        <f>VLOOKUP(A408,[1]Cleaned!$A:$J,6,0)</f>
        <v>Mumbai</v>
      </c>
      <c r="G408">
        <f>VLOOKUP(A408,[1]Cleaned!$A:$J,9,0)</f>
        <v>5039.0200000000004</v>
      </c>
    </row>
    <row r="409" spans="1:7" x14ac:dyDescent="0.3">
      <c r="A409">
        <v>2407</v>
      </c>
      <c r="B409" s="1" t="str">
        <f>VLOOKUP(A409,[1]Cleaned!$A:$J,2,0)</f>
        <v>Suresh M</v>
      </c>
      <c r="C409" t="str">
        <f>VLOOKUP(A409,[1]Cleaned!$A:$J,3,0)</f>
        <v>Dresses</v>
      </c>
      <c r="D409" s="2" t="str">
        <f>TEXT(VLOOKUP(A409,[1]Cleaned!$A:$J,4,0),"DD-MMM-YYYY")</f>
        <v>23-Jan-2024</v>
      </c>
      <c r="E409" s="3" t="str">
        <f>TEXT(VLOOKUP(A409,[1]Cleaned!$A:$J,5,0),"DD-MMM-YYYY")</f>
        <v>29-Jan-2024</v>
      </c>
      <c r="F409" t="str">
        <f>VLOOKUP(A409,[1]Cleaned!$A:$J,6,0)</f>
        <v>Mumbai</v>
      </c>
      <c r="G409">
        <f>VLOOKUP(A409,[1]Cleaned!$A:$J,9,0)</f>
        <v>27546.82</v>
      </c>
    </row>
    <row r="410" spans="1:7" x14ac:dyDescent="0.3">
      <c r="A410">
        <v>2408</v>
      </c>
      <c r="B410" s="1" t="str">
        <f>VLOOKUP(A410,[1]Cleaned!$A:$J,2,0)</f>
        <v>Balaji N</v>
      </c>
      <c r="C410" t="str">
        <f>VLOOKUP(A410,[1]Cleaned!$A:$J,3,0)</f>
        <v>Accessories</v>
      </c>
      <c r="D410" s="2" t="str">
        <f>TEXT(VLOOKUP(A410,[1]Cleaned!$A:$J,4,0),"DD-MMM-YYYY")</f>
        <v>20-Oct-2022</v>
      </c>
      <c r="E410" s="3" t="str">
        <f>TEXT(VLOOKUP(A410,[1]Cleaned!$A:$J,5,0),"DD-MMM-YYYY")</f>
        <v>23-Oct-2022</v>
      </c>
      <c r="F410" t="str">
        <f>VLOOKUP(A410,[1]Cleaned!$A:$J,6,0)</f>
        <v>Hyderabad</v>
      </c>
      <c r="G410">
        <f>VLOOKUP(A410,[1]Cleaned!$A:$J,9,0)</f>
        <v>3168.5</v>
      </c>
    </row>
    <row r="411" spans="1:7" x14ac:dyDescent="0.3">
      <c r="A411">
        <v>2409</v>
      </c>
      <c r="B411" s="1" t="str">
        <f>VLOOKUP(A411,[1]Cleaned!$A:$J,2,0)</f>
        <v>Rahul G</v>
      </c>
      <c r="C411" t="str">
        <f>VLOOKUP(A411,[1]Cleaned!$A:$J,3,0)</f>
        <v>Dresses</v>
      </c>
      <c r="D411" s="2" t="str">
        <f>TEXT(VLOOKUP(A411,[1]Cleaned!$A:$J,4,0),"DD-MMM-YYYY")</f>
        <v>13-Mar-2023</v>
      </c>
      <c r="E411" s="3" t="str">
        <f>TEXT(VLOOKUP(A411,[1]Cleaned!$A:$J,5,0),"DD-MMM-YYYY")</f>
        <v>25-Mar-2023</v>
      </c>
      <c r="F411" t="str">
        <f>VLOOKUP(A411,[1]Cleaned!$A:$J,6,0)</f>
        <v>Pune</v>
      </c>
      <c r="G411">
        <f>VLOOKUP(A411,[1]Cleaned!$A:$J,9,0)</f>
        <v>13870.5</v>
      </c>
    </row>
    <row r="412" spans="1:7" x14ac:dyDescent="0.3">
      <c r="A412">
        <v>2410</v>
      </c>
      <c r="B412" s="1" t="str">
        <f>VLOOKUP(A412,[1]Cleaned!$A:$J,2,0)</f>
        <v>Meena Iyer</v>
      </c>
      <c r="C412" t="str">
        <f>VLOOKUP(A412,[1]Cleaned!$A:$J,3,0)</f>
        <v>Jeans</v>
      </c>
      <c r="D412" s="2" t="str">
        <f>TEXT(VLOOKUP(A412,[1]Cleaned!$A:$J,4,0),"DD-MMM-YYYY")</f>
        <v>25-Jul-2022</v>
      </c>
      <c r="E412" s="3" t="str">
        <f>TEXT(VLOOKUP(A412,[1]Cleaned!$A:$J,5,0),"DD-MMM-YYYY")</f>
        <v>29-Jul-2022</v>
      </c>
      <c r="F412" t="str">
        <f>VLOOKUP(A412,[1]Cleaned!$A:$J,6,0)</f>
        <v>Ahmedabad</v>
      </c>
      <c r="G412">
        <f>VLOOKUP(A412,[1]Cleaned!$A:$J,9,0)</f>
        <v>6142</v>
      </c>
    </row>
    <row r="413" spans="1:7" x14ac:dyDescent="0.3">
      <c r="A413">
        <v>2411</v>
      </c>
      <c r="B413" s="1" t="str">
        <f>VLOOKUP(A413,[1]Cleaned!$A:$J,2,0)</f>
        <v>Sneha R</v>
      </c>
      <c r="C413" t="str">
        <f>VLOOKUP(A413,[1]Cleaned!$A:$J,3,0)</f>
        <v>Jackets</v>
      </c>
      <c r="D413" s="2" t="str">
        <f>TEXT(VLOOKUP(A413,[1]Cleaned!$A:$J,4,0),"DD-MMM-YYYY")</f>
        <v>07-Oct-2023</v>
      </c>
      <c r="E413" s="3" t="str">
        <f>TEXT(VLOOKUP(A413,[1]Cleaned!$A:$J,5,0),"DD-MMM-YYYY")</f>
        <v>21-Oct-2023</v>
      </c>
      <c r="F413" t="str">
        <f>VLOOKUP(A413,[1]Cleaned!$A:$J,6,0)</f>
        <v>Mumbai</v>
      </c>
      <c r="G413">
        <f>VLOOKUP(A413,[1]Cleaned!$A:$J,9,0)</f>
        <v>6407</v>
      </c>
    </row>
    <row r="414" spans="1:7" x14ac:dyDescent="0.3">
      <c r="A414">
        <v>2412</v>
      </c>
      <c r="B414" s="1" t="str">
        <f>VLOOKUP(A414,[1]Cleaned!$A:$J,2,0)</f>
        <v>Lakshmi S</v>
      </c>
      <c r="C414" t="str">
        <f>VLOOKUP(A414,[1]Cleaned!$A:$J,3,0)</f>
        <v>Shoes</v>
      </c>
      <c r="D414" s="2" t="str">
        <f>TEXT(VLOOKUP(A414,[1]Cleaned!$A:$J,4,0),"DD-MMM-YYYY")</f>
        <v>07-Aug-2023</v>
      </c>
      <c r="E414" s="3" t="str">
        <f>TEXT(VLOOKUP(A414,[1]Cleaned!$A:$J,5,0),"DD-MMM-YYYY")</f>
        <v>21-Aug-2023</v>
      </c>
      <c r="F414" t="str">
        <f>VLOOKUP(A414,[1]Cleaned!$A:$J,6,0)</f>
        <v>Pune</v>
      </c>
      <c r="G414">
        <f>VLOOKUP(A414,[1]Cleaned!$A:$J,9,0)</f>
        <v>4285.09</v>
      </c>
    </row>
    <row r="415" spans="1:7" x14ac:dyDescent="0.3">
      <c r="A415">
        <v>2413</v>
      </c>
      <c r="B415" s="1" t="str">
        <f>VLOOKUP(A415,[1]Cleaned!$A:$J,2,0)</f>
        <v>Meena Iyer</v>
      </c>
      <c r="C415" t="str">
        <f>VLOOKUP(A415,[1]Cleaned!$A:$J,3,0)</f>
        <v>Shoes</v>
      </c>
      <c r="D415" s="2" t="str">
        <f>TEXT(VLOOKUP(A415,[1]Cleaned!$A:$J,4,0),"DD-MMM-YYYY")</f>
        <v>09-Nov-2024</v>
      </c>
      <c r="E415" s="3" t="str">
        <f>TEXT(VLOOKUP(A415,[1]Cleaned!$A:$J,5,0),"DD-MMM-YYYY")</f>
        <v>14-Nov-2024</v>
      </c>
      <c r="F415" t="str">
        <f>VLOOKUP(A415,[1]Cleaned!$A:$J,6,0)</f>
        <v>Pune</v>
      </c>
      <c r="G415">
        <f>VLOOKUP(A415,[1]Cleaned!$A:$J,9,0)</f>
        <v>11823.35</v>
      </c>
    </row>
    <row r="416" spans="1:7" x14ac:dyDescent="0.3">
      <c r="A416">
        <v>2414</v>
      </c>
      <c r="B416" s="1" t="str">
        <f>VLOOKUP(A416,[1]Cleaned!$A:$J,2,0)</f>
        <v>Lakshmi S</v>
      </c>
      <c r="C416" t="str">
        <f>VLOOKUP(A416,[1]Cleaned!$A:$J,3,0)</f>
        <v>Jackets</v>
      </c>
      <c r="D416" s="2" t="str">
        <f>TEXT(VLOOKUP(A416,[1]Cleaned!$A:$J,4,0),"DD-MMM-YYYY")</f>
        <v>01-Mar-2024</v>
      </c>
      <c r="E416" s="3" t="str">
        <f>TEXT(VLOOKUP(A416,[1]Cleaned!$A:$J,5,0),"DD-MMM-YYYY")</f>
        <v>04-Mar-2024</v>
      </c>
      <c r="F416" t="str">
        <f>VLOOKUP(A416,[1]Cleaned!$A:$J,6,0)</f>
        <v>Mumbai</v>
      </c>
      <c r="G416">
        <f>VLOOKUP(A416,[1]Cleaned!$A:$J,9,0)</f>
        <v>26391.919999999998</v>
      </c>
    </row>
    <row r="417" spans="1:7" x14ac:dyDescent="0.3">
      <c r="A417">
        <v>2415</v>
      </c>
      <c r="B417" s="1" t="str">
        <f>VLOOKUP(A417,[1]Cleaned!$A:$J,2,0)</f>
        <v>Santhosh P</v>
      </c>
      <c r="C417" t="str">
        <f>VLOOKUP(A417,[1]Cleaned!$A:$J,3,0)</f>
        <v>Jeans</v>
      </c>
      <c r="D417" s="2" t="str">
        <f>TEXT(VLOOKUP(A417,[1]Cleaned!$A:$J,4,0),"DD-MMM-YYYY")</f>
        <v>10-Jan-2024</v>
      </c>
      <c r="E417" s="3" t="str">
        <f>TEXT(VLOOKUP(A417,[1]Cleaned!$A:$J,5,0),"DD-MMM-YYYY")</f>
        <v>17-Jan-2024</v>
      </c>
      <c r="F417" t="str">
        <f>VLOOKUP(A417,[1]Cleaned!$A:$J,6,0)</f>
        <v>Mumbai</v>
      </c>
      <c r="G417">
        <f>VLOOKUP(A417,[1]Cleaned!$A:$J,9,0)</f>
        <v>30420.81</v>
      </c>
    </row>
    <row r="418" spans="1:7" x14ac:dyDescent="0.3">
      <c r="A418">
        <v>2416</v>
      </c>
      <c r="B418" s="1" t="str">
        <f>VLOOKUP(A418,[1]Cleaned!$A:$J,2,0)</f>
        <v>Sneha R</v>
      </c>
      <c r="C418" t="str">
        <f>VLOOKUP(A418,[1]Cleaned!$A:$J,3,0)</f>
        <v>Shoes</v>
      </c>
      <c r="D418" s="2" t="str">
        <f>TEXT(VLOOKUP(A418,[1]Cleaned!$A:$J,4,0),"DD-MMM-YYYY")</f>
        <v>20-Dec-2022</v>
      </c>
      <c r="E418" s="3" t="str">
        <f>TEXT(VLOOKUP(A418,[1]Cleaned!$A:$J,5,0),"DD-MMM-YYYY")</f>
        <v>03-Jan-2023</v>
      </c>
      <c r="F418" t="str">
        <f>VLOOKUP(A418,[1]Cleaned!$A:$J,6,0)</f>
        <v>Bangalore</v>
      </c>
      <c r="G418">
        <f>VLOOKUP(A418,[1]Cleaned!$A:$J,9,0)</f>
        <v>756.88</v>
      </c>
    </row>
    <row r="419" spans="1:7" x14ac:dyDescent="0.3">
      <c r="A419">
        <v>2417</v>
      </c>
      <c r="B419" s="1" t="str">
        <f>VLOOKUP(A419,[1]Cleaned!$A:$J,2,0)</f>
        <v>Anitha Raj</v>
      </c>
      <c r="C419" t="str">
        <f>VLOOKUP(A419,[1]Cleaned!$A:$J,3,0)</f>
        <v>Dresses</v>
      </c>
      <c r="D419" s="2" t="str">
        <f>TEXT(VLOOKUP(A419,[1]Cleaned!$A:$J,4,0),"DD-MMM-YYYY")</f>
        <v>18-Mar-2023</v>
      </c>
      <c r="E419" s="3" t="str">
        <f>TEXT(VLOOKUP(A419,[1]Cleaned!$A:$J,5,0),"DD-MMM-YYYY")</f>
        <v>20-Mar-2023</v>
      </c>
      <c r="F419" t="str">
        <f>VLOOKUP(A419,[1]Cleaned!$A:$J,6,0)</f>
        <v>Chennai</v>
      </c>
      <c r="G419">
        <f>VLOOKUP(A419,[1]Cleaned!$A:$J,9,0)</f>
        <v>18767.490000000002</v>
      </c>
    </row>
    <row r="420" spans="1:7" x14ac:dyDescent="0.3">
      <c r="A420">
        <v>2418</v>
      </c>
      <c r="B420" s="1" t="str">
        <f>VLOOKUP(A420,[1]Cleaned!$A:$J,2,0)</f>
        <v>Pooja M</v>
      </c>
      <c r="C420" t="str">
        <f>VLOOKUP(A420,[1]Cleaned!$A:$J,3,0)</f>
        <v>Accessories</v>
      </c>
      <c r="D420" s="2" t="str">
        <f>TEXT(VLOOKUP(A420,[1]Cleaned!$A:$J,4,0),"DD-MMM-YYYY")</f>
        <v>03-Apr-2024</v>
      </c>
      <c r="E420" s="3" t="str">
        <f>TEXT(VLOOKUP(A420,[1]Cleaned!$A:$J,5,0),"DD-MMM-YYYY")</f>
        <v>06-Apr-2024</v>
      </c>
      <c r="F420" t="str">
        <f>VLOOKUP(A420,[1]Cleaned!$A:$J,6,0)</f>
        <v>Pune</v>
      </c>
      <c r="G420">
        <f>VLOOKUP(A420,[1]Cleaned!$A:$J,9,0)</f>
        <v>4812.3</v>
      </c>
    </row>
    <row r="421" spans="1:7" x14ac:dyDescent="0.3">
      <c r="A421">
        <v>2419</v>
      </c>
      <c r="B421" s="1" t="str">
        <f>VLOOKUP(A421,[1]Cleaned!$A:$J,2,0)</f>
        <v>Priya Nair</v>
      </c>
      <c r="C421" t="str">
        <f>VLOOKUP(A421,[1]Cleaned!$A:$J,3,0)</f>
        <v>Shoes</v>
      </c>
      <c r="D421" s="2" t="str">
        <f>TEXT(VLOOKUP(A421,[1]Cleaned!$A:$J,4,0),"DD-MMM-YYYY")</f>
        <v>21-Feb-2023</v>
      </c>
      <c r="E421" s="3" t="str">
        <f>TEXT(VLOOKUP(A421,[1]Cleaned!$A:$J,5,0),"DD-MMM-YYYY")</f>
        <v>07-Mar-2023</v>
      </c>
      <c r="F421" t="str">
        <f>VLOOKUP(A421,[1]Cleaned!$A:$J,6,0)</f>
        <v>Mumbai</v>
      </c>
      <c r="G421">
        <f>VLOOKUP(A421,[1]Cleaned!$A:$J,9,0)</f>
        <v>12818.64</v>
      </c>
    </row>
    <row r="422" spans="1:7" x14ac:dyDescent="0.3">
      <c r="A422">
        <v>2420</v>
      </c>
      <c r="B422" s="1" t="str">
        <f>VLOOKUP(A422,[1]Cleaned!$A:$J,2,0)</f>
        <v>Divya T</v>
      </c>
      <c r="C422" t="str">
        <f>VLOOKUP(A422,[1]Cleaned!$A:$J,3,0)</f>
        <v>Accessories</v>
      </c>
      <c r="D422" s="2" t="str">
        <f>TEXT(VLOOKUP(A422,[1]Cleaned!$A:$J,4,0),"DD-MMM-YYYY")</f>
        <v>14-Jun-2024</v>
      </c>
      <c r="E422" s="3" t="str">
        <f>TEXT(VLOOKUP(A422,[1]Cleaned!$A:$J,5,0),"DD-MMM-YYYY")</f>
        <v>27-Jun-2024</v>
      </c>
      <c r="F422" t="str">
        <f>VLOOKUP(A422,[1]Cleaned!$A:$J,6,0)</f>
        <v>Ahmedabad</v>
      </c>
      <c r="G422">
        <f>VLOOKUP(A422,[1]Cleaned!$A:$J,9,0)</f>
        <v>2288.64</v>
      </c>
    </row>
    <row r="423" spans="1:7" x14ac:dyDescent="0.3">
      <c r="A423">
        <v>2421</v>
      </c>
      <c r="B423" s="1" t="str">
        <f>VLOOKUP(A423,[1]Cleaned!$A:$J,2,0)</f>
        <v>Pooja M</v>
      </c>
      <c r="C423" t="str">
        <f>VLOOKUP(A423,[1]Cleaned!$A:$J,3,0)</f>
        <v>Jeans</v>
      </c>
      <c r="D423" s="2" t="str">
        <f>TEXT(VLOOKUP(A423,[1]Cleaned!$A:$J,4,0),"DD-MMM-YYYY")</f>
        <v>17-Jul-2024</v>
      </c>
      <c r="E423" s="3" t="str">
        <f>TEXT(VLOOKUP(A423,[1]Cleaned!$A:$J,5,0),"DD-MMM-YYYY")</f>
        <v>28-Jul-2024</v>
      </c>
      <c r="F423" t="str">
        <f>VLOOKUP(A423,[1]Cleaned!$A:$J,6,0)</f>
        <v>Hyderabad</v>
      </c>
      <c r="G423">
        <f>VLOOKUP(A423,[1]Cleaned!$A:$J,9,0)</f>
        <v>1753.66</v>
      </c>
    </row>
    <row r="424" spans="1:7" x14ac:dyDescent="0.3">
      <c r="A424">
        <v>2422</v>
      </c>
      <c r="B424" s="1" t="str">
        <f>VLOOKUP(A424,[1]Cleaned!$A:$J,2,0)</f>
        <v>Suresh M</v>
      </c>
      <c r="C424" t="str">
        <f>VLOOKUP(A424,[1]Cleaned!$A:$J,3,0)</f>
        <v>Jeans</v>
      </c>
      <c r="D424" s="2" t="str">
        <f>TEXT(VLOOKUP(A424,[1]Cleaned!$A:$J,4,0),"DD-MMM-YYYY")</f>
        <v>09-Oct-2022</v>
      </c>
      <c r="E424" s="3" t="str">
        <f>TEXT(VLOOKUP(A424,[1]Cleaned!$A:$J,5,0),"DD-MMM-YYYY")</f>
        <v>22-Oct-2022</v>
      </c>
      <c r="F424" t="str">
        <f>VLOOKUP(A424,[1]Cleaned!$A:$J,6,0)</f>
        <v>Chennai</v>
      </c>
      <c r="G424">
        <f>VLOOKUP(A424,[1]Cleaned!$A:$J,9,0)</f>
        <v>7899.42</v>
      </c>
    </row>
    <row r="425" spans="1:7" x14ac:dyDescent="0.3">
      <c r="A425">
        <v>2423</v>
      </c>
      <c r="B425" s="1" t="str">
        <f>VLOOKUP(A425,[1]Cleaned!$A:$J,2,0)</f>
        <v>Santhosh P</v>
      </c>
      <c r="C425" t="str">
        <f>VLOOKUP(A425,[1]Cleaned!$A:$J,3,0)</f>
        <v>Shoes</v>
      </c>
      <c r="D425" s="2" t="str">
        <f>TEXT(VLOOKUP(A425,[1]Cleaned!$A:$J,4,0),"DD-MMM-YYYY")</f>
        <v>15-Jun-2023</v>
      </c>
      <c r="E425" s="3" t="str">
        <f>TEXT(VLOOKUP(A425,[1]Cleaned!$A:$J,5,0),"DD-MMM-YYYY")</f>
        <v>19-Jun-2023</v>
      </c>
      <c r="F425" t="str">
        <f>VLOOKUP(A425,[1]Cleaned!$A:$J,6,0)</f>
        <v>Delhi</v>
      </c>
      <c r="G425">
        <f>VLOOKUP(A425,[1]Cleaned!$A:$J,9,0)</f>
        <v>11471.85</v>
      </c>
    </row>
    <row r="426" spans="1:7" x14ac:dyDescent="0.3">
      <c r="A426">
        <v>2424</v>
      </c>
      <c r="B426" s="1" t="str">
        <f>VLOOKUP(A426,[1]Cleaned!$A:$J,2,0)</f>
        <v>Uma S</v>
      </c>
      <c r="C426" t="str">
        <f>VLOOKUP(A426,[1]Cleaned!$A:$J,3,0)</f>
        <v>Jeans</v>
      </c>
      <c r="D426" s="2" t="str">
        <f>TEXT(VLOOKUP(A426,[1]Cleaned!$A:$J,4,0),"DD-MMM-YYYY")</f>
        <v>02-Mar-2022</v>
      </c>
      <c r="E426" s="3" t="str">
        <f>TEXT(VLOOKUP(A426,[1]Cleaned!$A:$J,5,0),"DD-MMM-YYYY")</f>
        <v>09-Mar-2022</v>
      </c>
      <c r="F426" t="str">
        <f>VLOOKUP(A426,[1]Cleaned!$A:$J,6,0)</f>
        <v>Ahmedabad</v>
      </c>
      <c r="G426">
        <f>VLOOKUP(A426,[1]Cleaned!$A:$J,9,0)</f>
        <v>11048.17</v>
      </c>
    </row>
    <row r="427" spans="1:7" x14ac:dyDescent="0.3">
      <c r="A427">
        <v>2425</v>
      </c>
      <c r="B427" s="1" t="str">
        <f>VLOOKUP(A427,[1]Cleaned!$A:$J,2,0)</f>
        <v>Ravi Kumar</v>
      </c>
      <c r="C427" t="str">
        <f>VLOOKUP(A427,[1]Cleaned!$A:$J,3,0)</f>
        <v>Accessories</v>
      </c>
      <c r="D427" s="2" t="str">
        <f>TEXT(VLOOKUP(A427,[1]Cleaned!$A:$J,4,0),"DD-MMM-YYYY")</f>
        <v>07-Jun-2022</v>
      </c>
      <c r="E427" s="3" t="str">
        <f>TEXT(VLOOKUP(A427,[1]Cleaned!$A:$J,5,0),"DD-MMM-YYYY")</f>
        <v>16-Jun-2022</v>
      </c>
      <c r="F427" t="str">
        <f>VLOOKUP(A427,[1]Cleaned!$A:$J,6,0)</f>
        <v>Bangalore</v>
      </c>
      <c r="G427">
        <f>VLOOKUP(A427,[1]Cleaned!$A:$J,9,0)</f>
        <v>3363.36</v>
      </c>
    </row>
    <row r="428" spans="1:7" x14ac:dyDescent="0.3">
      <c r="A428">
        <v>2426</v>
      </c>
      <c r="B428" s="1" t="str">
        <f>VLOOKUP(A428,[1]Cleaned!$A:$J,2,0)</f>
        <v>Sneha R</v>
      </c>
      <c r="C428" t="str">
        <f>VLOOKUP(A428,[1]Cleaned!$A:$J,3,0)</f>
        <v>T-Shirts</v>
      </c>
      <c r="D428" s="2" t="str">
        <f>TEXT(VLOOKUP(A428,[1]Cleaned!$A:$J,4,0),"DD-MMM-YYYY")</f>
        <v>07-Jun-2023</v>
      </c>
      <c r="E428" s="3" t="str">
        <f>TEXT(VLOOKUP(A428,[1]Cleaned!$A:$J,5,0),"DD-MMM-YYYY")</f>
        <v>21-Jun-2023</v>
      </c>
      <c r="F428" t="str">
        <f>VLOOKUP(A428,[1]Cleaned!$A:$J,6,0)</f>
        <v>Chennai</v>
      </c>
      <c r="G428">
        <f>VLOOKUP(A428,[1]Cleaned!$A:$J,9,0)</f>
        <v>2747</v>
      </c>
    </row>
    <row r="429" spans="1:7" x14ac:dyDescent="0.3">
      <c r="A429">
        <v>2427</v>
      </c>
      <c r="B429" s="1" t="str">
        <f>VLOOKUP(A429,[1]Cleaned!$A:$J,2,0)</f>
        <v>Karthik Vel</v>
      </c>
      <c r="C429" t="str">
        <f>VLOOKUP(A429,[1]Cleaned!$A:$J,3,0)</f>
        <v>Jeans</v>
      </c>
      <c r="D429" s="2" t="str">
        <f>TEXT(VLOOKUP(A429,[1]Cleaned!$A:$J,4,0),"DD-MMM-YYYY")</f>
        <v>16-May-2023</v>
      </c>
      <c r="E429" s="3" t="str">
        <f>TEXT(VLOOKUP(A429,[1]Cleaned!$A:$J,5,0),"DD-MMM-YYYY")</f>
        <v>18-May-2023</v>
      </c>
      <c r="F429" t="str">
        <f>VLOOKUP(A429,[1]Cleaned!$A:$J,6,0)</f>
        <v>Bangalore</v>
      </c>
      <c r="G429">
        <f>VLOOKUP(A429,[1]Cleaned!$A:$J,9,0)</f>
        <v>12600</v>
      </c>
    </row>
    <row r="430" spans="1:7" x14ac:dyDescent="0.3">
      <c r="A430">
        <v>2428</v>
      </c>
      <c r="B430" s="1" t="str">
        <f>VLOOKUP(A430,[1]Cleaned!$A:$J,2,0)</f>
        <v>Arjun Reddy</v>
      </c>
      <c r="C430" t="str">
        <f>VLOOKUP(A430,[1]Cleaned!$A:$J,3,0)</f>
        <v>Jeans</v>
      </c>
      <c r="D430" s="2" t="str">
        <f>TEXT(VLOOKUP(A430,[1]Cleaned!$A:$J,4,0),"DD-MMM-YYYY")</f>
        <v>08-May-2024</v>
      </c>
      <c r="E430" s="3" t="str">
        <f>TEXT(VLOOKUP(A430,[1]Cleaned!$A:$J,5,0),"DD-MMM-YYYY")</f>
        <v>13-May-2024</v>
      </c>
      <c r="F430" t="str">
        <f>VLOOKUP(A430,[1]Cleaned!$A:$J,6,0)</f>
        <v>Delhi</v>
      </c>
      <c r="G430">
        <f>VLOOKUP(A430,[1]Cleaned!$A:$J,9,0)</f>
        <v>9025.64</v>
      </c>
    </row>
    <row r="431" spans="1:7" x14ac:dyDescent="0.3">
      <c r="A431">
        <v>2429</v>
      </c>
      <c r="B431" s="1" t="str">
        <f>VLOOKUP(A431,[1]Cleaned!$A:$J,2,0)</f>
        <v>Ravi Kumar</v>
      </c>
      <c r="C431" t="str">
        <f>VLOOKUP(A431,[1]Cleaned!$A:$J,3,0)</f>
        <v>Jeans</v>
      </c>
      <c r="D431" s="2" t="str">
        <f>TEXT(VLOOKUP(A431,[1]Cleaned!$A:$J,4,0),"DD-MMM-YYYY")</f>
        <v>03-Feb-2024</v>
      </c>
      <c r="E431" s="3" t="str">
        <f>TEXT(VLOOKUP(A431,[1]Cleaned!$A:$J,5,0),"DD-MMM-YYYY")</f>
        <v>06-Feb-2024</v>
      </c>
      <c r="F431" t="str">
        <f>VLOOKUP(A431,[1]Cleaned!$A:$J,6,0)</f>
        <v>Hyderabad</v>
      </c>
      <c r="G431">
        <f>VLOOKUP(A431,[1]Cleaned!$A:$J,9,0)</f>
        <v>1142.92</v>
      </c>
    </row>
    <row r="432" spans="1:7" x14ac:dyDescent="0.3">
      <c r="A432">
        <v>2430</v>
      </c>
      <c r="B432" s="1" t="str">
        <f>VLOOKUP(A432,[1]Cleaned!$A:$J,2,0)</f>
        <v>Vijay K</v>
      </c>
      <c r="C432" t="str">
        <f>VLOOKUP(A432,[1]Cleaned!$A:$J,3,0)</f>
        <v>Jeans</v>
      </c>
      <c r="D432" s="2" t="str">
        <f>TEXT(VLOOKUP(A432,[1]Cleaned!$A:$J,4,0),"DD-MMM-YYYY")</f>
        <v>10-Aug-2024</v>
      </c>
      <c r="E432" s="3" t="str">
        <f>TEXT(VLOOKUP(A432,[1]Cleaned!$A:$J,5,0),"DD-MMM-YYYY")</f>
        <v>25-Aug-2024</v>
      </c>
      <c r="F432" t="str">
        <f>VLOOKUP(A432,[1]Cleaned!$A:$J,6,0)</f>
        <v>Delhi</v>
      </c>
      <c r="G432">
        <f>VLOOKUP(A432,[1]Cleaned!$A:$J,9,0)</f>
        <v>9191.5499999999993</v>
      </c>
    </row>
    <row r="433" spans="1:7" x14ac:dyDescent="0.3">
      <c r="A433">
        <v>2431</v>
      </c>
      <c r="B433" s="1" t="str">
        <f>VLOOKUP(A433,[1]Cleaned!$A:$J,2,0)</f>
        <v>Anitha Raj</v>
      </c>
      <c r="C433" t="str">
        <f>VLOOKUP(A433,[1]Cleaned!$A:$J,3,0)</f>
        <v>Dresses</v>
      </c>
      <c r="D433" s="2" t="str">
        <f>TEXT(VLOOKUP(A433,[1]Cleaned!$A:$J,4,0),"DD-MMM-YYYY")</f>
        <v>15-Feb-2023</v>
      </c>
      <c r="E433" s="3" t="str">
        <f>TEXT(VLOOKUP(A433,[1]Cleaned!$A:$J,5,0),"DD-MMM-YYYY")</f>
        <v>21-Feb-2023</v>
      </c>
      <c r="F433" t="str">
        <f>VLOOKUP(A433,[1]Cleaned!$A:$J,6,0)</f>
        <v>Hyderabad</v>
      </c>
      <c r="G433">
        <f>VLOOKUP(A433,[1]Cleaned!$A:$J,9,0)</f>
        <v>18880.05</v>
      </c>
    </row>
    <row r="434" spans="1:7" x14ac:dyDescent="0.3">
      <c r="A434">
        <v>2432</v>
      </c>
      <c r="B434" s="1" t="str">
        <f>VLOOKUP(A434,[1]Cleaned!$A:$J,2,0)</f>
        <v>Rahul G</v>
      </c>
      <c r="C434" t="str">
        <f>VLOOKUP(A434,[1]Cleaned!$A:$J,3,0)</f>
        <v>Dresses</v>
      </c>
      <c r="D434" s="2" t="str">
        <f>TEXT(VLOOKUP(A434,[1]Cleaned!$A:$J,4,0),"DD-MMM-YYYY")</f>
        <v>07-Oct-2024</v>
      </c>
      <c r="E434" s="3" t="str">
        <f>TEXT(VLOOKUP(A434,[1]Cleaned!$A:$J,5,0),"DD-MMM-YYYY")</f>
        <v>21-Oct-2024</v>
      </c>
      <c r="F434" t="str">
        <f>VLOOKUP(A434,[1]Cleaned!$A:$J,6,0)</f>
        <v>Ahmedabad</v>
      </c>
      <c r="G434">
        <f>VLOOKUP(A434,[1]Cleaned!$A:$J,9,0)</f>
        <v>14970.32</v>
      </c>
    </row>
    <row r="435" spans="1:7" x14ac:dyDescent="0.3">
      <c r="A435">
        <v>2433</v>
      </c>
      <c r="B435" s="1" t="str">
        <f>VLOOKUP(A435,[1]Cleaned!$A:$J,2,0)</f>
        <v>Deepa K</v>
      </c>
      <c r="C435" t="str">
        <f>VLOOKUP(A435,[1]Cleaned!$A:$J,3,0)</f>
        <v>Jeans</v>
      </c>
      <c r="D435" s="2" t="str">
        <f>TEXT(VLOOKUP(A435,[1]Cleaned!$A:$J,4,0),"DD-MMM-YYYY")</f>
        <v>19-Apr-2024</v>
      </c>
      <c r="E435" s="3" t="str">
        <f>TEXT(VLOOKUP(A435,[1]Cleaned!$A:$J,5,0),"DD-MMM-YYYY")</f>
        <v>21-Apr-2024</v>
      </c>
      <c r="F435" t="str">
        <f>VLOOKUP(A435,[1]Cleaned!$A:$J,6,0)</f>
        <v>Mumbai</v>
      </c>
      <c r="G435">
        <f>VLOOKUP(A435,[1]Cleaned!$A:$J,9,0)</f>
        <v>19733.580000000002</v>
      </c>
    </row>
    <row r="436" spans="1:7" x14ac:dyDescent="0.3">
      <c r="A436">
        <v>2434</v>
      </c>
      <c r="B436" s="1" t="str">
        <f>VLOOKUP(A436,[1]Cleaned!$A:$J,2,0)</f>
        <v>Arun Pandi</v>
      </c>
      <c r="C436" t="str">
        <f>VLOOKUP(A436,[1]Cleaned!$A:$J,3,0)</f>
        <v>Jeans</v>
      </c>
      <c r="D436" s="2" t="str">
        <f>TEXT(VLOOKUP(A436,[1]Cleaned!$A:$J,4,0),"DD-MMM-YYYY")</f>
        <v>10-Feb-2024</v>
      </c>
      <c r="E436" s="3" t="str">
        <f>TEXT(VLOOKUP(A436,[1]Cleaned!$A:$J,5,0),"DD-MMM-YYYY")</f>
        <v>25-Feb-2024</v>
      </c>
      <c r="F436" t="str">
        <f>VLOOKUP(A436,[1]Cleaned!$A:$J,6,0)</f>
        <v>Pune</v>
      </c>
      <c r="G436">
        <f>VLOOKUP(A436,[1]Cleaned!$A:$J,9,0)</f>
        <v>3942.8</v>
      </c>
    </row>
    <row r="437" spans="1:7" x14ac:dyDescent="0.3">
      <c r="A437">
        <v>2435</v>
      </c>
      <c r="B437" s="1" t="str">
        <f>VLOOKUP(A437,[1]Cleaned!$A:$J,2,0)</f>
        <v>Pooja M</v>
      </c>
      <c r="C437" t="str">
        <f>VLOOKUP(A437,[1]Cleaned!$A:$J,3,0)</f>
        <v>Jackets</v>
      </c>
      <c r="D437" s="2" t="str">
        <f>TEXT(VLOOKUP(A437,[1]Cleaned!$A:$J,4,0),"DD-MMM-YYYY")</f>
        <v>03-May-2022</v>
      </c>
      <c r="E437" s="3" t="str">
        <f>TEXT(VLOOKUP(A437,[1]Cleaned!$A:$J,5,0),"DD-MMM-YYYY")</f>
        <v>07-May-2022</v>
      </c>
      <c r="F437" t="str">
        <f>VLOOKUP(A437,[1]Cleaned!$A:$J,6,0)</f>
        <v>Pune</v>
      </c>
      <c r="G437">
        <f>VLOOKUP(A437,[1]Cleaned!$A:$J,9,0)</f>
        <v>3686.15</v>
      </c>
    </row>
    <row r="438" spans="1:7" x14ac:dyDescent="0.3">
      <c r="A438">
        <v>2436</v>
      </c>
      <c r="B438" s="1" t="str">
        <f>VLOOKUP(A438,[1]Cleaned!$A:$J,2,0)</f>
        <v>Santhosh P</v>
      </c>
      <c r="C438" t="str">
        <f>VLOOKUP(A438,[1]Cleaned!$A:$J,3,0)</f>
        <v>Jackets</v>
      </c>
      <c r="D438" s="2" t="str">
        <f>TEXT(VLOOKUP(A438,[1]Cleaned!$A:$J,4,0),"DD-MMM-YYYY")</f>
        <v>02-Feb-2024</v>
      </c>
      <c r="E438" s="3" t="str">
        <f>TEXT(VLOOKUP(A438,[1]Cleaned!$A:$J,5,0),"DD-MMM-YYYY")</f>
        <v>11-Feb-2024</v>
      </c>
      <c r="F438" t="str">
        <f>VLOOKUP(A438,[1]Cleaned!$A:$J,6,0)</f>
        <v>Pune</v>
      </c>
      <c r="G438">
        <f>VLOOKUP(A438,[1]Cleaned!$A:$J,9,0)</f>
        <v>6059.24</v>
      </c>
    </row>
    <row r="439" spans="1:7" x14ac:dyDescent="0.3">
      <c r="A439">
        <v>2437</v>
      </c>
      <c r="B439" s="1" t="str">
        <f>VLOOKUP(A439,[1]Cleaned!$A:$J,2,0)</f>
        <v>Balaji N</v>
      </c>
      <c r="C439" t="str">
        <f>VLOOKUP(A439,[1]Cleaned!$A:$J,3,0)</f>
        <v>Jackets</v>
      </c>
      <c r="D439" s="2" t="str">
        <f>TEXT(VLOOKUP(A439,[1]Cleaned!$A:$J,4,0),"DD-MMM-YYYY")</f>
        <v>03-Jun-2022</v>
      </c>
      <c r="E439" s="3" t="str">
        <f>TEXT(VLOOKUP(A439,[1]Cleaned!$A:$J,5,0),"DD-MMM-YYYY")</f>
        <v>14-Jun-2022</v>
      </c>
      <c r="F439" t="str">
        <f>VLOOKUP(A439,[1]Cleaned!$A:$J,6,0)</f>
        <v>Hyderabad</v>
      </c>
      <c r="G439">
        <f>VLOOKUP(A439,[1]Cleaned!$A:$J,9,0)</f>
        <v>2344.42</v>
      </c>
    </row>
    <row r="440" spans="1:7" x14ac:dyDescent="0.3">
      <c r="A440">
        <v>2438</v>
      </c>
      <c r="B440" s="1" t="str">
        <f>VLOOKUP(A440,[1]Cleaned!$A:$J,2,0)</f>
        <v>Lakshmi S</v>
      </c>
      <c r="C440" t="str">
        <f>VLOOKUP(A440,[1]Cleaned!$A:$J,3,0)</f>
        <v>Dresses</v>
      </c>
      <c r="D440" s="2" t="str">
        <f>TEXT(VLOOKUP(A440,[1]Cleaned!$A:$J,4,0),"DD-MMM-YYYY")</f>
        <v>19-Jun-2023</v>
      </c>
      <c r="E440" s="3" t="str">
        <f>TEXT(VLOOKUP(A440,[1]Cleaned!$A:$J,5,0),"DD-MMM-YYYY")</f>
        <v>04-Jul-2023</v>
      </c>
      <c r="F440" t="str">
        <f>VLOOKUP(A440,[1]Cleaned!$A:$J,6,0)</f>
        <v>Delhi</v>
      </c>
      <c r="G440">
        <f>VLOOKUP(A440,[1]Cleaned!$A:$J,9,0)</f>
        <v>25153.87</v>
      </c>
    </row>
    <row r="441" spans="1:7" x14ac:dyDescent="0.3">
      <c r="A441">
        <v>2439</v>
      </c>
      <c r="B441" s="1" t="str">
        <f>VLOOKUP(A441,[1]Cleaned!$A:$J,2,0)</f>
        <v>Arun Pandi</v>
      </c>
      <c r="C441" t="str">
        <f>VLOOKUP(A441,[1]Cleaned!$A:$J,3,0)</f>
        <v>Jackets</v>
      </c>
      <c r="D441" s="2" t="str">
        <f>TEXT(VLOOKUP(A441,[1]Cleaned!$A:$J,4,0),"DD-MMM-YYYY")</f>
        <v>11-Jul-2023</v>
      </c>
      <c r="E441" s="3" t="str">
        <f>TEXT(VLOOKUP(A441,[1]Cleaned!$A:$J,5,0),"DD-MMM-YYYY")</f>
        <v>16-Jul-2023</v>
      </c>
      <c r="F441" t="str">
        <f>VLOOKUP(A441,[1]Cleaned!$A:$J,6,0)</f>
        <v>Chennai</v>
      </c>
      <c r="G441">
        <f>VLOOKUP(A441,[1]Cleaned!$A:$J,9,0)</f>
        <v>3758.92</v>
      </c>
    </row>
    <row r="442" spans="1:7" x14ac:dyDescent="0.3">
      <c r="A442">
        <v>2440</v>
      </c>
      <c r="B442" s="1" t="str">
        <f>VLOOKUP(A442,[1]Cleaned!$A:$J,2,0)</f>
        <v>Deepa K</v>
      </c>
      <c r="C442" t="str">
        <f>VLOOKUP(A442,[1]Cleaned!$A:$J,3,0)</f>
        <v>Jeans</v>
      </c>
      <c r="D442" s="2" t="str">
        <f>TEXT(VLOOKUP(A442,[1]Cleaned!$A:$J,4,0),"DD-MMM-YYYY")</f>
        <v>03-Dec-2022</v>
      </c>
      <c r="E442" s="3" t="str">
        <f>TEXT(VLOOKUP(A442,[1]Cleaned!$A:$J,5,0),"DD-MMM-YYYY")</f>
        <v>12-Dec-2022</v>
      </c>
      <c r="F442" t="str">
        <f>VLOOKUP(A442,[1]Cleaned!$A:$J,6,0)</f>
        <v>Bangalore</v>
      </c>
      <c r="G442">
        <f>VLOOKUP(A442,[1]Cleaned!$A:$J,9,0)</f>
        <v>13263.66</v>
      </c>
    </row>
    <row r="443" spans="1:7" x14ac:dyDescent="0.3">
      <c r="A443">
        <v>2441</v>
      </c>
      <c r="B443" s="1" t="str">
        <f>VLOOKUP(A443,[1]Cleaned!$A:$J,2,0)</f>
        <v>Prakash V</v>
      </c>
      <c r="C443" t="str">
        <f>VLOOKUP(A443,[1]Cleaned!$A:$J,3,0)</f>
        <v>T-Shirts</v>
      </c>
      <c r="D443" s="2" t="str">
        <f>TEXT(VLOOKUP(A443,[1]Cleaned!$A:$J,4,0),"DD-MMM-YYYY")</f>
        <v>14-Jul-2024</v>
      </c>
      <c r="E443" s="3" t="str">
        <f>TEXT(VLOOKUP(A443,[1]Cleaned!$A:$J,5,0),"DD-MMM-YYYY")</f>
        <v>20-Jul-2024</v>
      </c>
      <c r="F443" t="str">
        <f>VLOOKUP(A443,[1]Cleaned!$A:$J,6,0)</f>
        <v>Bangalore</v>
      </c>
      <c r="G443">
        <f>VLOOKUP(A443,[1]Cleaned!$A:$J,9,0)</f>
        <v>21533.35</v>
      </c>
    </row>
    <row r="444" spans="1:7" x14ac:dyDescent="0.3">
      <c r="A444">
        <v>2442</v>
      </c>
      <c r="B444" s="1" t="str">
        <f>VLOOKUP(A444,[1]Cleaned!$A:$J,2,0)</f>
        <v>Arjun Reddy</v>
      </c>
      <c r="C444" t="str">
        <f>VLOOKUP(A444,[1]Cleaned!$A:$J,3,0)</f>
        <v>Accessories</v>
      </c>
      <c r="D444" s="2" t="str">
        <f>TEXT(VLOOKUP(A444,[1]Cleaned!$A:$J,4,0),"DD-MMM-YYYY")</f>
        <v>16-Sep-2023</v>
      </c>
      <c r="E444" s="3" t="str">
        <f>TEXT(VLOOKUP(A444,[1]Cleaned!$A:$J,5,0),"DD-MMM-YYYY")</f>
        <v>01-Oct-2023</v>
      </c>
      <c r="F444" t="str">
        <f>VLOOKUP(A444,[1]Cleaned!$A:$J,6,0)</f>
        <v>Pune</v>
      </c>
      <c r="G444">
        <f>VLOOKUP(A444,[1]Cleaned!$A:$J,9,0)</f>
        <v>1310.5999999999999</v>
      </c>
    </row>
    <row r="445" spans="1:7" x14ac:dyDescent="0.3">
      <c r="A445">
        <v>2443</v>
      </c>
      <c r="B445" s="1" t="str">
        <f>VLOOKUP(A445,[1]Cleaned!$A:$J,2,0)</f>
        <v>Deepa K</v>
      </c>
      <c r="C445" t="str">
        <f>VLOOKUP(A445,[1]Cleaned!$A:$J,3,0)</f>
        <v>Jeans</v>
      </c>
      <c r="D445" s="2" t="str">
        <f>TEXT(VLOOKUP(A445,[1]Cleaned!$A:$J,4,0),"DD-MMM-YYYY")</f>
        <v>24-May-2023</v>
      </c>
      <c r="E445" s="3" t="str">
        <f>TEXT(VLOOKUP(A445,[1]Cleaned!$A:$J,5,0),"DD-MMM-YYYY")</f>
        <v>31-May-2023</v>
      </c>
      <c r="F445" t="str">
        <f>VLOOKUP(A445,[1]Cleaned!$A:$J,6,0)</f>
        <v>Bangalore</v>
      </c>
      <c r="G445">
        <f>VLOOKUP(A445,[1]Cleaned!$A:$J,9,0)</f>
        <v>3482.76</v>
      </c>
    </row>
    <row r="446" spans="1:7" x14ac:dyDescent="0.3">
      <c r="A446">
        <v>2444</v>
      </c>
      <c r="B446" s="1" t="str">
        <f>VLOOKUP(A446,[1]Cleaned!$A:$J,2,0)</f>
        <v>Arjun Reddy</v>
      </c>
      <c r="C446" t="str">
        <f>VLOOKUP(A446,[1]Cleaned!$A:$J,3,0)</f>
        <v>Jeans</v>
      </c>
      <c r="D446" s="2" t="str">
        <f>TEXT(VLOOKUP(A446,[1]Cleaned!$A:$J,4,0),"DD-MMM-YYYY")</f>
        <v>08-Apr-2024</v>
      </c>
      <c r="E446" s="3" t="str">
        <f>TEXT(VLOOKUP(A446,[1]Cleaned!$A:$J,5,0),"DD-MMM-YYYY")</f>
        <v>23-Apr-2024</v>
      </c>
      <c r="F446" t="str">
        <f>VLOOKUP(A446,[1]Cleaned!$A:$J,6,0)</f>
        <v>Bangalore</v>
      </c>
      <c r="G446">
        <f>VLOOKUP(A446,[1]Cleaned!$A:$J,9,0)</f>
        <v>2980.84</v>
      </c>
    </row>
    <row r="447" spans="1:7" x14ac:dyDescent="0.3">
      <c r="A447">
        <v>2445</v>
      </c>
      <c r="B447" s="1" t="str">
        <f>VLOOKUP(A447,[1]Cleaned!$A:$J,2,0)</f>
        <v>Deepa K</v>
      </c>
      <c r="C447" t="str">
        <f>VLOOKUP(A447,[1]Cleaned!$A:$J,3,0)</f>
        <v>Jeans</v>
      </c>
      <c r="D447" s="2" t="str">
        <f>TEXT(VLOOKUP(A447,[1]Cleaned!$A:$J,4,0),"DD-MMM-YYYY")</f>
        <v>25-Jan-2022</v>
      </c>
      <c r="E447" s="3" t="str">
        <f>TEXT(VLOOKUP(A447,[1]Cleaned!$A:$J,5,0),"DD-MMM-YYYY")</f>
        <v>27-Jan-2022</v>
      </c>
      <c r="F447" t="str">
        <f>VLOOKUP(A447,[1]Cleaned!$A:$J,6,0)</f>
        <v>Ahmedabad</v>
      </c>
      <c r="G447">
        <f>VLOOKUP(A447,[1]Cleaned!$A:$J,9,0)</f>
        <v>3657.44</v>
      </c>
    </row>
    <row r="448" spans="1:7" x14ac:dyDescent="0.3">
      <c r="A448">
        <v>2446</v>
      </c>
      <c r="B448" s="1" t="str">
        <f>VLOOKUP(A448,[1]Cleaned!$A:$J,2,0)</f>
        <v>Sneha R</v>
      </c>
      <c r="C448" t="str">
        <f>VLOOKUP(A448,[1]Cleaned!$A:$J,3,0)</f>
        <v>Accessories</v>
      </c>
      <c r="D448" s="2" t="str">
        <f>TEXT(VLOOKUP(A448,[1]Cleaned!$A:$J,4,0),"DD-MMM-YYYY")</f>
        <v>22-Jun-2022</v>
      </c>
      <c r="E448" s="3" t="str">
        <f>TEXT(VLOOKUP(A448,[1]Cleaned!$A:$J,5,0),"DD-MMM-YYYY")</f>
        <v>03-Jul-2022</v>
      </c>
      <c r="F448" t="str">
        <f>VLOOKUP(A448,[1]Cleaned!$A:$J,6,0)</f>
        <v>Hyderabad</v>
      </c>
      <c r="G448">
        <f>VLOOKUP(A448,[1]Cleaned!$A:$J,9,0)</f>
        <v>23059.55</v>
      </c>
    </row>
    <row r="449" spans="1:7" x14ac:dyDescent="0.3">
      <c r="A449">
        <v>2447</v>
      </c>
      <c r="B449" s="1" t="str">
        <f>VLOOKUP(A449,[1]Cleaned!$A:$J,2,0)</f>
        <v>Anitha Raj</v>
      </c>
      <c r="C449" t="str">
        <f>VLOOKUP(A449,[1]Cleaned!$A:$J,3,0)</f>
        <v>Jeans</v>
      </c>
      <c r="D449" s="2" t="str">
        <f>TEXT(VLOOKUP(A449,[1]Cleaned!$A:$J,4,0),"DD-MMM-YYYY")</f>
        <v>09-Feb-2023</v>
      </c>
      <c r="E449" s="3" t="str">
        <f>TEXT(VLOOKUP(A449,[1]Cleaned!$A:$J,5,0),"DD-MMM-YYYY")</f>
        <v>21-Feb-2023</v>
      </c>
      <c r="F449" t="str">
        <f>VLOOKUP(A449,[1]Cleaned!$A:$J,6,0)</f>
        <v>Bangalore</v>
      </c>
      <c r="G449">
        <f>VLOOKUP(A449,[1]Cleaned!$A:$J,9,0)</f>
        <v>2196.9</v>
      </c>
    </row>
    <row r="450" spans="1:7" x14ac:dyDescent="0.3">
      <c r="A450">
        <v>2448</v>
      </c>
      <c r="B450" s="1" t="str">
        <f>VLOOKUP(A450,[1]Cleaned!$A:$J,2,0)</f>
        <v>Suresh M</v>
      </c>
      <c r="C450" t="str">
        <f>VLOOKUP(A450,[1]Cleaned!$A:$J,3,0)</f>
        <v>Jeans</v>
      </c>
      <c r="D450" s="2" t="str">
        <f>TEXT(VLOOKUP(A450,[1]Cleaned!$A:$J,4,0),"DD-MMM-YYYY")</f>
        <v>02-Aug-2024</v>
      </c>
      <c r="E450" s="3" t="str">
        <f>TEXT(VLOOKUP(A450,[1]Cleaned!$A:$J,5,0),"DD-MMM-YYYY")</f>
        <v>04-Aug-2024</v>
      </c>
      <c r="F450" t="str">
        <f>VLOOKUP(A450,[1]Cleaned!$A:$J,6,0)</f>
        <v>Mumbai</v>
      </c>
      <c r="G450">
        <f>VLOOKUP(A450,[1]Cleaned!$A:$J,9,0)</f>
        <v>29133.439999999999</v>
      </c>
    </row>
    <row r="451" spans="1:7" x14ac:dyDescent="0.3">
      <c r="A451">
        <v>2449</v>
      </c>
      <c r="B451" s="1" t="str">
        <f>VLOOKUP(A451,[1]Cleaned!$A:$J,2,0)</f>
        <v>Kavitha S</v>
      </c>
      <c r="C451" t="str">
        <f>VLOOKUP(A451,[1]Cleaned!$A:$J,3,0)</f>
        <v>Jeans</v>
      </c>
      <c r="D451" s="2" t="str">
        <f>TEXT(VLOOKUP(A451,[1]Cleaned!$A:$J,4,0),"DD-MMM-YYYY")</f>
        <v>23-Feb-2024</v>
      </c>
      <c r="E451" s="3" t="str">
        <f>TEXT(VLOOKUP(A451,[1]Cleaned!$A:$J,5,0),"DD-MMM-YYYY")</f>
        <v>06-Mar-2024</v>
      </c>
      <c r="F451" t="str">
        <f>VLOOKUP(A451,[1]Cleaned!$A:$J,6,0)</f>
        <v>Bangalore</v>
      </c>
      <c r="G451">
        <f>VLOOKUP(A451,[1]Cleaned!$A:$J,9,0)</f>
        <v>5890.59</v>
      </c>
    </row>
    <row r="452" spans="1:7" x14ac:dyDescent="0.3">
      <c r="A452">
        <v>2450</v>
      </c>
      <c r="B452" s="1" t="str">
        <f>VLOOKUP(A452,[1]Cleaned!$A:$J,2,0)</f>
        <v>Ravi Kumar</v>
      </c>
      <c r="C452" t="str">
        <f>VLOOKUP(A452,[1]Cleaned!$A:$J,3,0)</f>
        <v>Dresses</v>
      </c>
      <c r="D452" s="2" t="str">
        <f>TEXT(VLOOKUP(A452,[1]Cleaned!$A:$J,4,0),"DD-MMM-YYYY")</f>
        <v>02-Jul-2024</v>
      </c>
      <c r="E452" s="3" t="str">
        <f>TEXT(VLOOKUP(A452,[1]Cleaned!$A:$J,5,0),"DD-MMM-YYYY")</f>
        <v>06-Jul-2024</v>
      </c>
      <c r="F452" t="str">
        <f>VLOOKUP(A452,[1]Cleaned!$A:$J,6,0)</f>
        <v>Chennai</v>
      </c>
      <c r="G452">
        <f>VLOOKUP(A452,[1]Cleaned!$A:$J,9,0)</f>
        <v>13368.84</v>
      </c>
    </row>
    <row r="453" spans="1:7" x14ac:dyDescent="0.3">
      <c r="A453">
        <v>2451</v>
      </c>
      <c r="B453" s="1" t="str">
        <f>VLOOKUP(A453,[1]Cleaned!$A:$J,2,0)</f>
        <v>Pooja M</v>
      </c>
      <c r="C453" t="str">
        <f>VLOOKUP(A453,[1]Cleaned!$A:$J,3,0)</f>
        <v>Shoes</v>
      </c>
      <c r="D453" s="2" t="str">
        <f>TEXT(VLOOKUP(A453,[1]Cleaned!$A:$J,4,0),"DD-MMM-YYYY")</f>
        <v>08-Sep-2024</v>
      </c>
      <c r="E453" s="3" t="str">
        <f>TEXT(VLOOKUP(A453,[1]Cleaned!$A:$J,5,0),"DD-MMM-YYYY")</f>
        <v>10-Sep-2024</v>
      </c>
      <c r="F453" t="str">
        <f>VLOOKUP(A453,[1]Cleaned!$A:$J,6,0)</f>
        <v>Chennai</v>
      </c>
      <c r="G453">
        <f>VLOOKUP(A453,[1]Cleaned!$A:$J,9,0)</f>
        <v>10500.85</v>
      </c>
    </row>
    <row r="454" spans="1:7" x14ac:dyDescent="0.3">
      <c r="A454">
        <v>2452</v>
      </c>
      <c r="B454" s="1" t="str">
        <f>VLOOKUP(A454,[1]Cleaned!$A:$J,2,0)</f>
        <v>Meena Iyer</v>
      </c>
      <c r="C454" t="str">
        <f>VLOOKUP(A454,[1]Cleaned!$A:$J,3,0)</f>
        <v>Accessories</v>
      </c>
      <c r="D454" s="2" t="str">
        <f>TEXT(VLOOKUP(A454,[1]Cleaned!$A:$J,4,0),"DD-MMM-YYYY")</f>
        <v>12-Dec-2024</v>
      </c>
      <c r="E454" s="3" t="str">
        <f>TEXT(VLOOKUP(A454,[1]Cleaned!$A:$J,5,0),"DD-MMM-YYYY")</f>
        <v>17-Dec-2024</v>
      </c>
      <c r="F454" t="str">
        <f>VLOOKUP(A454,[1]Cleaned!$A:$J,6,0)</f>
        <v>Pune</v>
      </c>
      <c r="G454">
        <f>VLOOKUP(A454,[1]Cleaned!$A:$J,9,0)</f>
        <v>4950.2</v>
      </c>
    </row>
    <row r="455" spans="1:7" x14ac:dyDescent="0.3">
      <c r="A455">
        <v>2453</v>
      </c>
      <c r="B455" s="1" t="str">
        <f>VLOOKUP(A455,[1]Cleaned!$A:$J,2,0)</f>
        <v>Kavitha S</v>
      </c>
      <c r="C455" t="str">
        <f>VLOOKUP(A455,[1]Cleaned!$A:$J,3,0)</f>
        <v>Shoes</v>
      </c>
      <c r="D455" s="2" t="str">
        <f>TEXT(VLOOKUP(A455,[1]Cleaned!$A:$J,4,0),"DD-MMM-YYYY")</f>
        <v>19-Sep-2024</v>
      </c>
      <c r="E455" s="3" t="str">
        <f>TEXT(VLOOKUP(A455,[1]Cleaned!$A:$J,5,0),"DD-MMM-YYYY")</f>
        <v>26-Sep-2024</v>
      </c>
      <c r="F455" t="str">
        <f>VLOOKUP(A455,[1]Cleaned!$A:$J,6,0)</f>
        <v>Hyderabad</v>
      </c>
      <c r="G455">
        <f>VLOOKUP(A455,[1]Cleaned!$A:$J,9,0)</f>
        <v>12752.34</v>
      </c>
    </row>
    <row r="456" spans="1:7" x14ac:dyDescent="0.3">
      <c r="A456">
        <v>2454</v>
      </c>
      <c r="B456" s="1" t="str">
        <f>VLOOKUP(A456,[1]Cleaned!$A:$J,2,0)</f>
        <v>Anitha Raj</v>
      </c>
      <c r="C456" t="str">
        <f>VLOOKUP(A456,[1]Cleaned!$A:$J,3,0)</f>
        <v>Dresses</v>
      </c>
      <c r="D456" s="2" t="str">
        <f>TEXT(VLOOKUP(A456,[1]Cleaned!$A:$J,4,0),"DD-MMM-YYYY")</f>
        <v>25-Mar-2023</v>
      </c>
      <c r="E456" s="3" t="str">
        <f>TEXT(VLOOKUP(A456,[1]Cleaned!$A:$J,5,0),"DD-MMM-YYYY")</f>
        <v>27-Mar-2023</v>
      </c>
      <c r="F456" t="str">
        <f>VLOOKUP(A456,[1]Cleaned!$A:$J,6,0)</f>
        <v>Ahmedabad</v>
      </c>
      <c r="G456">
        <f>VLOOKUP(A456,[1]Cleaned!$A:$J,9,0)</f>
        <v>2876.9</v>
      </c>
    </row>
    <row r="457" spans="1:7" x14ac:dyDescent="0.3">
      <c r="A457">
        <v>2455</v>
      </c>
      <c r="B457" s="1" t="str">
        <f>VLOOKUP(A457,[1]Cleaned!$A:$J,2,0)</f>
        <v>Santhosh P</v>
      </c>
      <c r="C457" t="str">
        <f>VLOOKUP(A457,[1]Cleaned!$A:$J,3,0)</f>
        <v>Dresses</v>
      </c>
      <c r="D457" s="2" t="str">
        <f>TEXT(VLOOKUP(A457,[1]Cleaned!$A:$J,4,0),"DD-MMM-YYYY")</f>
        <v>22-Apr-2023</v>
      </c>
      <c r="E457" s="3" t="str">
        <f>TEXT(VLOOKUP(A457,[1]Cleaned!$A:$J,5,0),"DD-MMM-YYYY")</f>
        <v>26-Apr-2023</v>
      </c>
      <c r="F457" t="str">
        <f>VLOOKUP(A457,[1]Cleaned!$A:$J,6,0)</f>
        <v>Chennai</v>
      </c>
      <c r="G457">
        <f>VLOOKUP(A457,[1]Cleaned!$A:$J,9,0)</f>
        <v>13549.04</v>
      </c>
    </row>
    <row r="458" spans="1:7" x14ac:dyDescent="0.3">
      <c r="A458">
        <v>2456</v>
      </c>
      <c r="B458" s="1" t="str">
        <f>VLOOKUP(A458,[1]Cleaned!$A:$J,2,0)</f>
        <v>Nithya R</v>
      </c>
      <c r="C458" t="str">
        <f>VLOOKUP(A458,[1]Cleaned!$A:$J,3,0)</f>
        <v>Accessories</v>
      </c>
      <c r="D458" s="2" t="str">
        <f>TEXT(VLOOKUP(A458,[1]Cleaned!$A:$J,4,0),"DD-MMM-YYYY")</f>
        <v>25-Apr-2022</v>
      </c>
      <c r="E458" s="3" t="str">
        <f>TEXT(VLOOKUP(A458,[1]Cleaned!$A:$J,5,0),"DD-MMM-YYYY")</f>
        <v>09-May-2022</v>
      </c>
      <c r="F458" t="str">
        <f>VLOOKUP(A458,[1]Cleaned!$A:$J,6,0)</f>
        <v>Mumbai</v>
      </c>
      <c r="G458">
        <f>VLOOKUP(A458,[1]Cleaned!$A:$J,9,0)</f>
        <v>13773.06</v>
      </c>
    </row>
    <row r="459" spans="1:7" x14ac:dyDescent="0.3">
      <c r="A459">
        <v>2457</v>
      </c>
      <c r="B459" s="1" t="str">
        <f>VLOOKUP(A459,[1]Cleaned!$A:$J,2,0)</f>
        <v>Arjun Reddy</v>
      </c>
      <c r="C459" t="str">
        <f>VLOOKUP(A459,[1]Cleaned!$A:$J,3,0)</f>
        <v>T-Shirts</v>
      </c>
      <c r="D459" s="2" t="str">
        <f>TEXT(VLOOKUP(A459,[1]Cleaned!$A:$J,4,0),"DD-MMM-YYYY")</f>
        <v>14-Oct-2023</v>
      </c>
      <c r="E459" s="3" t="str">
        <f>TEXT(VLOOKUP(A459,[1]Cleaned!$A:$J,5,0),"DD-MMM-YYYY")</f>
        <v>28-Oct-2023</v>
      </c>
      <c r="F459" t="str">
        <f>VLOOKUP(A459,[1]Cleaned!$A:$J,6,0)</f>
        <v>Pune</v>
      </c>
      <c r="G459">
        <f>VLOOKUP(A459,[1]Cleaned!$A:$J,9,0)</f>
        <v>27574.26</v>
      </c>
    </row>
    <row r="460" spans="1:7" x14ac:dyDescent="0.3">
      <c r="A460">
        <v>2458</v>
      </c>
      <c r="B460" s="1" t="str">
        <f>VLOOKUP(A460,[1]Cleaned!$A:$J,2,0)</f>
        <v>Ganesh R</v>
      </c>
      <c r="C460" t="str">
        <f>VLOOKUP(A460,[1]Cleaned!$A:$J,3,0)</f>
        <v>Accessories</v>
      </c>
      <c r="D460" s="2" t="str">
        <f>TEXT(VLOOKUP(A460,[1]Cleaned!$A:$J,4,0),"DD-MMM-YYYY")</f>
        <v>22-Dec-2023</v>
      </c>
      <c r="E460" s="3" t="str">
        <f>TEXT(VLOOKUP(A460,[1]Cleaned!$A:$J,5,0),"DD-MMM-YYYY")</f>
        <v>02-Jan-2024</v>
      </c>
      <c r="F460" t="str">
        <f>VLOOKUP(A460,[1]Cleaned!$A:$J,6,0)</f>
        <v>Hyderabad</v>
      </c>
      <c r="G460">
        <f>VLOOKUP(A460,[1]Cleaned!$A:$J,9,0)</f>
        <v>8839.83</v>
      </c>
    </row>
    <row r="461" spans="1:7" x14ac:dyDescent="0.3">
      <c r="A461">
        <v>2459</v>
      </c>
      <c r="B461" s="1" t="str">
        <f>VLOOKUP(A461,[1]Cleaned!$A:$J,2,0)</f>
        <v>Kavitha S</v>
      </c>
      <c r="C461" t="str">
        <f>VLOOKUP(A461,[1]Cleaned!$A:$J,3,0)</f>
        <v>Shoes</v>
      </c>
      <c r="D461" s="2" t="str">
        <f>TEXT(VLOOKUP(A461,[1]Cleaned!$A:$J,4,0),"DD-MMM-YYYY")</f>
        <v>25-Sep-2023</v>
      </c>
      <c r="E461" s="3" t="str">
        <f>TEXT(VLOOKUP(A461,[1]Cleaned!$A:$J,5,0),"DD-MMM-YYYY")</f>
        <v>29-Sep-2023</v>
      </c>
      <c r="F461" t="str">
        <f>VLOOKUP(A461,[1]Cleaned!$A:$J,6,0)</f>
        <v>Bangalore</v>
      </c>
      <c r="G461">
        <f>VLOOKUP(A461,[1]Cleaned!$A:$J,9,0)</f>
        <v>724.21</v>
      </c>
    </row>
    <row r="462" spans="1:7" x14ac:dyDescent="0.3">
      <c r="A462">
        <v>2460</v>
      </c>
      <c r="B462" s="1" t="str">
        <f>VLOOKUP(A462,[1]Cleaned!$A:$J,2,0)</f>
        <v>Revathi A</v>
      </c>
      <c r="C462" t="str">
        <f>VLOOKUP(A462,[1]Cleaned!$A:$J,3,0)</f>
        <v>T-Shirts</v>
      </c>
      <c r="D462" s="2" t="str">
        <f>TEXT(VLOOKUP(A462,[1]Cleaned!$A:$J,4,0),"DD-MMM-YYYY")</f>
        <v>10-Feb-2022</v>
      </c>
      <c r="E462" s="3" t="str">
        <f>TEXT(VLOOKUP(A462,[1]Cleaned!$A:$J,5,0),"DD-MMM-YYYY")</f>
        <v>20-Feb-2022</v>
      </c>
      <c r="F462" t="str">
        <f>VLOOKUP(A462,[1]Cleaned!$A:$J,6,0)</f>
        <v>Bangalore</v>
      </c>
      <c r="G462">
        <f>VLOOKUP(A462,[1]Cleaned!$A:$J,9,0)</f>
        <v>1859.15</v>
      </c>
    </row>
    <row r="463" spans="1:7" x14ac:dyDescent="0.3">
      <c r="A463">
        <v>2461</v>
      </c>
      <c r="B463" s="1" t="str">
        <f>VLOOKUP(A463,[1]Cleaned!$A:$J,2,0)</f>
        <v>Deepa K</v>
      </c>
      <c r="C463" t="str">
        <f>VLOOKUP(A463,[1]Cleaned!$A:$J,3,0)</f>
        <v>Dresses</v>
      </c>
      <c r="D463" s="2" t="str">
        <f>TEXT(VLOOKUP(A463,[1]Cleaned!$A:$J,4,0),"DD-MMM-YYYY")</f>
        <v>30-Dec-2022</v>
      </c>
      <c r="E463" s="3" t="str">
        <f>TEXT(VLOOKUP(A463,[1]Cleaned!$A:$J,5,0),"DD-MMM-YYYY")</f>
        <v>13-Jan-2023</v>
      </c>
      <c r="F463" t="str">
        <f>VLOOKUP(A463,[1]Cleaned!$A:$J,6,0)</f>
        <v>Ahmedabad</v>
      </c>
      <c r="G463">
        <f>VLOOKUP(A463,[1]Cleaned!$A:$J,9,0)</f>
        <v>3479.46</v>
      </c>
    </row>
    <row r="464" spans="1:7" x14ac:dyDescent="0.3">
      <c r="A464">
        <v>2462</v>
      </c>
      <c r="B464" s="1" t="str">
        <f>VLOOKUP(A464,[1]Cleaned!$A:$J,2,0)</f>
        <v>Manoj K</v>
      </c>
      <c r="C464" t="str">
        <f>VLOOKUP(A464,[1]Cleaned!$A:$J,3,0)</f>
        <v>Accessories</v>
      </c>
      <c r="D464" s="2" t="str">
        <f>TEXT(VLOOKUP(A464,[1]Cleaned!$A:$J,4,0),"DD-MMM-YYYY")</f>
        <v>18-Oct-2022</v>
      </c>
      <c r="E464" s="3" t="str">
        <f>TEXT(VLOOKUP(A464,[1]Cleaned!$A:$J,5,0),"DD-MMM-YYYY")</f>
        <v>01-Nov-2022</v>
      </c>
      <c r="F464" t="str">
        <f>VLOOKUP(A464,[1]Cleaned!$A:$J,6,0)</f>
        <v>Chennai</v>
      </c>
      <c r="G464">
        <f>VLOOKUP(A464,[1]Cleaned!$A:$J,9,0)</f>
        <v>28887.78</v>
      </c>
    </row>
    <row r="465" spans="1:7" x14ac:dyDescent="0.3">
      <c r="A465">
        <v>2463</v>
      </c>
      <c r="B465" s="1" t="str">
        <f>VLOOKUP(A465,[1]Cleaned!$A:$J,2,0)</f>
        <v>Ganesh R</v>
      </c>
      <c r="C465" t="str">
        <f>VLOOKUP(A465,[1]Cleaned!$A:$J,3,0)</f>
        <v>Accessories</v>
      </c>
      <c r="D465" s="2" t="str">
        <f>TEXT(VLOOKUP(A465,[1]Cleaned!$A:$J,4,0),"DD-MMM-YYYY")</f>
        <v>21-Mar-2024</v>
      </c>
      <c r="E465" s="3" t="str">
        <f>TEXT(VLOOKUP(A465,[1]Cleaned!$A:$J,5,0),"DD-MMM-YYYY")</f>
        <v>01-Apr-2024</v>
      </c>
      <c r="F465" t="str">
        <f>VLOOKUP(A465,[1]Cleaned!$A:$J,6,0)</f>
        <v>Chennai</v>
      </c>
      <c r="G465">
        <f>VLOOKUP(A465,[1]Cleaned!$A:$J,9,0)</f>
        <v>10309.799999999999</v>
      </c>
    </row>
    <row r="466" spans="1:7" x14ac:dyDescent="0.3">
      <c r="A466">
        <v>2464</v>
      </c>
      <c r="B466" s="1" t="str">
        <f>VLOOKUP(A466,[1]Cleaned!$A:$J,2,0)</f>
        <v>Arjun Reddy</v>
      </c>
      <c r="C466" t="str">
        <f>VLOOKUP(A466,[1]Cleaned!$A:$J,3,0)</f>
        <v>Accessories</v>
      </c>
      <c r="D466" s="2" t="str">
        <f>TEXT(VLOOKUP(A466,[1]Cleaned!$A:$J,4,0),"DD-MMM-YYYY")</f>
        <v>13-Jun-2024</v>
      </c>
      <c r="E466" s="3" t="str">
        <f>TEXT(VLOOKUP(A466,[1]Cleaned!$A:$J,5,0),"DD-MMM-YYYY")</f>
        <v>27-Jun-2024</v>
      </c>
      <c r="F466" t="str">
        <f>VLOOKUP(A466,[1]Cleaned!$A:$J,6,0)</f>
        <v>Pune</v>
      </c>
      <c r="G466">
        <f>VLOOKUP(A466,[1]Cleaned!$A:$J,9,0)</f>
        <v>26809.200000000001</v>
      </c>
    </row>
    <row r="467" spans="1:7" x14ac:dyDescent="0.3">
      <c r="A467">
        <v>2465</v>
      </c>
      <c r="B467" s="1" t="str">
        <f>VLOOKUP(A467,[1]Cleaned!$A:$J,2,0)</f>
        <v>Ganesh R</v>
      </c>
      <c r="C467" t="str">
        <f>VLOOKUP(A467,[1]Cleaned!$A:$J,3,0)</f>
        <v>Shoes</v>
      </c>
      <c r="D467" s="2" t="str">
        <f>TEXT(VLOOKUP(A467,[1]Cleaned!$A:$J,4,0),"DD-MMM-YYYY")</f>
        <v>01-Jan-2024</v>
      </c>
      <c r="E467" s="3" t="str">
        <f>TEXT(VLOOKUP(A467,[1]Cleaned!$A:$J,5,0),"DD-MMM-YYYY")</f>
        <v>06-Jan-2024</v>
      </c>
      <c r="F467" t="str">
        <f>VLOOKUP(A467,[1]Cleaned!$A:$J,6,0)</f>
        <v>Pune</v>
      </c>
      <c r="G467">
        <f>VLOOKUP(A467,[1]Cleaned!$A:$J,9,0)</f>
        <v>6235.23</v>
      </c>
    </row>
    <row r="468" spans="1:7" x14ac:dyDescent="0.3">
      <c r="A468">
        <v>2466</v>
      </c>
      <c r="B468" s="1" t="str">
        <f>VLOOKUP(A468,[1]Cleaned!$A:$J,2,0)</f>
        <v>Deepa K</v>
      </c>
      <c r="C468" t="str">
        <f>VLOOKUP(A468,[1]Cleaned!$A:$J,3,0)</f>
        <v>T-Shirts</v>
      </c>
      <c r="D468" s="2" t="str">
        <f>TEXT(VLOOKUP(A468,[1]Cleaned!$A:$J,4,0),"DD-MMM-YYYY")</f>
        <v>04-Jan-2022</v>
      </c>
      <c r="E468" s="3" t="str">
        <f>TEXT(VLOOKUP(A468,[1]Cleaned!$A:$J,5,0),"DD-MMM-YYYY")</f>
        <v>17-Jan-2022</v>
      </c>
      <c r="F468" t="str">
        <f>VLOOKUP(A468,[1]Cleaned!$A:$J,6,0)</f>
        <v>Hyderabad</v>
      </c>
      <c r="G468">
        <f>VLOOKUP(A468,[1]Cleaned!$A:$J,9,0)</f>
        <v>30089.919999999998</v>
      </c>
    </row>
    <row r="469" spans="1:7" x14ac:dyDescent="0.3">
      <c r="A469">
        <v>2467</v>
      </c>
      <c r="B469" s="1" t="str">
        <f>VLOOKUP(A469,[1]Cleaned!$A:$J,2,0)</f>
        <v>Arjun Reddy</v>
      </c>
      <c r="C469" t="str">
        <f>VLOOKUP(A469,[1]Cleaned!$A:$J,3,0)</f>
        <v>Shoes</v>
      </c>
      <c r="D469" s="2" t="str">
        <f>TEXT(VLOOKUP(A469,[1]Cleaned!$A:$J,4,0),"DD-MMM-YYYY")</f>
        <v>14-Oct-2023</v>
      </c>
      <c r="E469" s="3" t="str">
        <f>TEXT(VLOOKUP(A469,[1]Cleaned!$A:$J,5,0),"DD-MMM-YYYY")</f>
        <v>28-Oct-2023</v>
      </c>
      <c r="F469" t="str">
        <f>VLOOKUP(A469,[1]Cleaned!$A:$J,6,0)</f>
        <v>Hyderabad</v>
      </c>
      <c r="G469">
        <f>VLOOKUP(A469,[1]Cleaned!$A:$J,9,0)</f>
        <v>13225.36</v>
      </c>
    </row>
    <row r="470" spans="1:7" x14ac:dyDescent="0.3">
      <c r="A470">
        <v>2468</v>
      </c>
      <c r="B470" s="1" t="str">
        <f>VLOOKUP(A470,[1]Cleaned!$A:$J,2,0)</f>
        <v>Kavitha S</v>
      </c>
      <c r="C470" t="str">
        <f>VLOOKUP(A470,[1]Cleaned!$A:$J,3,0)</f>
        <v>T-Shirts</v>
      </c>
      <c r="D470" s="2" t="str">
        <f>TEXT(VLOOKUP(A470,[1]Cleaned!$A:$J,4,0),"DD-MMM-YYYY")</f>
        <v>10-Nov-2023</v>
      </c>
      <c r="E470" s="3" t="str">
        <f>TEXT(VLOOKUP(A470,[1]Cleaned!$A:$J,5,0),"DD-MMM-YYYY")</f>
        <v>23-Nov-2023</v>
      </c>
      <c r="F470" t="str">
        <f>VLOOKUP(A470,[1]Cleaned!$A:$J,6,0)</f>
        <v>Chennai</v>
      </c>
      <c r="G470">
        <f>VLOOKUP(A470,[1]Cleaned!$A:$J,9,0)</f>
        <v>7720.04</v>
      </c>
    </row>
    <row r="471" spans="1:7" x14ac:dyDescent="0.3">
      <c r="A471">
        <v>2469</v>
      </c>
      <c r="B471" s="1" t="str">
        <f>VLOOKUP(A471,[1]Cleaned!$A:$J,2,0)</f>
        <v>Arjun Reddy</v>
      </c>
      <c r="C471" t="str">
        <f>VLOOKUP(A471,[1]Cleaned!$A:$J,3,0)</f>
        <v>Accessories</v>
      </c>
      <c r="D471" s="2" t="str">
        <f>TEXT(VLOOKUP(A471,[1]Cleaned!$A:$J,4,0),"DD-MMM-YYYY")</f>
        <v>01-Jul-2022</v>
      </c>
      <c r="E471" s="3" t="str">
        <f>TEXT(VLOOKUP(A471,[1]Cleaned!$A:$J,5,0),"DD-MMM-YYYY")</f>
        <v>16-Jul-2022</v>
      </c>
      <c r="F471" t="str">
        <f>VLOOKUP(A471,[1]Cleaned!$A:$J,6,0)</f>
        <v>Pune</v>
      </c>
      <c r="G471">
        <f>VLOOKUP(A471,[1]Cleaned!$A:$J,9,0)</f>
        <v>14394.96</v>
      </c>
    </row>
    <row r="472" spans="1:7" x14ac:dyDescent="0.3">
      <c r="A472">
        <v>2470</v>
      </c>
      <c r="B472" s="1" t="str">
        <f>VLOOKUP(A472,[1]Cleaned!$A:$J,2,0)</f>
        <v>Meena Iyer</v>
      </c>
      <c r="C472" t="str">
        <f>VLOOKUP(A472,[1]Cleaned!$A:$J,3,0)</f>
        <v>T-Shirts</v>
      </c>
      <c r="D472" s="2" t="str">
        <f>TEXT(VLOOKUP(A472,[1]Cleaned!$A:$J,4,0),"DD-MMM-YYYY")</f>
        <v>19-May-2022</v>
      </c>
      <c r="E472" s="3" t="str">
        <f>TEXT(VLOOKUP(A472,[1]Cleaned!$A:$J,5,0),"DD-MMM-YYYY")</f>
        <v>26-May-2022</v>
      </c>
      <c r="F472" t="str">
        <f>VLOOKUP(A472,[1]Cleaned!$A:$J,6,0)</f>
        <v>Delhi</v>
      </c>
      <c r="G472">
        <f>VLOOKUP(A472,[1]Cleaned!$A:$J,9,0)</f>
        <v>7371.88</v>
      </c>
    </row>
    <row r="473" spans="1:7" x14ac:dyDescent="0.3">
      <c r="A473">
        <v>2471</v>
      </c>
      <c r="B473" s="1" t="str">
        <f>VLOOKUP(A473,[1]Cleaned!$A:$J,2,0)</f>
        <v>Vijay K</v>
      </c>
      <c r="C473" t="str">
        <f>VLOOKUP(A473,[1]Cleaned!$A:$J,3,0)</f>
        <v>Jackets</v>
      </c>
      <c r="D473" s="2" t="str">
        <f>TEXT(VLOOKUP(A473,[1]Cleaned!$A:$J,4,0),"DD-MMM-YYYY")</f>
        <v>09-May-2024</v>
      </c>
      <c r="E473" s="3" t="str">
        <f>TEXT(VLOOKUP(A473,[1]Cleaned!$A:$J,5,0),"DD-MMM-YYYY")</f>
        <v>13-May-2024</v>
      </c>
      <c r="F473" t="str">
        <f>VLOOKUP(A473,[1]Cleaned!$A:$J,6,0)</f>
        <v>Bangalore</v>
      </c>
      <c r="G473">
        <f>VLOOKUP(A473,[1]Cleaned!$A:$J,9,0)</f>
        <v>35554.559999999998</v>
      </c>
    </row>
    <row r="474" spans="1:7" x14ac:dyDescent="0.3">
      <c r="A474">
        <v>2472</v>
      </c>
      <c r="B474" s="1" t="str">
        <f>VLOOKUP(A474,[1]Cleaned!$A:$J,2,0)</f>
        <v>Nithya R</v>
      </c>
      <c r="C474" t="str">
        <f>VLOOKUP(A474,[1]Cleaned!$A:$J,3,0)</f>
        <v>Jackets</v>
      </c>
      <c r="D474" s="2" t="str">
        <f>TEXT(VLOOKUP(A474,[1]Cleaned!$A:$J,4,0),"DD-MMM-YYYY")</f>
        <v>27-Jul-2022</v>
      </c>
      <c r="E474" s="3" t="str">
        <f>TEXT(VLOOKUP(A474,[1]Cleaned!$A:$J,5,0),"DD-MMM-YYYY")</f>
        <v>11-Aug-2022</v>
      </c>
      <c r="F474" t="str">
        <f>VLOOKUP(A474,[1]Cleaned!$A:$J,6,0)</f>
        <v>Bangalore</v>
      </c>
      <c r="G474">
        <f>VLOOKUP(A474,[1]Cleaned!$A:$J,9,0)</f>
        <v>4257.96</v>
      </c>
    </row>
    <row r="475" spans="1:7" x14ac:dyDescent="0.3">
      <c r="A475">
        <v>2473</v>
      </c>
      <c r="B475" s="1" t="str">
        <f>VLOOKUP(A475,[1]Cleaned!$A:$J,2,0)</f>
        <v>Karthik Vel</v>
      </c>
      <c r="C475" t="str">
        <f>VLOOKUP(A475,[1]Cleaned!$A:$J,3,0)</f>
        <v>Dresses</v>
      </c>
      <c r="D475" s="2" t="str">
        <f>TEXT(VLOOKUP(A475,[1]Cleaned!$A:$J,4,0),"DD-MMM-YYYY")</f>
        <v>11-Feb-2022</v>
      </c>
      <c r="E475" s="3" t="str">
        <f>TEXT(VLOOKUP(A475,[1]Cleaned!$A:$J,5,0),"DD-MMM-YYYY")</f>
        <v>18-Feb-2022</v>
      </c>
      <c r="F475" t="str">
        <f>VLOOKUP(A475,[1]Cleaned!$A:$J,6,0)</f>
        <v>Delhi</v>
      </c>
      <c r="G475">
        <f>VLOOKUP(A475,[1]Cleaned!$A:$J,9,0)</f>
        <v>1297.48</v>
      </c>
    </row>
    <row r="476" spans="1:7" x14ac:dyDescent="0.3">
      <c r="A476">
        <v>2474</v>
      </c>
      <c r="B476" s="1" t="str">
        <f>VLOOKUP(A476,[1]Cleaned!$A:$J,2,0)</f>
        <v>Vijay K</v>
      </c>
      <c r="C476" t="str">
        <f>VLOOKUP(A476,[1]Cleaned!$A:$J,3,0)</f>
        <v>T-Shirts</v>
      </c>
      <c r="D476" s="2" t="str">
        <f>TEXT(VLOOKUP(A476,[1]Cleaned!$A:$J,4,0),"DD-MMM-YYYY")</f>
        <v>03-Jun-2022</v>
      </c>
      <c r="E476" s="3" t="str">
        <f>TEXT(VLOOKUP(A476,[1]Cleaned!$A:$J,5,0),"DD-MMM-YYYY")</f>
        <v>13-Jun-2022</v>
      </c>
      <c r="F476" t="str">
        <f>VLOOKUP(A476,[1]Cleaned!$A:$J,6,0)</f>
        <v>Chennai</v>
      </c>
      <c r="G476">
        <f>VLOOKUP(A476,[1]Cleaned!$A:$J,9,0)</f>
        <v>18551.64</v>
      </c>
    </row>
    <row r="477" spans="1:7" x14ac:dyDescent="0.3">
      <c r="A477">
        <v>2475</v>
      </c>
      <c r="B477" s="1" t="str">
        <f>VLOOKUP(A477,[1]Cleaned!$A:$J,2,0)</f>
        <v>Ganesh R</v>
      </c>
      <c r="C477" t="str">
        <f>VLOOKUP(A477,[1]Cleaned!$A:$J,3,0)</f>
        <v>Jeans</v>
      </c>
      <c r="D477" s="2" t="str">
        <f>TEXT(VLOOKUP(A477,[1]Cleaned!$A:$J,4,0),"DD-MMM-YYYY")</f>
        <v>02-Jun-2024</v>
      </c>
      <c r="E477" s="3" t="str">
        <f>TEXT(VLOOKUP(A477,[1]Cleaned!$A:$J,5,0),"DD-MMM-YYYY")</f>
        <v>14-Jun-2024</v>
      </c>
      <c r="F477" t="str">
        <f>VLOOKUP(A477,[1]Cleaned!$A:$J,6,0)</f>
        <v>Mumbai</v>
      </c>
      <c r="G477">
        <f>VLOOKUP(A477,[1]Cleaned!$A:$J,9,0)</f>
        <v>7268.73</v>
      </c>
    </row>
    <row r="478" spans="1:7" x14ac:dyDescent="0.3">
      <c r="A478">
        <v>2476</v>
      </c>
      <c r="B478" s="1" t="str">
        <f>VLOOKUP(A478,[1]Cleaned!$A:$J,2,0)</f>
        <v>Arun Pandi</v>
      </c>
      <c r="C478" t="str">
        <f>VLOOKUP(A478,[1]Cleaned!$A:$J,3,0)</f>
        <v>T-Shirts</v>
      </c>
      <c r="D478" s="2" t="str">
        <f>TEXT(VLOOKUP(A478,[1]Cleaned!$A:$J,4,0),"DD-MMM-YYYY")</f>
        <v>25-Jan-2023</v>
      </c>
      <c r="E478" s="3" t="str">
        <f>TEXT(VLOOKUP(A478,[1]Cleaned!$A:$J,5,0),"DD-MMM-YYYY")</f>
        <v>02-Feb-2023</v>
      </c>
      <c r="F478" t="str">
        <f>VLOOKUP(A478,[1]Cleaned!$A:$J,6,0)</f>
        <v>Pune</v>
      </c>
      <c r="G478">
        <f>VLOOKUP(A478,[1]Cleaned!$A:$J,9,0)</f>
        <v>17024.05</v>
      </c>
    </row>
    <row r="479" spans="1:7" x14ac:dyDescent="0.3">
      <c r="A479">
        <v>2477</v>
      </c>
      <c r="B479" s="1" t="str">
        <f>VLOOKUP(A479,[1]Cleaned!$A:$J,2,0)</f>
        <v>Lakshmi S</v>
      </c>
      <c r="C479" t="str">
        <f>VLOOKUP(A479,[1]Cleaned!$A:$J,3,0)</f>
        <v>Jeans</v>
      </c>
      <c r="D479" s="2" t="str">
        <f>TEXT(VLOOKUP(A479,[1]Cleaned!$A:$J,4,0),"DD-MMM-YYYY")</f>
        <v>12-Apr-2022</v>
      </c>
      <c r="E479" s="3" t="str">
        <f>TEXT(VLOOKUP(A479,[1]Cleaned!$A:$J,5,0),"DD-MMM-YYYY")</f>
        <v>20-Apr-2022</v>
      </c>
      <c r="F479" t="str">
        <f>VLOOKUP(A479,[1]Cleaned!$A:$J,6,0)</f>
        <v>Hyderabad</v>
      </c>
      <c r="G479">
        <f>VLOOKUP(A479,[1]Cleaned!$A:$J,9,0)</f>
        <v>8174.96</v>
      </c>
    </row>
    <row r="480" spans="1:7" x14ac:dyDescent="0.3">
      <c r="A480">
        <v>2478</v>
      </c>
      <c r="B480" s="1" t="str">
        <f>VLOOKUP(A480,[1]Cleaned!$A:$J,2,0)</f>
        <v>Anitha Raj</v>
      </c>
      <c r="C480" t="str">
        <f>VLOOKUP(A480,[1]Cleaned!$A:$J,3,0)</f>
        <v>Jackets</v>
      </c>
      <c r="D480" s="2" t="str">
        <f>TEXT(VLOOKUP(A480,[1]Cleaned!$A:$J,4,0),"DD-MMM-YYYY")</f>
        <v>29-Jun-2022</v>
      </c>
      <c r="E480" s="3" t="str">
        <f>TEXT(VLOOKUP(A480,[1]Cleaned!$A:$J,5,0),"DD-MMM-YYYY")</f>
        <v>05-Jul-2022</v>
      </c>
      <c r="F480" t="str">
        <f>VLOOKUP(A480,[1]Cleaned!$A:$J,6,0)</f>
        <v>Ahmedabad</v>
      </c>
      <c r="G480">
        <f>VLOOKUP(A480,[1]Cleaned!$A:$J,9,0)</f>
        <v>9907.76</v>
      </c>
    </row>
    <row r="481" spans="1:7" x14ac:dyDescent="0.3">
      <c r="A481">
        <v>2479</v>
      </c>
      <c r="B481" s="1" t="str">
        <f>VLOOKUP(A481,[1]Cleaned!$A:$J,2,0)</f>
        <v>Meena Iyer</v>
      </c>
      <c r="C481" t="str">
        <f>VLOOKUP(A481,[1]Cleaned!$A:$J,3,0)</f>
        <v>T-Shirts</v>
      </c>
      <c r="D481" s="2" t="str">
        <f>TEXT(VLOOKUP(A481,[1]Cleaned!$A:$J,4,0),"DD-MMM-YYYY")</f>
        <v>21-Aug-2023</v>
      </c>
      <c r="E481" s="3" t="str">
        <f>TEXT(VLOOKUP(A481,[1]Cleaned!$A:$J,5,0),"DD-MMM-YYYY")</f>
        <v>24-Aug-2023</v>
      </c>
      <c r="F481" t="str">
        <f>VLOOKUP(A481,[1]Cleaned!$A:$J,6,0)</f>
        <v>Bangalore</v>
      </c>
      <c r="G481">
        <f>VLOOKUP(A481,[1]Cleaned!$A:$J,9,0)</f>
        <v>3498.52</v>
      </c>
    </row>
    <row r="482" spans="1:7" x14ac:dyDescent="0.3">
      <c r="A482">
        <v>2480</v>
      </c>
      <c r="B482" s="1" t="str">
        <f>VLOOKUP(A482,[1]Cleaned!$A:$J,2,0)</f>
        <v>Kavitha S</v>
      </c>
      <c r="C482" t="str">
        <f>VLOOKUP(A482,[1]Cleaned!$A:$J,3,0)</f>
        <v>Jackets</v>
      </c>
      <c r="D482" s="2" t="str">
        <f>TEXT(VLOOKUP(A482,[1]Cleaned!$A:$J,4,0),"DD-MMM-YYYY")</f>
        <v>27-Jun-2023</v>
      </c>
      <c r="E482" s="3" t="str">
        <f>TEXT(VLOOKUP(A482,[1]Cleaned!$A:$J,5,0),"DD-MMM-YYYY")</f>
        <v>30-Jun-2023</v>
      </c>
      <c r="F482" t="str">
        <f>VLOOKUP(A482,[1]Cleaned!$A:$J,6,0)</f>
        <v>Pune</v>
      </c>
      <c r="G482">
        <f>VLOOKUP(A482,[1]Cleaned!$A:$J,9,0)</f>
        <v>8182.58</v>
      </c>
    </row>
    <row r="483" spans="1:7" x14ac:dyDescent="0.3">
      <c r="A483">
        <v>2481</v>
      </c>
      <c r="B483" s="1" t="str">
        <f>VLOOKUP(A483,[1]Cleaned!$A:$J,2,0)</f>
        <v>Sneha R</v>
      </c>
      <c r="C483" t="str">
        <f>VLOOKUP(A483,[1]Cleaned!$A:$J,3,0)</f>
        <v>T-Shirts</v>
      </c>
      <c r="D483" s="2" t="str">
        <f>TEXT(VLOOKUP(A483,[1]Cleaned!$A:$J,4,0),"DD-MMM-YYYY")</f>
        <v>01-Jul-2024</v>
      </c>
      <c r="E483" s="3" t="str">
        <f>TEXT(VLOOKUP(A483,[1]Cleaned!$A:$J,5,0),"DD-MMM-YYYY")</f>
        <v>03-Jul-2024</v>
      </c>
      <c r="F483" t="str">
        <f>VLOOKUP(A483,[1]Cleaned!$A:$J,6,0)</f>
        <v>Delhi</v>
      </c>
      <c r="G483">
        <f>VLOOKUP(A483,[1]Cleaned!$A:$J,9,0)</f>
        <v>19886.16</v>
      </c>
    </row>
    <row r="484" spans="1:7" x14ac:dyDescent="0.3">
      <c r="A484">
        <v>2482</v>
      </c>
      <c r="B484" s="1" t="str">
        <f>VLOOKUP(A484,[1]Cleaned!$A:$J,2,0)</f>
        <v>Ravi Kumar</v>
      </c>
      <c r="C484" t="str">
        <f>VLOOKUP(A484,[1]Cleaned!$A:$J,3,0)</f>
        <v>Shoes</v>
      </c>
      <c r="D484" s="2" t="str">
        <f>TEXT(VLOOKUP(A484,[1]Cleaned!$A:$J,4,0),"DD-MMM-YYYY")</f>
        <v>07-May-2022</v>
      </c>
      <c r="E484" s="3" t="str">
        <f>TEXT(VLOOKUP(A484,[1]Cleaned!$A:$J,5,0),"DD-MMM-YYYY")</f>
        <v>11-May-2022</v>
      </c>
      <c r="F484" t="str">
        <f>VLOOKUP(A484,[1]Cleaned!$A:$J,6,0)</f>
        <v>Ahmedabad</v>
      </c>
      <c r="G484">
        <f>VLOOKUP(A484,[1]Cleaned!$A:$J,9,0)</f>
        <v>1405.64</v>
      </c>
    </row>
    <row r="485" spans="1:7" x14ac:dyDescent="0.3">
      <c r="A485">
        <v>2483</v>
      </c>
      <c r="B485" s="1" t="str">
        <f>VLOOKUP(A485,[1]Cleaned!$A:$J,2,0)</f>
        <v>Nithya R</v>
      </c>
      <c r="C485" t="str">
        <f>VLOOKUP(A485,[1]Cleaned!$A:$J,3,0)</f>
        <v>Jackets</v>
      </c>
      <c r="D485" s="2" t="str">
        <f>TEXT(VLOOKUP(A485,[1]Cleaned!$A:$J,4,0),"DD-MMM-YYYY")</f>
        <v>11-Apr-2023</v>
      </c>
      <c r="E485" s="3" t="str">
        <f>TEXT(VLOOKUP(A485,[1]Cleaned!$A:$J,5,0),"DD-MMM-YYYY")</f>
        <v>21-Apr-2023</v>
      </c>
      <c r="F485" t="str">
        <f>VLOOKUP(A485,[1]Cleaned!$A:$J,6,0)</f>
        <v>Chennai</v>
      </c>
      <c r="G485">
        <f>VLOOKUP(A485,[1]Cleaned!$A:$J,9,0)</f>
        <v>29025.5</v>
      </c>
    </row>
    <row r="486" spans="1:7" x14ac:dyDescent="0.3">
      <c r="A486">
        <v>2484</v>
      </c>
      <c r="B486" s="1" t="str">
        <f>VLOOKUP(A486,[1]Cleaned!$A:$J,2,0)</f>
        <v>Nithya R</v>
      </c>
      <c r="C486" t="str">
        <f>VLOOKUP(A486,[1]Cleaned!$A:$J,3,0)</f>
        <v>Accessories</v>
      </c>
      <c r="D486" s="2" t="str">
        <f>TEXT(VLOOKUP(A486,[1]Cleaned!$A:$J,4,0),"DD-MMM-YYYY")</f>
        <v>30-Aug-2024</v>
      </c>
      <c r="E486" s="3" t="str">
        <f>TEXT(VLOOKUP(A486,[1]Cleaned!$A:$J,5,0),"DD-MMM-YYYY")</f>
        <v>10-Sep-2024</v>
      </c>
      <c r="F486" t="str">
        <f>VLOOKUP(A486,[1]Cleaned!$A:$J,6,0)</f>
        <v>Mumbai</v>
      </c>
      <c r="G486">
        <f>VLOOKUP(A486,[1]Cleaned!$A:$J,9,0)</f>
        <v>13636.8</v>
      </c>
    </row>
    <row r="487" spans="1:7" x14ac:dyDescent="0.3">
      <c r="A487">
        <v>2485</v>
      </c>
      <c r="B487" s="1" t="str">
        <f>VLOOKUP(A487,[1]Cleaned!$A:$J,2,0)</f>
        <v>Ganesh R</v>
      </c>
      <c r="C487" t="str">
        <f>VLOOKUP(A487,[1]Cleaned!$A:$J,3,0)</f>
        <v>Jeans</v>
      </c>
      <c r="D487" s="2" t="str">
        <f>TEXT(VLOOKUP(A487,[1]Cleaned!$A:$J,4,0),"DD-MMM-YYYY")</f>
        <v>25-Oct-2024</v>
      </c>
      <c r="E487" s="3" t="str">
        <f>TEXT(VLOOKUP(A487,[1]Cleaned!$A:$J,5,0),"DD-MMM-YYYY")</f>
        <v>05-Nov-2024</v>
      </c>
      <c r="F487" t="str">
        <f>VLOOKUP(A487,[1]Cleaned!$A:$J,6,0)</f>
        <v>Hyderabad</v>
      </c>
      <c r="G487">
        <f>VLOOKUP(A487,[1]Cleaned!$A:$J,9,0)</f>
        <v>2595.96</v>
      </c>
    </row>
    <row r="488" spans="1:7" x14ac:dyDescent="0.3">
      <c r="A488">
        <v>2486</v>
      </c>
      <c r="B488" s="1" t="str">
        <f>VLOOKUP(A488,[1]Cleaned!$A:$J,2,0)</f>
        <v>Arjun Reddy</v>
      </c>
      <c r="C488" t="str">
        <f>VLOOKUP(A488,[1]Cleaned!$A:$J,3,0)</f>
        <v>T-Shirts</v>
      </c>
      <c r="D488" s="2" t="str">
        <f>TEXT(VLOOKUP(A488,[1]Cleaned!$A:$J,4,0),"DD-MMM-YYYY")</f>
        <v>10-Mar-2023</v>
      </c>
      <c r="E488" s="3" t="str">
        <f>TEXT(VLOOKUP(A488,[1]Cleaned!$A:$J,5,0),"DD-MMM-YYYY")</f>
        <v>24-Mar-2023</v>
      </c>
      <c r="F488" t="str">
        <f>VLOOKUP(A488,[1]Cleaned!$A:$J,6,0)</f>
        <v>Mumbai</v>
      </c>
      <c r="G488">
        <f>VLOOKUP(A488,[1]Cleaned!$A:$J,9,0)</f>
        <v>1501.74</v>
      </c>
    </row>
    <row r="489" spans="1:7" x14ac:dyDescent="0.3">
      <c r="A489">
        <v>2487</v>
      </c>
      <c r="B489" s="1" t="str">
        <f>VLOOKUP(A489,[1]Cleaned!$A:$J,2,0)</f>
        <v>Saranya D</v>
      </c>
      <c r="C489" t="str">
        <f>VLOOKUP(A489,[1]Cleaned!$A:$J,3,0)</f>
        <v>Jackets</v>
      </c>
      <c r="D489" s="2" t="str">
        <f>TEXT(VLOOKUP(A489,[1]Cleaned!$A:$J,4,0),"DD-MMM-YYYY")</f>
        <v>18-Feb-2023</v>
      </c>
      <c r="E489" s="3" t="str">
        <f>TEXT(VLOOKUP(A489,[1]Cleaned!$A:$J,5,0),"DD-MMM-YYYY")</f>
        <v>05-Mar-2023</v>
      </c>
      <c r="F489" t="str">
        <f>VLOOKUP(A489,[1]Cleaned!$A:$J,6,0)</f>
        <v>Pune</v>
      </c>
      <c r="G489">
        <f>VLOOKUP(A489,[1]Cleaned!$A:$J,9,0)</f>
        <v>12660.93</v>
      </c>
    </row>
    <row r="490" spans="1:7" x14ac:dyDescent="0.3">
      <c r="A490">
        <v>2488</v>
      </c>
      <c r="B490" s="1" t="str">
        <f>VLOOKUP(A490,[1]Cleaned!$A:$J,2,0)</f>
        <v>Arun Pandi</v>
      </c>
      <c r="C490" t="str">
        <f>VLOOKUP(A490,[1]Cleaned!$A:$J,3,0)</f>
        <v>Accessories</v>
      </c>
      <c r="D490" s="2" t="str">
        <f>TEXT(VLOOKUP(A490,[1]Cleaned!$A:$J,4,0),"DD-MMM-YYYY")</f>
        <v>18-May-2022</v>
      </c>
      <c r="E490" s="3" t="str">
        <f>TEXT(VLOOKUP(A490,[1]Cleaned!$A:$J,5,0),"DD-MMM-YYYY")</f>
        <v>21-May-2022</v>
      </c>
      <c r="F490" t="str">
        <f>VLOOKUP(A490,[1]Cleaned!$A:$J,6,0)</f>
        <v>Bangalore</v>
      </c>
      <c r="G490">
        <f>VLOOKUP(A490,[1]Cleaned!$A:$J,9,0)</f>
        <v>20262.55</v>
      </c>
    </row>
    <row r="491" spans="1:7" x14ac:dyDescent="0.3">
      <c r="A491">
        <v>2489</v>
      </c>
      <c r="B491" s="1" t="str">
        <f>VLOOKUP(A491,[1]Cleaned!$A:$J,2,0)</f>
        <v>Santhosh P</v>
      </c>
      <c r="C491" t="str">
        <f>VLOOKUP(A491,[1]Cleaned!$A:$J,3,0)</f>
        <v>Jackets</v>
      </c>
      <c r="D491" s="2" t="str">
        <f>TEXT(VLOOKUP(A491,[1]Cleaned!$A:$J,4,0),"DD-MMM-YYYY")</f>
        <v>26-Jan-2022</v>
      </c>
      <c r="E491" s="3" t="str">
        <f>TEXT(VLOOKUP(A491,[1]Cleaned!$A:$J,5,0),"DD-MMM-YYYY")</f>
        <v>09-Feb-2022</v>
      </c>
      <c r="F491" t="str">
        <f>VLOOKUP(A491,[1]Cleaned!$A:$J,6,0)</f>
        <v>Pune</v>
      </c>
      <c r="G491">
        <f>VLOOKUP(A491,[1]Cleaned!$A:$J,9,0)</f>
        <v>5801.88</v>
      </c>
    </row>
    <row r="492" spans="1:7" x14ac:dyDescent="0.3">
      <c r="A492">
        <v>2490</v>
      </c>
      <c r="B492" s="1" t="str">
        <f>VLOOKUP(A492,[1]Cleaned!$A:$J,2,0)</f>
        <v>Deepa K</v>
      </c>
      <c r="C492" t="str">
        <f>VLOOKUP(A492,[1]Cleaned!$A:$J,3,0)</f>
        <v>Shoes</v>
      </c>
      <c r="D492" s="2" t="str">
        <f>TEXT(VLOOKUP(A492,[1]Cleaned!$A:$J,4,0),"DD-MMM-YYYY")</f>
        <v>25-Jul-2022</v>
      </c>
      <c r="E492" s="3" t="str">
        <f>TEXT(VLOOKUP(A492,[1]Cleaned!$A:$J,5,0),"DD-MMM-YYYY")</f>
        <v>28-Jul-2022</v>
      </c>
      <c r="F492" t="str">
        <f>VLOOKUP(A492,[1]Cleaned!$A:$J,6,0)</f>
        <v>Hyderabad</v>
      </c>
      <c r="G492">
        <f>VLOOKUP(A492,[1]Cleaned!$A:$J,9,0)</f>
        <v>7986</v>
      </c>
    </row>
    <row r="493" spans="1:7" x14ac:dyDescent="0.3">
      <c r="A493">
        <v>2491</v>
      </c>
      <c r="B493" s="1" t="str">
        <f>VLOOKUP(A493,[1]Cleaned!$A:$J,2,0)</f>
        <v>Pooja M</v>
      </c>
      <c r="C493" t="str">
        <f>VLOOKUP(A493,[1]Cleaned!$A:$J,3,0)</f>
        <v>Dresses</v>
      </c>
      <c r="D493" s="2" t="str">
        <f>TEXT(VLOOKUP(A493,[1]Cleaned!$A:$J,4,0),"DD-MMM-YYYY")</f>
        <v>24-Feb-2024</v>
      </c>
      <c r="E493" s="3" t="str">
        <f>TEXT(VLOOKUP(A493,[1]Cleaned!$A:$J,5,0),"DD-MMM-YYYY")</f>
        <v>07-Mar-2024</v>
      </c>
      <c r="F493" t="str">
        <f>VLOOKUP(A493,[1]Cleaned!$A:$J,6,0)</f>
        <v>Bangalore</v>
      </c>
      <c r="G493">
        <f>VLOOKUP(A493,[1]Cleaned!$A:$J,9,0)</f>
        <v>3808.72</v>
      </c>
    </row>
    <row r="494" spans="1:7" x14ac:dyDescent="0.3">
      <c r="A494">
        <v>2492</v>
      </c>
      <c r="B494" s="1" t="str">
        <f>VLOOKUP(A494,[1]Cleaned!$A:$J,2,0)</f>
        <v>Vijay K</v>
      </c>
      <c r="C494" t="str">
        <f>VLOOKUP(A494,[1]Cleaned!$A:$J,3,0)</f>
        <v>T-Shirts</v>
      </c>
      <c r="D494" s="2" t="str">
        <f>TEXT(VLOOKUP(A494,[1]Cleaned!$A:$J,4,0),"DD-MMM-YYYY")</f>
        <v>02-Apr-2024</v>
      </c>
      <c r="E494" s="3" t="str">
        <f>TEXT(VLOOKUP(A494,[1]Cleaned!$A:$J,5,0),"DD-MMM-YYYY")</f>
        <v>04-Apr-2024</v>
      </c>
      <c r="F494" t="str">
        <f>VLOOKUP(A494,[1]Cleaned!$A:$J,6,0)</f>
        <v>Bangalore</v>
      </c>
      <c r="G494">
        <f>VLOOKUP(A494,[1]Cleaned!$A:$J,9,0)</f>
        <v>21272.46</v>
      </c>
    </row>
    <row r="495" spans="1:7" x14ac:dyDescent="0.3">
      <c r="A495">
        <v>2493</v>
      </c>
      <c r="B495" s="1" t="str">
        <f>VLOOKUP(A495,[1]Cleaned!$A:$J,2,0)</f>
        <v>Uma S</v>
      </c>
      <c r="C495" t="str">
        <f>VLOOKUP(A495,[1]Cleaned!$A:$J,3,0)</f>
        <v>Jackets</v>
      </c>
      <c r="D495" s="2" t="str">
        <f>TEXT(VLOOKUP(A495,[1]Cleaned!$A:$J,4,0),"DD-MMM-YYYY")</f>
        <v>05-Jul-2023</v>
      </c>
      <c r="E495" s="3" t="str">
        <f>TEXT(VLOOKUP(A495,[1]Cleaned!$A:$J,5,0),"DD-MMM-YYYY")</f>
        <v>12-Jul-2023</v>
      </c>
      <c r="F495" t="str">
        <f>VLOOKUP(A495,[1]Cleaned!$A:$J,6,0)</f>
        <v>Chennai</v>
      </c>
      <c r="G495">
        <f>VLOOKUP(A495,[1]Cleaned!$A:$J,9,0)</f>
        <v>24850.26</v>
      </c>
    </row>
    <row r="496" spans="1:7" x14ac:dyDescent="0.3">
      <c r="A496">
        <v>2494</v>
      </c>
      <c r="B496" s="1" t="str">
        <f>VLOOKUP(A496,[1]Cleaned!$A:$J,2,0)</f>
        <v>Divya T</v>
      </c>
      <c r="C496" t="str">
        <f>VLOOKUP(A496,[1]Cleaned!$A:$J,3,0)</f>
        <v>Dresses</v>
      </c>
      <c r="D496" s="2" t="str">
        <f>TEXT(VLOOKUP(A496,[1]Cleaned!$A:$J,4,0),"DD-MMM-YYYY")</f>
        <v>03-Oct-2024</v>
      </c>
      <c r="E496" s="3" t="str">
        <f>TEXT(VLOOKUP(A496,[1]Cleaned!$A:$J,5,0),"DD-MMM-YYYY")</f>
        <v>18-Oct-2024</v>
      </c>
      <c r="F496" t="str">
        <f>VLOOKUP(A496,[1]Cleaned!$A:$J,6,0)</f>
        <v>Pune</v>
      </c>
      <c r="G496">
        <f>VLOOKUP(A496,[1]Cleaned!$A:$J,9,0)</f>
        <v>9741.4599999999991</v>
      </c>
    </row>
    <row r="497" spans="1:7" x14ac:dyDescent="0.3">
      <c r="A497">
        <v>2495</v>
      </c>
      <c r="B497" s="1" t="str">
        <f>VLOOKUP(A497,[1]Cleaned!$A:$J,2,0)</f>
        <v>Deepa K</v>
      </c>
      <c r="C497" t="str">
        <f>VLOOKUP(A497,[1]Cleaned!$A:$J,3,0)</f>
        <v>Dresses</v>
      </c>
      <c r="D497" s="2" t="str">
        <f>TEXT(VLOOKUP(A497,[1]Cleaned!$A:$J,4,0),"DD-MMM-YYYY")</f>
        <v>26-Jun-2024</v>
      </c>
      <c r="E497" s="3" t="str">
        <f>TEXT(VLOOKUP(A497,[1]Cleaned!$A:$J,5,0),"DD-MMM-YYYY")</f>
        <v>10-Jul-2024</v>
      </c>
      <c r="F497" t="str">
        <f>VLOOKUP(A497,[1]Cleaned!$A:$J,6,0)</f>
        <v>Ahmedabad</v>
      </c>
      <c r="G497">
        <f>VLOOKUP(A497,[1]Cleaned!$A:$J,9,0)</f>
        <v>9397.6200000000008</v>
      </c>
    </row>
    <row r="498" spans="1:7" x14ac:dyDescent="0.3">
      <c r="A498">
        <v>2496</v>
      </c>
      <c r="B498" s="1" t="str">
        <f>VLOOKUP(A498,[1]Cleaned!$A:$J,2,0)</f>
        <v>Revathi A</v>
      </c>
      <c r="C498" t="str">
        <f>VLOOKUP(A498,[1]Cleaned!$A:$J,3,0)</f>
        <v>Accessories</v>
      </c>
      <c r="D498" s="2" t="str">
        <f>TEXT(VLOOKUP(A498,[1]Cleaned!$A:$J,4,0),"DD-MMM-YYYY")</f>
        <v>02-Jul-2022</v>
      </c>
      <c r="E498" s="3" t="str">
        <f>TEXT(VLOOKUP(A498,[1]Cleaned!$A:$J,5,0),"DD-MMM-YYYY")</f>
        <v>07-Jul-2022</v>
      </c>
      <c r="F498" t="str">
        <f>VLOOKUP(A498,[1]Cleaned!$A:$J,6,0)</f>
        <v>Bangalore</v>
      </c>
      <c r="G498">
        <f>VLOOKUP(A498,[1]Cleaned!$A:$J,9,0)</f>
        <v>18372.52</v>
      </c>
    </row>
    <row r="499" spans="1:7" x14ac:dyDescent="0.3">
      <c r="A499">
        <v>2497</v>
      </c>
      <c r="B499" s="1" t="str">
        <f>VLOOKUP(A499,[1]Cleaned!$A:$J,2,0)</f>
        <v>Uma S</v>
      </c>
      <c r="C499" t="str">
        <f>VLOOKUP(A499,[1]Cleaned!$A:$J,3,0)</f>
        <v>Jackets</v>
      </c>
      <c r="D499" s="2" t="str">
        <f>TEXT(VLOOKUP(A499,[1]Cleaned!$A:$J,4,0),"DD-MMM-YYYY")</f>
        <v>23-Nov-2024</v>
      </c>
      <c r="E499" s="3" t="str">
        <f>TEXT(VLOOKUP(A499,[1]Cleaned!$A:$J,5,0),"DD-MMM-YYYY")</f>
        <v>08-Dec-2024</v>
      </c>
      <c r="F499" t="str">
        <f>VLOOKUP(A499,[1]Cleaned!$A:$J,6,0)</f>
        <v>Delhi</v>
      </c>
      <c r="G499">
        <f>VLOOKUP(A499,[1]Cleaned!$A:$J,9,0)</f>
        <v>2721.77</v>
      </c>
    </row>
    <row r="500" spans="1:7" x14ac:dyDescent="0.3">
      <c r="A500">
        <v>2498</v>
      </c>
      <c r="B500" s="1" t="str">
        <f>VLOOKUP(A500,[1]Cleaned!$A:$J,2,0)</f>
        <v>Priya Nair</v>
      </c>
      <c r="C500" t="str">
        <f>VLOOKUP(A500,[1]Cleaned!$A:$J,3,0)</f>
        <v>Dresses</v>
      </c>
      <c r="D500" s="2" t="str">
        <f>TEXT(VLOOKUP(A500,[1]Cleaned!$A:$J,4,0),"DD-MMM-YYYY")</f>
        <v>03-Nov-2024</v>
      </c>
      <c r="E500" s="3" t="str">
        <f>TEXT(VLOOKUP(A500,[1]Cleaned!$A:$J,5,0),"DD-MMM-YYYY")</f>
        <v>11-Nov-2024</v>
      </c>
      <c r="F500" t="str">
        <f>VLOOKUP(A500,[1]Cleaned!$A:$J,6,0)</f>
        <v>Mumbai</v>
      </c>
      <c r="G500">
        <f>VLOOKUP(A500,[1]Cleaned!$A:$J,9,0)</f>
        <v>1116.57</v>
      </c>
    </row>
    <row r="501" spans="1:7" x14ac:dyDescent="0.3">
      <c r="A501">
        <v>2499</v>
      </c>
      <c r="B501" s="1" t="str">
        <f>VLOOKUP(A501,[1]Cleaned!$A:$J,2,0)</f>
        <v>Karthik Vel</v>
      </c>
      <c r="C501" t="str">
        <f>VLOOKUP(A501,[1]Cleaned!$A:$J,3,0)</f>
        <v>T-Shirts</v>
      </c>
      <c r="D501" s="2" t="str">
        <f>TEXT(VLOOKUP(A501,[1]Cleaned!$A:$J,4,0),"DD-MMM-YYYY")</f>
        <v>09-Mar-2022</v>
      </c>
      <c r="E501" s="3" t="str">
        <f>TEXT(VLOOKUP(A501,[1]Cleaned!$A:$J,5,0),"DD-MMM-YYYY")</f>
        <v>18-Mar-2022</v>
      </c>
      <c r="F501" t="str">
        <f>VLOOKUP(A501,[1]Cleaned!$A:$J,6,0)</f>
        <v>Chennai</v>
      </c>
      <c r="G501">
        <f>VLOOKUP(A501,[1]Cleaned!$A:$J,9,0)</f>
        <v>21670.68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Vlookup 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Maheswari S</dc:creator>
  <cp:lastModifiedBy>Maheswari S</cp:lastModifiedBy>
  <dcterms:created xsi:type="dcterms:W3CDTF">2026-06-01T11:36:28Z</dcterms:created>
  <dcterms:modified xsi:type="dcterms:W3CDTF">2026-06-01T12:13:36Z</dcterms:modified>
</cp:coreProperties>
</file>